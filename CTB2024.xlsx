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7"/>
  <workbookPr codeName="EstaPasta_de_trabalho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a9ff083dff33069/Trabalho/Finance/AD-CTB/"/>
    </mc:Choice>
  </mc:AlternateContent>
  <xr:revisionPtr revIDLastSave="371" documentId="13_ncr:1_{307526EC-0AFA-4023-B8F2-34D6D28E6E2D}" xr6:coauthVersionLast="47" xr6:coauthVersionMax="47" xr10:uidLastSave="{86823129-BC41-4E0E-86B0-1C5B9A0A2EC2}"/>
  <bookViews>
    <workbookView xWindow="-28920" yWindow="-75" windowWidth="29040" windowHeight="15720" tabRatio="791" firstSheet="3" activeTab="5" xr2:uid="{00000000-000D-0000-FFFF-FFFF00000000}"/>
  </bookViews>
  <sheets>
    <sheet name="byGOVDetalhado" sheetId="8" r:id="rId1"/>
    <sheet name="AD ESFERA" sheetId="1" r:id="rId2"/>
    <sheet name="PRINCIPAIS TRIBUTOS" sheetId="4" r:id="rId3"/>
    <sheet name="Bases de Incidência" sheetId="5" r:id="rId4"/>
    <sheet name="RD ESFERA" sheetId="7" r:id="rId5"/>
    <sheet name="RD ESFERA DETALHADA" sheetId="20" r:id="rId6"/>
    <sheet name="Impostos" sheetId="18" r:id="rId7"/>
    <sheet name="Contribuições" sheetId="11" r:id="rId8"/>
    <sheet name="Patrimoniais" sheetId="21" r:id="rId9"/>
    <sheet name="Multas" sheetId="12" r:id="rId10"/>
    <sheet name="Estados" sheetId="15" r:id="rId11"/>
    <sheet name="Municipios" sheetId="17" r:id="rId12"/>
    <sheet name="Transferencias" sheetId="14" r:id="rId13"/>
    <sheet name="Gráficos" sheetId="19" r:id="rId14"/>
  </sheets>
  <externalReferences>
    <externalReference r:id="rId15"/>
  </externalReferences>
  <definedNames>
    <definedName name="\0">[1]DIRIND!$U$1</definedName>
    <definedName name="\a">#N/A</definedName>
    <definedName name="_xlnm._FilterDatabase" localSheetId="7" hidden="1">Contribuições!#REF!</definedName>
    <definedName name="_xlnm._FilterDatabase" localSheetId="9" hidden="1">Multas!#REF!</definedName>
    <definedName name="A" localSheetId="0" hidden="1">{#N/A,#N/A,FALSE,"TAB A1";#N/A,#N/A,FALSE,"TAB A2";#N/A,#N/A,FALSE,"TAB A3";#N/A,#N/A,FALSE,"TAB A4";#N/A,#N/A,FALSE,"TAB A5";#N/A,#N/A,FALSE,"TAB A6";#N/A,#N/A,FALSE,"TAB A7";#N/A,#N/A,FALSE,"TAB A8";#N/A,#N/A,FALSE,"TAB A9";#N/A,#N/A,FALSE,"TAB A10";#N/A,#N/A,FALSE,"TAB A11";#N/A,#N/A,FALSE,"TAB A12"}</definedName>
    <definedName name="A" localSheetId="4" hidden="1">{#N/A,#N/A,FALSE,"TAB A1";#N/A,#N/A,FALSE,"TAB A2";#N/A,#N/A,FALSE,"TAB A3";#N/A,#N/A,FALSE,"TAB A4";#N/A,#N/A,FALSE,"TAB A5";#N/A,#N/A,FALSE,"TAB A6";#N/A,#N/A,FALSE,"TAB A7";#N/A,#N/A,FALSE,"TAB A8";#N/A,#N/A,FALSE,"TAB A9";#N/A,#N/A,FALSE,"TAB A10";#N/A,#N/A,FALSE,"TAB A11";#N/A,#N/A,FALSE,"TAB A12"}</definedName>
    <definedName name="A" hidden="1">{#N/A,#N/A,FALSE,"TAB A1";#N/A,#N/A,FALSE,"TAB A2";#N/A,#N/A,FALSE,"TAB A3";#N/A,#N/A,FALSE,"TAB A4";#N/A,#N/A,FALSE,"TAB A5";#N/A,#N/A,FALSE,"TAB A6";#N/A,#N/A,FALSE,"TAB A7";#N/A,#N/A,FALSE,"TAB A8";#N/A,#N/A,FALSE,"TAB A9";#N/A,#N/A,FALSE,"TAB A10";#N/A,#N/A,FALSE,"TAB A11";#N/A,#N/A,FALSE,"TAB A12"}</definedName>
    <definedName name="aa" localSheetId="0" hidden="1">{#N/A,#N/A,FALSE,"TAB A1";#N/A,#N/A,FALSE,"TAB A2";#N/A,#N/A,FALSE,"TAB A3";#N/A,#N/A,FALSE,"TAB A4";#N/A,#N/A,FALSE,"TAB A5";#N/A,#N/A,FALSE,"TAB A6";#N/A,#N/A,FALSE,"TAB A7";#N/A,#N/A,FALSE,"TAB A8";#N/A,#N/A,FALSE,"TAB A9";#N/A,#N/A,FALSE,"TAB A10";#N/A,#N/A,FALSE,"TAB A11";#N/A,#N/A,FALSE,"TAB A12"}</definedName>
    <definedName name="aa" localSheetId="4" hidden="1">{#N/A,#N/A,FALSE,"TAB A1";#N/A,#N/A,FALSE,"TAB A2";#N/A,#N/A,FALSE,"TAB A3";#N/A,#N/A,FALSE,"TAB A4";#N/A,#N/A,FALSE,"TAB A5";#N/A,#N/A,FALSE,"TAB A6";#N/A,#N/A,FALSE,"TAB A7";#N/A,#N/A,FALSE,"TAB A8";#N/A,#N/A,FALSE,"TAB A9";#N/A,#N/A,FALSE,"TAB A10";#N/A,#N/A,FALSE,"TAB A11";#N/A,#N/A,FALSE,"TAB A12"}</definedName>
    <definedName name="aa" hidden="1">{#N/A,#N/A,FALSE,"TAB A1";#N/A,#N/A,FALSE,"TAB A2";#N/A,#N/A,FALSE,"TAB A3";#N/A,#N/A,FALSE,"TAB A4";#N/A,#N/A,FALSE,"TAB A5";#N/A,#N/A,FALSE,"TAB A6";#N/A,#N/A,FALSE,"TAB A7";#N/A,#N/A,FALSE,"TAB A8";#N/A,#N/A,FALSE,"TAB A9";#N/A,#N/A,FALSE,"TAB A10";#N/A,#N/A,FALSE,"TAB A11";#N/A,#N/A,FALSE,"TAB A12"}</definedName>
    <definedName name="_xlnm.Print_Area" localSheetId="1">'AD ESFERA'!$A$1:$D$24</definedName>
    <definedName name="_xlnm.Print_Area" localSheetId="3">'Bases de Incidência'!$A$1:$D$16</definedName>
    <definedName name="_xlnm.Print_Area" localSheetId="0">byGOVDetalhado!$A$1:$D$47</definedName>
    <definedName name="_xlnm.Print_Area" localSheetId="2">'PRINCIPAIS TRIBUTOS'!$A$1:$D$26</definedName>
    <definedName name="_xlnm.Print_Area" localSheetId="4">'RD ESFERA'!$A$1:$D$45</definedName>
    <definedName name="RECADM">#N/A</definedName>
    <definedName name="wrn.Imprime_Tudo." localSheetId="0" hidden="1">{#N/A,#N/A,FALSE,"TAB A1";#N/A,#N/A,FALSE,"TAB A2";#N/A,#N/A,FALSE,"TAB A3";#N/A,#N/A,FALSE,"TAB A4";#N/A,#N/A,FALSE,"TAB A5";#N/A,#N/A,FALSE,"TAB A6";#N/A,#N/A,FALSE,"TAB A7";#N/A,#N/A,FALSE,"TAB A8";#N/A,#N/A,FALSE,"TAB A9";#N/A,#N/A,FALSE,"TAB A10";#N/A,#N/A,FALSE,"TAB A11";#N/A,#N/A,FALSE,"TAB A12"}</definedName>
    <definedName name="wrn.Imprime_Tudo." localSheetId="4" hidden="1">{#N/A,#N/A,FALSE,"TAB A1";#N/A,#N/A,FALSE,"TAB A2";#N/A,#N/A,FALSE,"TAB A3";#N/A,#N/A,FALSE,"TAB A4";#N/A,#N/A,FALSE,"TAB A5";#N/A,#N/A,FALSE,"TAB A6";#N/A,#N/A,FALSE,"TAB A7";#N/A,#N/A,FALSE,"TAB A8";#N/A,#N/A,FALSE,"TAB A9";#N/A,#N/A,FALSE,"TAB A10";#N/A,#N/A,FALSE,"TAB A11";#N/A,#N/A,FALSE,"TAB A12"}</definedName>
    <definedName name="wrn.Imprime_Tudo." hidden="1">{#N/A,#N/A,FALSE,"TAB A1";#N/A,#N/A,FALSE,"TAB A2";#N/A,#N/A,FALSE,"TAB A3";#N/A,#N/A,FALSE,"TAB A4";#N/A,#N/A,FALSE,"TAB A5";#N/A,#N/A,FALSE,"TAB A6";#N/A,#N/A,FALSE,"TAB A7";#N/A,#N/A,FALSE,"TAB A8";#N/A,#N/A,FALSE,"TAB A9";#N/A,#N/A,FALSE,"TAB A10";#N/A,#N/A,FALSE,"TAB A11";#N/A,#N/A,FALSE,"TAB A12"}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6" i="5" l="1"/>
  <c r="B11" i="5"/>
  <c r="B10" i="5"/>
  <c r="D2" i="12" l="1"/>
  <c r="B22" i="8" s="1"/>
  <c r="B24" i="8" l="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24" i="21" s="1"/>
  <c r="B27" i="8" s="1"/>
  <c r="D17" i="21"/>
  <c r="D18" i="21"/>
  <c r="D19" i="21"/>
  <c r="D20" i="21"/>
  <c r="D21" i="21"/>
  <c r="D22" i="21"/>
  <c r="D2" i="21"/>
  <c r="C175" i="11"/>
  <c r="D175" i="11"/>
  <c r="D22" i="11"/>
  <c r="D23" i="11"/>
  <c r="D24" i="11"/>
  <c r="D25" i="11"/>
  <c r="D26" i="11"/>
  <c r="D8" i="11"/>
  <c r="B17" i="8" s="1"/>
  <c r="D27" i="11"/>
  <c r="D28" i="11"/>
  <c r="D29" i="11"/>
  <c r="D30" i="11"/>
  <c r="D31" i="11"/>
  <c r="D9" i="11"/>
  <c r="D32" i="11"/>
  <c r="D33" i="11"/>
  <c r="D34" i="11"/>
  <c r="D35" i="11"/>
  <c r="D36" i="11"/>
  <c r="D146" i="11"/>
  <c r="B20" i="8" s="1"/>
  <c r="D37" i="11"/>
  <c r="D38" i="11"/>
  <c r="D39" i="11"/>
  <c r="D40" i="11"/>
  <c r="D41" i="11"/>
  <c r="D147" i="11"/>
  <c r="D42" i="11"/>
  <c r="D43" i="11"/>
  <c r="D44" i="11"/>
  <c r="D45" i="11"/>
  <c r="D46" i="11"/>
  <c r="D148" i="11"/>
  <c r="D47" i="11"/>
  <c r="D48" i="11"/>
  <c r="D49" i="11"/>
  <c r="D50" i="11"/>
  <c r="D51" i="11"/>
  <c r="D11" i="11"/>
  <c r="B19" i="8" s="1"/>
  <c r="D52" i="11"/>
  <c r="D53" i="11"/>
  <c r="D54" i="11"/>
  <c r="D55" i="11"/>
  <c r="D56" i="11"/>
  <c r="D12" i="11"/>
  <c r="D57" i="11"/>
  <c r="D58" i="11"/>
  <c r="D59" i="11"/>
  <c r="D60" i="11"/>
  <c r="D61" i="11"/>
  <c r="D13" i="11"/>
  <c r="D62" i="11"/>
  <c r="D63" i="11"/>
  <c r="D64" i="11"/>
  <c r="D65" i="11"/>
  <c r="D66" i="11"/>
  <c r="D149" i="11"/>
  <c r="D67" i="11"/>
  <c r="D68" i="11"/>
  <c r="D69" i="11"/>
  <c r="D150" i="11"/>
  <c r="D70" i="11"/>
  <c r="D71" i="11"/>
  <c r="D72" i="11"/>
  <c r="D151" i="11"/>
  <c r="B16" i="8" s="1"/>
  <c r="D73" i="11"/>
  <c r="D74" i="11"/>
  <c r="D75" i="11"/>
  <c r="D152" i="11"/>
  <c r="D76" i="11"/>
  <c r="D77" i="11"/>
  <c r="D78" i="11"/>
  <c r="D153" i="11"/>
  <c r="B21" i="8" s="1"/>
  <c r="D79" i="11"/>
  <c r="D80" i="11"/>
  <c r="D81" i="11"/>
  <c r="D82" i="11"/>
  <c r="D83" i="11"/>
  <c r="D154" i="11"/>
  <c r="D155" i="11"/>
  <c r="D156" i="11"/>
  <c r="D157" i="11"/>
  <c r="D158" i="11"/>
  <c r="D159" i="11"/>
  <c r="D84" i="11"/>
  <c r="D160" i="11"/>
  <c r="D85" i="11"/>
  <c r="D161" i="11"/>
  <c r="D141" i="11"/>
  <c r="D142" i="11"/>
  <c r="D86" i="11"/>
  <c r="D143" i="11"/>
  <c r="D87" i="11"/>
  <c r="D15" i="11"/>
  <c r="D16" i="11"/>
  <c r="D17" i="11"/>
  <c r="D18" i="11"/>
  <c r="D19" i="11"/>
  <c r="D20" i="11"/>
  <c r="D88" i="11"/>
  <c r="D165" i="11"/>
  <c r="D89" i="11"/>
  <c r="D14" i="11"/>
  <c r="D162" i="11"/>
  <c r="B25" i="8" s="1"/>
  <c r="D90" i="11"/>
  <c r="D91" i="11"/>
  <c r="D92" i="11"/>
  <c r="D163" i="11"/>
  <c r="D93" i="11"/>
  <c r="D166" i="11"/>
  <c r="D94" i="11"/>
  <c r="D95" i="11"/>
  <c r="D96" i="11"/>
  <c r="D167" i="11"/>
  <c r="D97" i="11"/>
  <c r="D168" i="11"/>
  <c r="D98" i="11"/>
  <c r="D99" i="11"/>
  <c r="D100" i="11"/>
  <c r="D169" i="11"/>
  <c r="D101" i="11"/>
  <c r="D10" i="11"/>
  <c r="B18" i="8" s="1"/>
  <c r="D102" i="11"/>
  <c r="D103" i="11"/>
  <c r="D104" i="11"/>
  <c r="D105" i="11"/>
  <c r="D106" i="11"/>
  <c r="D107" i="11"/>
  <c r="D108" i="11"/>
  <c r="D109" i="11"/>
  <c r="D144" i="11"/>
  <c r="D164" i="11"/>
  <c r="D21" i="11"/>
  <c r="D110" i="11"/>
  <c r="D111" i="11"/>
  <c r="D112" i="11"/>
  <c r="D139" i="11"/>
  <c r="D113" i="11"/>
  <c r="D114" i="11"/>
  <c r="D140" i="11"/>
  <c r="D115" i="11"/>
  <c r="D116" i="11"/>
  <c r="D117" i="11"/>
  <c r="D118" i="11"/>
  <c r="D145" i="11"/>
  <c r="D2" i="11"/>
  <c r="D119" i="11"/>
  <c r="D120" i="11"/>
  <c r="D121" i="11"/>
  <c r="D3" i="11"/>
  <c r="D122" i="11"/>
  <c r="D4" i="11"/>
  <c r="D123" i="11"/>
  <c r="D124" i="11"/>
  <c r="D125" i="11"/>
  <c r="D126" i="11"/>
  <c r="D170" i="11"/>
  <c r="D127" i="11"/>
  <c r="D171" i="11"/>
  <c r="D128" i="11"/>
  <c r="D129" i="11"/>
  <c r="D130" i="11"/>
  <c r="D172" i="11"/>
  <c r="D131" i="11"/>
  <c r="D173" i="11"/>
  <c r="D132" i="11"/>
  <c r="D174" i="11"/>
  <c r="D5" i="11"/>
  <c r="D133" i="11"/>
  <c r="D134" i="11"/>
  <c r="D135" i="11"/>
  <c r="D6" i="11"/>
  <c r="D136" i="11"/>
  <c r="D137" i="11"/>
  <c r="D138" i="11"/>
  <c r="D7" i="11"/>
  <c r="B15" i="8"/>
  <c r="C91" i="18"/>
  <c r="D91" i="18" s="1"/>
  <c r="C59" i="18"/>
  <c r="D59" i="18" s="1"/>
  <c r="D3" i="18"/>
  <c r="D4" i="18"/>
  <c r="D5" i="18"/>
  <c r="D6" i="18"/>
  <c r="D7" i="18"/>
  <c r="D8" i="18"/>
  <c r="D9" i="18"/>
  <c r="D10" i="18"/>
  <c r="D11" i="18"/>
  <c r="D12" i="18"/>
  <c r="B14" i="8" s="1"/>
  <c r="D13" i="18"/>
  <c r="D14" i="18"/>
  <c r="D15" i="18"/>
  <c r="D16" i="18"/>
  <c r="D17" i="18"/>
  <c r="D18" i="18"/>
  <c r="D19" i="18"/>
  <c r="D20" i="18"/>
  <c r="D21" i="18"/>
  <c r="D22" i="18"/>
  <c r="D23" i="18"/>
  <c r="D24" i="18"/>
  <c r="B10" i="8" s="1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B11" i="8" s="1"/>
  <c r="D38" i="18"/>
  <c r="D39" i="18"/>
  <c r="D40" i="18"/>
  <c r="D41" i="18"/>
  <c r="D42" i="18"/>
  <c r="D43" i="18"/>
  <c r="D44" i="18"/>
  <c r="D45" i="18"/>
  <c r="D46" i="18"/>
  <c r="D47" i="18"/>
  <c r="D48" i="18"/>
  <c r="B12" i="8" s="1"/>
  <c r="D49" i="18"/>
  <c r="D50" i="18"/>
  <c r="D51" i="18"/>
  <c r="D52" i="18"/>
  <c r="D53" i="18"/>
  <c r="D54" i="18"/>
  <c r="D55" i="18"/>
  <c r="D56" i="18"/>
  <c r="D57" i="18"/>
  <c r="D58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2" i="18"/>
  <c r="B13" i="8" s="1"/>
  <c r="C32" i="14" l="1"/>
  <c r="B46" i="7" s="1"/>
  <c r="B49" i="20" s="1"/>
  <c r="C33" i="14"/>
  <c r="C24" i="14"/>
  <c r="B38" i="7" s="1"/>
  <c r="B41" i="20" s="1"/>
  <c r="C12" i="14"/>
  <c r="B26" i="7" s="1"/>
  <c r="B29" i="20" s="1"/>
  <c r="C13" i="14"/>
  <c r="B27" i="7" s="1"/>
  <c r="B30" i="20" s="1"/>
  <c r="C30" i="14" l="1"/>
  <c r="B44" i="7" s="1"/>
  <c r="B45" i="8"/>
  <c r="B46" i="8"/>
  <c r="B44" i="8"/>
  <c r="C44" i="8" s="1"/>
  <c r="B43" i="8"/>
  <c r="B31" i="8"/>
  <c r="B19" i="4" s="1"/>
  <c r="B32" i="8"/>
  <c r="B33" i="8"/>
  <c r="E33" i="8" s="1"/>
  <c r="B34" i="8"/>
  <c r="C34" i="8" s="1"/>
  <c r="B35" i="8"/>
  <c r="E35" i="8" s="1"/>
  <c r="B36" i="8"/>
  <c r="E36" i="8" s="1"/>
  <c r="B37" i="8"/>
  <c r="E37" i="8" s="1"/>
  <c r="B30" i="8"/>
  <c r="B9" i="4" s="1"/>
  <c r="B3" i="20"/>
  <c r="B3" i="7"/>
  <c r="B3" i="5"/>
  <c r="B3" i="4"/>
  <c r="B3" i="1"/>
  <c r="B13" i="1"/>
  <c r="C4" i="14"/>
  <c r="B18" i="7" s="1"/>
  <c r="C5" i="14"/>
  <c r="B19" i="7" s="1"/>
  <c r="C6" i="14"/>
  <c r="B20" i="7" s="1"/>
  <c r="B23" i="20" s="1"/>
  <c r="C7" i="14"/>
  <c r="B21" i="7" s="1"/>
  <c r="C8" i="14"/>
  <c r="B22" i="7" s="1"/>
  <c r="C22" i="7" s="1"/>
  <c r="C10" i="14"/>
  <c r="B24" i="7" s="1"/>
  <c r="C11" i="14"/>
  <c r="B25" i="7" s="1"/>
  <c r="B28" i="20" s="1"/>
  <c r="C14" i="14"/>
  <c r="B28" i="7" s="1"/>
  <c r="B31" i="20" s="1"/>
  <c r="C17" i="14"/>
  <c r="B31" i="7" s="1"/>
  <c r="B34" i="20" s="1"/>
  <c r="C18" i="14"/>
  <c r="B32" i="7" s="1"/>
  <c r="C19" i="14"/>
  <c r="B33" i="7" s="1"/>
  <c r="B36" i="20" s="1"/>
  <c r="C20" i="14"/>
  <c r="B34" i="7" s="1"/>
  <c r="C21" i="14"/>
  <c r="B35" i="7" s="1"/>
  <c r="C22" i="14"/>
  <c r="B36" i="7" s="1"/>
  <c r="B39" i="20" s="1"/>
  <c r="C23" i="14"/>
  <c r="B37" i="7" s="1"/>
  <c r="C25" i="14"/>
  <c r="B39" i="7" s="1"/>
  <c r="B5" i="7"/>
  <c r="C23" i="8"/>
  <c r="C26" i="8"/>
  <c r="C47" i="8"/>
  <c r="C31" i="14"/>
  <c r="B45" i="7" s="1"/>
  <c r="C35" i="14"/>
  <c r="B6" i="7"/>
  <c r="B5" i="5"/>
  <c r="B6" i="5"/>
  <c r="B5" i="4"/>
  <c r="B13" i="4"/>
  <c r="B6" i="4"/>
  <c r="E8" i="4"/>
  <c r="B5" i="1"/>
  <c r="C13" i="1" s="1"/>
  <c r="B6" i="1"/>
  <c r="E20" i="1" s="1"/>
  <c r="E47" i="8"/>
  <c r="B5" i="20"/>
  <c r="C34" i="14"/>
  <c r="B6" i="20"/>
  <c r="C29" i="14"/>
  <c r="C28" i="14"/>
  <c r="C27" i="14"/>
  <c r="C26" i="14"/>
  <c r="C16" i="14"/>
  <c r="C15" i="14"/>
  <c r="C9" i="14"/>
  <c r="E26" i="8"/>
  <c r="E23" i="8"/>
  <c r="B43" i="7" l="1"/>
  <c r="B46" i="20" s="1"/>
  <c r="E19" i="7"/>
  <c r="E30" i="20"/>
  <c r="E49" i="20"/>
  <c r="E31" i="20"/>
  <c r="E41" i="20"/>
  <c r="E29" i="20"/>
  <c r="E44" i="7"/>
  <c r="E27" i="7"/>
  <c r="E38" i="7"/>
  <c r="E46" i="7"/>
  <c r="E26" i="7"/>
  <c r="E18" i="7"/>
  <c r="C19" i="4"/>
  <c r="C37" i="8"/>
  <c r="C35" i="8"/>
  <c r="E30" i="8"/>
  <c r="C30" i="8"/>
  <c r="B17" i="1"/>
  <c r="C17" i="1" s="1"/>
  <c r="B19" i="1"/>
  <c r="C19" i="1" s="1"/>
  <c r="C31" i="8"/>
  <c r="C36" i="8"/>
  <c r="C33" i="8"/>
  <c r="B23" i="4"/>
  <c r="C23" i="4" s="1"/>
  <c r="C30" i="20"/>
  <c r="C31" i="20"/>
  <c r="C29" i="20"/>
  <c r="C41" i="20"/>
  <c r="C49" i="20"/>
  <c r="C46" i="7"/>
  <c r="C26" i="7"/>
  <c r="C27" i="7"/>
  <c r="C38" i="7"/>
  <c r="C13" i="4"/>
  <c r="E34" i="7"/>
  <c r="E35" i="7"/>
  <c r="E45" i="7"/>
  <c r="B22" i="20"/>
  <c r="E22" i="20" s="1"/>
  <c r="B42" i="7"/>
  <c r="B45" i="20" s="1"/>
  <c r="C45" i="20" s="1"/>
  <c r="B24" i="20"/>
  <c r="E21" i="7"/>
  <c r="B42" i="20"/>
  <c r="E39" i="7"/>
  <c r="C24" i="7"/>
  <c r="B27" i="20"/>
  <c r="E27" i="20" s="1"/>
  <c r="C36" i="20"/>
  <c r="E36" i="20"/>
  <c r="E32" i="7"/>
  <c r="B35" i="20"/>
  <c r="C23" i="20"/>
  <c r="E23" i="20"/>
  <c r="E34" i="20"/>
  <c r="E28" i="7"/>
  <c r="B40" i="20"/>
  <c r="E37" i="7"/>
  <c r="E39" i="20"/>
  <c r="C39" i="20"/>
  <c r="E46" i="20"/>
  <c r="C46" i="20"/>
  <c r="C25" i="7"/>
  <c r="E25" i="7"/>
  <c r="E20" i="7"/>
  <c r="B38" i="20"/>
  <c r="E38" i="20" s="1"/>
  <c r="B47" i="20"/>
  <c r="B48" i="20"/>
  <c r="E43" i="7"/>
  <c r="B30" i="7"/>
  <c r="E30" i="7" s="1"/>
  <c r="E33" i="7"/>
  <c r="E31" i="7"/>
  <c r="B25" i="20"/>
  <c r="E22" i="7"/>
  <c r="C31" i="7"/>
  <c r="E24" i="7"/>
  <c r="B21" i="20"/>
  <c r="B37" i="20"/>
  <c r="E43" i="8"/>
  <c r="C43" i="8"/>
  <c r="C45" i="8"/>
  <c r="E45" i="8"/>
  <c r="E46" i="8"/>
  <c r="C46" i="8"/>
  <c r="E44" i="8"/>
  <c r="C9" i="4"/>
  <c r="F9" i="4" s="1"/>
  <c r="E9" i="4"/>
  <c r="E34" i="8"/>
  <c r="C32" i="8"/>
  <c r="B18" i="1"/>
  <c r="E31" i="8"/>
  <c r="B29" i="8"/>
  <c r="E29" i="8" s="1"/>
  <c r="E32" i="8"/>
  <c r="C18" i="7"/>
  <c r="C32" i="7"/>
  <c r="C45" i="7"/>
  <c r="C44" i="7"/>
  <c r="C35" i="7"/>
  <c r="C19" i="7"/>
  <c r="C34" i="7"/>
  <c r="C39" i="7"/>
  <c r="C28" i="7"/>
  <c r="C43" i="7"/>
  <c r="C37" i="7"/>
  <c r="C33" i="7"/>
  <c r="C20" i="7"/>
  <c r="C21" i="7"/>
  <c r="C34" i="20"/>
  <c r="C36" i="7"/>
  <c r="E23" i="4"/>
  <c r="E36" i="7"/>
  <c r="E8" i="1"/>
  <c r="E19" i="4"/>
  <c r="E15" i="1"/>
  <c r="E13" i="1"/>
  <c r="E13" i="4"/>
  <c r="E27" i="8"/>
  <c r="C14" i="8"/>
  <c r="E14" i="8"/>
  <c r="B24" i="4"/>
  <c r="E13" i="8"/>
  <c r="B18" i="4"/>
  <c r="B13" i="5"/>
  <c r="C13" i="8"/>
  <c r="B11" i="4"/>
  <c r="C10" i="8"/>
  <c r="B10" i="1"/>
  <c r="E10" i="8"/>
  <c r="E11" i="8"/>
  <c r="B14" i="4"/>
  <c r="C11" i="8"/>
  <c r="C12" i="8"/>
  <c r="E12" i="8"/>
  <c r="B21" i="4"/>
  <c r="E15" i="8"/>
  <c r="C15" i="8"/>
  <c r="B14" i="5"/>
  <c r="C19" i="8"/>
  <c r="B23" i="7"/>
  <c r="B12" i="4"/>
  <c r="B10" i="20"/>
  <c r="C10" i="20" s="1"/>
  <c r="E21" i="8"/>
  <c r="B25" i="4"/>
  <c r="E25" i="4" s="1"/>
  <c r="B15" i="5"/>
  <c r="E15" i="5" s="1"/>
  <c r="C18" i="8"/>
  <c r="E18" i="8"/>
  <c r="B15" i="4" l="1"/>
  <c r="E19" i="8"/>
  <c r="E19" i="1"/>
  <c r="E17" i="1"/>
  <c r="C29" i="8"/>
  <c r="E42" i="7"/>
  <c r="B41" i="7"/>
  <c r="E41" i="7" s="1"/>
  <c r="C42" i="7"/>
  <c r="C41" i="7" s="1"/>
  <c r="B42" i="8"/>
  <c r="B41" i="8"/>
  <c r="E41" i="8" s="1"/>
  <c r="B40" i="8"/>
  <c r="C40" i="8" s="1"/>
  <c r="C38" i="20"/>
  <c r="C22" i="20"/>
  <c r="B44" i="20"/>
  <c r="E44" i="20" s="1"/>
  <c r="C27" i="20"/>
  <c r="C28" i="20"/>
  <c r="E28" i="20"/>
  <c r="C47" i="20"/>
  <c r="E47" i="20"/>
  <c r="E37" i="20"/>
  <c r="C37" i="20"/>
  <c r="C48" i="20"/>
  <c r="E48" i="20"/>
  <c r="E21" i="20"/>
  <c r="C21" i="20"/>
  <c r="E42" i="20"/>
  <c r="C42" i="20"/>
  <c r="E25" i="20"/>
  <c r="C25" i="20"/>
  <c r="E45" i="20"/>
  <c r="C40" i="20"/>
  <c r="E40" i="20"/>
  <c r="B33" i="20"/>
  <c r="E33" i="20" s="1"/>
  <c r="C30" i="7"/>
  <c r="C35" i="20"/>
  <c r="E35" i="20"/>
  <c r="E24" i="20"/>
  <c r="C24" i="20"/>
  <c r="B20" i="4"/>
  <c r="C20" i="4" s="1"/>
  <c r="C41" i="8"/>
  <c r="C18" i="1"/>
  <c r="C16" i="1" s="1"/>
  <c r="F4" i="19" s="1"/>
  <c r="E18" i="1"/>
  <c r="B16" i="1"/>
  <c r="E16" i="1" s="1"/>
  <c r="C22" i="8"/>
  <c r="E13" i="5"/>
  <c r="C13" i="5"/>
  <c r="E18" i="4"/>
  <c r="C18" i="4"/>
  <c r="C24" i="4"/>
  <c r="E24" i="4"/>
  <c r="C11" i="5"/>
  <c r="E14" i="5"/>
  <c r="C14" i="5"/>
  <c r="C21" i="4"/>
  <c r="E21" i="4"/>
  <c r="C27" i="8"/>
  <c r="J12" i="1"/>
  <c r="I12" i="1"/>
  <c r="C14" i="4"/>
  <c r="E14" i="4"/>
  <c r="C10" i="1"/>
  <c r="E10" i="1"/>
  <c r="B14" i="1"/>
  <c r="C14" i="1" s="1"/>
  <c r="E11" i="4"/>
  <c r="C11" i="4"/>
  <c r="E22" i="8"/>
  <c r="E10" i="20"/>
  <c r="C17" i="8"/>
  <c r="C15" i="5"/>
  <c r="B12" i="1"/>
  <c r="C21" i="8"/>
  <c r="E20" i="8"/>
  <c r="E17" i="8"/>
  <c r="E24" i="8"/>
  <c r="C24" i="8"/>
  <c r="B9" i="8"/>
  <c r="C25" i="4"/>
  <c r="C20" i="8"/>
  <c r="B9" i="5"/>
  <c r="C9" i="5" s="1"/>
  <c r="B11" i="1"/>
  <c r="C11" i="1" s="1"/>
  <c r="B16" i="4"/>
  <c r="C16" i="4" s="1"/>
  <c r="E16" i="8"/>
  <c r="E25" i="8"/>
  <c r="C25" i="8"/>
  <c r="B11" i="20"/>
  <c r="C11" i="20" s="1"/>
  <c r="B10" i="4"/>
  <c r="E10" i="4" s="1"/>
  <c r="C16" i="8"/>
  <c r="B26" i="20"/>
  <c r="B17" i="7"/>
  <c r="E23" i="7"/>
  <c r="C23" i="7"/>
  <c r="C12" i="1"/>
  <c r="E12" i="1"/>
  <c r="E16" i="5"/>
  <c r="C16" i="5"/>
  <c r="C15" i="4"/>
  <c r="E15" i="4"/>
  <c r="C12" i="4"/>
  <c r="E12" i="4"/>
  <c r="B22" i="1" l="1"/>
  <c r="E22" i="1" s="1"/>
  <c r="B12" i="5"/>
  <c r="C12" i="5" s="1"/>
  <c r="B39" i="8"/>
  <c r="E39" i="8" s="1"/>
  <c r="B17" i="4"/>
  <c r="E40" i="8"/>
  <c r="B23" i="1"/>
  <c r="E23" i="1" s="1"/>
  <c r="B22" i="4"/>
  <c r="E42" i="8"/>
  <c r="C42" i="8"/>
  <c r="C39" i="8" s="1"/>
  <c r="B24" i="1"/>
  <c r="E20" i="4"/>
  <c r="C44" i="20"/>
  <c r="C33" i="20"/>
  <c r="C17" i="4"/>
  <c r="E17" i="4"/>
  <c r="C23" i="1"/>
  <c r="E11" i="5"/>
  <c r="E14" i="1"/>
  <c r="J10" i="1"/>
  <c r="E16" i="4"/>
  <c r="E9" i="8"/>
  <c r="B9" i="1"/>
  <c r="E11" i="1"/>
  <c r="E9" i="5"/>
  <c r="C10" i="5"/>
  <c r="E10" i="5"/>
  <c r="C9" i="8"/>
  <c r="E11" i="20"/>
  <c r="C10" i="4"/>
  <c r="F10" i="4" s="1"/>
  <c r="F11" i="4" s="1"/>
  <c r="F12" i="4" s="1"/>
  <c r="F13" i="4" s="1"/>
  <c r="F14" i="4" s="1"/>
  <c r="F15" i="4" s="1"/>
  <c r="F16" i="4" s="1"/>
  <c r="J11" i="1"/>
  <c r="I11" i="1"/>
  <c r="C9" i="1"/>
  <c r="B11" i="7"/>
  <c r="E17" i="7"/>
  <c r="C17" i="7"/>
  <c r="C26" i="20"/>
  <c r="B20" i="20"/>
  <c r="E26" i="20"/>
  <c r="C22" i="1" l="1"/>
  <c r="E12" i="5"/>
  <c r="B7" i="8"/>
  <c r="E7" i="8" s="1"/>
  <c r="B7" i="5"/>
  <c r="D9" i="5" s="1"/>
  <c r="C29" i="5"/>
  <c r="C7" i="5"/>
  <c r="F17" i="4"/>
  <c r="F18" i="4" s="1"/>
  <c r="B21" i="1"/>
  <c r="C7" i="8"/>
  <c r="D21" i="8" s="1"/>
  <c r="C24" i="1"/>
  <c r="C21" i="1" s="1"/>
  <c r="E24" i="1"/>
  <c r="B7" i="1"/>
  <c r="E7" i="1" s="1"/>
  <c r="C22" i="4"/>
  <c r="E22" i="4"/>
  <c r="I10" i="1"/>
  <c r="D16" i="5"/>
  <c r="B9" i="7"/>
  <c r="E9" i="1"/>
  <c r="B9" i="20"/>
  <c r="C9" i="20" s="1"/>
  <c r="J14" i="1"/>
  <c r="J13" i="1" s="1"/>
  <c r="F3" i="19"/>
  <c r="C11" i="7"/>
  <c r="E11" i="7"/>
  <c r="C20" i="20"/>
  <c r="E20" i="20"/>
  <c r="B14" i="20"/>
  <c r="D14" i="5" l="1"/>
  <c r="D11" i="5"/>
  <c r="D12" i="5"/>
  <c r="D20" i="8"/>
  <c r="D32" i="8"/>
  <c r="E7" i="5"/>
  <c r="D15" i="5"/>
  <c r="D10" i="5"/>
  <c r="D40" i="8"/>
  <c r="D13" i="5"/>
  <c r="D24" i="8"/>
  <c r="D22" i="8"/>
  <c r="D11" i="8"/>
  <c r="D36" i="8"/>
  <c r="D19" i="8"/>
  <c r="D17" i="8"/>
  <c r="D15" i="8"/>
  <c r="D26" i="8"/>
  <c r="D10" i="8"/>
  <c r="D31" i="8"/>
  <c r="D25" i="8"/>
  <c r="D35" i="8"/>
  <c r="D33" i="8"/>
  <c r="D47" i="8"/>
  <c r="D37" i="8"/>
  <c r="D46" i="8"/>
  <c r="D43" i="8"/>
  <c r="D27" i="8"/>
  <c r="D16" i="8"/>
  <c r="D12" i="8"/>
  <c r="D42" i="8"/>
  <c r="D30" i="8"/>
  <c r="D13" i="8"/>
  <c r="D44" i="8"/>
  <c r="D18" i="8"/>
  <c r="D23" i="8"/>
  <c r="D45" i="8"/>
  <c r="D41" i="8"/>
  <c r="D14" i="8"/>
  <c r="F5" i="19"/>
  <c r="C7" i="1"/>
  <c r="D13" i="1" s="1"/>
  <c r="B7" i="4"/>
  <c r="C7" i="4" s="1"/>
  <c r="D34" i="8"/>
  <c r="B16" i="20"/>
  <c r="B7" i="20" s="1"/>
  <c r="E7" i="20" s="1"/>
  <c r="B13" i="7"/>
  <c r="E21" i="1"/>
  <c r="D30" i="5"/>
  <c r="C9" i="7"/>
  <c r="E9" i="7"/>
  <c r="E9" i="20"/>
  <c r="B12" i="20"/>
  <c r="E12" i="20" s="1"/>
  <c r="G4" i="19"/>
  <c r="E14" i="20"/>
  <c r="C14" i="20"/>
  <c r="D7" i="5" l="1"/>
  <c r="D29" i="5"/>
  <c r="D39" i="8"/>
  <c r="D29" i="8"/>
  <c r="D9" i="8"/>
  <c r="D12" i="1"/>
  <c r="D14" i="1"/>
  <c r="D23" i="1"/>
  <c r="D24" i="1"/>
  <c r="D19" i="1"/>
  <c r="D10" i="1"/>
  <c r="D22" i="1"/>
  <c r="D18" i="1"/>
  <c r="D17" i="1"/>
  <c r="I14" i="1"/>
  <c r="I13" i="1" s="1"/>
  <c r="D11" i="1"/>
  <c r="E7" i="4"/>
  <c r="B26" i="4"/>
  <c r="C26" i="4" s="1"/>
  <c r="D26" i="4" s="1"/>
  <c r="C13" i="7"/>
  <c r="E13" i="7"/>
  <c r="C16" i="20"/>
  <c r="C7" i="20" s="1"/>
  <c r="E16" i="20"/>
  <c r="B7" i="7"/>
  <c r="E7" i="7" s="1"/>
  <c r="G3" i="19"/>
  <c r="C12" i="20"/>
  <c r="D17" i="4"/>
  <c r="J13" i="4" s="1"/>
  <c r="D14" i="4"/>
  <c r="D19" i="4"/>
  <c r="D20" i="4"/>
  <c r="D24" i="4"/>
  <c r="D13" i="4"/>
  <c r="D21" i="4"/>
  <c r="D18" i="4"/>
  <c r="D9" i="4"/>
  <c r="D22" i="4"/>
  <c r="D23" i="4"/>
  <c r="D11" i="4"/>
  <c r="D25" i="4"/>
  <c r="D16" i="4"/>
  <c r="D10" i="4"/>
  <c r="D15" i="4"/>
  <c r="D12" i="4"/>
  <c r="D9" i="1" l="1"/>
  <c r="B3" i="19" s="1"/>
  <c r="G5" i="19"/>
  <c r="H30" i="7"/>
  <c r="D21" i="1"/>
  <c r="B5" i="19" s="1"/>
  <c r="D7" i="8"/>
  <c r="D16" i="1"/>
  <c r="B4" i="19" s="1"/>
  <c r="D42" i="20"/>
  <c r="D41" i="20"/>
  <c r="D49" i="20"/>
  <c r="D30" i="20"/>
  <c r="D31" i="20"/>
  <c r="D21" i="20"/>
  <c r="D10" i="20"/>
  <c r="E26" i="4"/>
  <c r="D36" i="20"/>
  <c r="D22" i="20"/>
  <c r="D47" i="20"/>
  <c r="D16" i="20"/>
  <c r="D24" i="20"/>
  <c r="D38" i="20"/>
  <c r="D39" i="20"/>
  <c r="D25" i="20"/>
  <c r="D23" i="20"/>
  <c r="D27" i="20"/>
  <c r="D46" i="20"/>
  <c r="D29" i="20"/>
  <c r="D35" i="20"/>
  <c r="C7" i="7"/>
  <c r="D40" i="20"/>
  <c r="D48" i="20"/>
  <c r="D12" i="20"/>
  <c r="D28" i="20"/>
  <c r="D9" i="20"/>
  <c r="D34" i="20"/>
  <c r="D26" i="20"/>
  <c r="D37" i="20"/>
  <c r="D14" i="20"/>
  <c r="D11" i="20"/>
  <c r="J11" i="4"/>
  <c r="J10" i="4"/>
  <c r="J9" i="4"/>
  <c r="D7" i="4"/>
  <c r="G9" i="4"/>
  <c r="G10" i="4" s="1"/>
  <c r="G11" i="4" s="1"/>
  <c r="G12" i="4" s="1"/>
  <c r="G13" i="4" s="1"/>
  <c r="G14" i="4" s="1"/>
  <c r="G15" i="4" s="1"/>
  <c r="G16" i="4" s="1"/>
  <c r="G17" i="4" s="1"/>
  <c r="G18" i="4" s="1"/>
  <c r="J14" i="4"/>
  <c r="J12" i="4"/>
  <c r="D7" i="1" l="1"/>
  <c r="D45" i="20"/>
  <c r="D44" i="20" s="1"/>
  <c r="D7" i="20"/>
  <c r="D20" i="20"/>
  <c r="D34" i="7"/>
  <c r="D23" i="7"/>
  <c r="D28" i="7"/>
  <c r="D37" i="7"/>
  <c r="D32" i="7"/>
  <c r="D18" i="7"/>
  <c r="D43" i="7"/>
  <c r="D13" i="7"/>
  <c r="C5" i="19" s="1"/>
  <c r="D22" i="7"/>
  <c r="D44" i="7"/>
  <c r="D21" i="7"/>
  <c r="D36" i="7"/>
  <c r="D11" i="7"/>
  <c r="C4" i="19" s="1"/>
  <c r="D25" i="7"/>
  <c r="D42" i="7"/>
  <c r="D35" i="7"/>
  <c r="D31" i="7"/>
  <c r="D20" i="7"/>
  <c r="D24" i="7"/>
  <c r="D9" i="7"/>
  <c r="D33" i="7"/>
  <c r="D45" i="7"/>
  <c r="D26" i="7"/>
  <c r="D39" i="7"/>
  <c r="D19" i="7"/>
  <c r="D27" i="7"/>
  <c r="D38" i="7"/>
  <c r="D46" i="7"/>
  <c r="D33" i="20"/>
  <c r="D41" i="7" l="1"/>
  <c r="D30" i="7"/>
  <c r="D17" i="7"/>
  <c r="C3" i="19"/>
  <c r="D7" i="7"/>
</calcChain>
</file>

<file path=xl/sharedStrings.xml><?xml version="1.0" encoding="utf-8"?>
<sst xmlns="http://schemas.openxmlformats.org/spreadsheetml/2006/main" count="1139" uniqueCount="757">
  <si>
    <t>Arrecadação Direta por Esfera de Governo: 2024</t>
  </si>
  <si>
    <t>Esfera de Governo</t>
  </si>
  <si>
    <t>R$ Bilhões</t>
  </si>
  <si>
    <t>% PIB</t>
  </si>
  <si>
    <t>% Total</t>
  </si>
  <si>
    <t>Per capita (R$)</t>
  </si>
  <si>
    <t>PIB</t>
  </si>
  <si>
    <t>POPULAÇÃO</t>
  </si>
  <si>
    <t>TOTAL</t>
  </si>
  <si>
    <t>UNIÃO</t>
  </si>
  <si>
    <t xml:space="preserve">    IR</t>
  </si>
  <si>
    <t>Balanço Geral da União (STN)</t>
  </si>
  <si>
    <t xml:space="preserve">    IPI</t>
  </si>
  <si>
    <t xml:space="preserve">    IOF</t>
  </si>
  <si>
    <t xml:space="preserve">    Imp. Sobre Comércio Exterior</t>
  </si>
  <si>
    <t xml:space="preserve">    ITR</t>
  </si>
  <si>
    <t xml:space="preserve">    Taxas</t>
  </si>
  <si>
    <t xml:space="preserve">    Previdência (1)</t>
  </si>
  <si>
    <t xml:space="preserve">    Cofins</t>
  </si>
  <si>
    <t xml:space="preserve">    CPMF</t>
  </si>
  <si>
    <t xml:space="preserve">    CSLL</t>
  </si>
  <si>
    <t xml:space="preserve">    PIS-PASEP</t>
  </si>
  <si>
    <t xml:space="preserve">    Contrib. Seg. Serv. Público (2)</t>
  </si>
  <si>
    <t xml:space="preserve">    Outras contribuições sociais (3)</t>
  </si>
  <si>
    <t xml:space="preserve">    FGTS</t>
  </si>
  <si>
    <t>CEF</t>
  </si>
  <si>
    <t xml:space="preserve">    Contribuições Econômicas (4)</t>
  </si>
  <si>
    <t xml:space="preserve">    Salário Educação</t>
  </si>
  <si>
    <t xml:space="preserve">    Sistema S</t>
  </si>
  <si>
    <t>RFB</t>
  </si>
  <si>
    <t xml:space="preserve">    Multas e Dívida Ativa</t>
  </si>
  <si>
    <t>ESTADOS</t>
  </si>
  <si>
    <t xml:space="preserve">    ICMS</t>
  </si>
  <si>
    <t>Finbra (Siconfi/STN)</t>
  </si>
  <si>
    <t xml:space="preserve">    IPVA</t>
  </si>
  <si>
    <t xml:space="preserve">    ITCD</t>
  </si>
  <si>
    <t xml:space="preserve">    IRRF</t>
  </si>
  <si>
    <t xml:space="preserve">    TAXAS</t>
  </si>
  <si>
    <t xml:space="preserve">    Previ. Estadual</t>
  </si>
  <si>
    <t xml:space="preserve">    Contribuições de Melhoria e Econômicas</t>
  </si>
  <si>
    <t xml:space="preserve">    Demais (multas, juros e dívida ativa)</t>
  </si>
  <si>
    <t>MUNICÍPIOS</t>
  </si>
  <si>
    <t xml:space="preserve">    ISS</t>
  </si>
  <si>
    <t xml:space="preserve">    IPTU</t>
  </si>
  <si>
    <t xml:space="preserve">    ITBI</t>
  </si>
  <si>
    <t xml:space="preserve">    Previd. Municipal</t>
  </si>
  <si>
    <t>Elaboração própria. Fontes primárias: BGU/STN, FGTS/CEF, Sistema S/RFB, FINBRA/Siconfi, RREO/Siconfi, PIB Mensal/Bacen e SCN/IBGE.</t>
  </si>
  <si>
    <t>(1) Dados extraídos da Execução Orçamentária da União. Inclui SIMPLES/Previdência</t>
  </si>
  <si>
    <t>(2) Inclui "Cota-Parte do Serv. No Fundo de Saúde Militar", classificada como "Outras Receitas" no Balanço da STN.</t>
  </si>
  <si>
    <t>(3) Inclui "Receita Part. Seguro-Dpvat-Sist. Nac. de Trânsito", classifacada como "Outras Receitas" no Balanço da STN.</t>
  </si>
  <si>
    <t>(4) Inclui "Util.Recurso Hidricos-Trat. Itaipu", classificada como "Outras Receitas" no Balanço da STN</t>
  </si>
  <si>
    <t xml:space="preserve">% PIB </t>
  </si>
  <si>
    <t>Setor Público</t>
  </si>
  <si>
    <t>União</t>
  </si>
  <si>
    <t xml:space="preserve">    Impostos</t>
  </si>
  <si>
    <t>Impostos</t>
  </si>
  <si>
    <t xml:space="preserve">    Contribuições Sociais</t>
  </si>
  <si>
    <t>Contribuições</t>
  </si>
  <si>
    <t xml:space="preserve">    Previdência Social</t>
  </si>
  <si>
    <t>Taxas</t>
  </si>
  <si>
    <t>Outros</t>
  </si>
  <si>
    <t xml:space="preserve">    Demais</t>
  </si>
  <si>
    <t>Fonte:  Elaboração Própria (Balanço Oficial da União, STN; Balanço dos Estados, STN; Finbra, STN; SRF)</t>
  </si>
  <si>
    <t>Arrecadação Tributária por Principais Impostos e Contribuições: 2024</t>
  </si>
  <si>
    <t>Principais Tributos</t>
  </si>
  <si>
    <t xml:space="preserve">  ICMS</t>
  </si>
  <si>
    <t>ICMS</t>
  </si>
  <si>
    <t xml:space="preserve">  Previdência Social Ampliada (1)</t>
  </si>
  <si>
    <t>IR + CSLL</t>
  </si>
  <si>
    <t xml:space="preserve">  Imposto de Renda (Global)</t>
  </si>
  <si>
    <t>Prev + FGTS</t>
  </si>
  <si>
    <t xml:space="preserve">  Cofins</t>
  </si>
  <si>
    <t>Cofins + PIS</t>
  </si>
  <si>
    <t xml:space="preserve">  FGTS</t>
  </si>
  <si>
    <t>ISS</t>
  </si>
  <si>
    <t xml:space="preserve">  IPI</t>
  </si>
  <si>
    <t xml:space="preserve">  Contrib. Lucro</t>
  </si>
  <si>
    <t xml:space="preserve">  Pis/Pasep</t>
  </si>
  <si>
    <t xml:space="preserve">  ISS</t>
  </si>
  <si>
    <t xml:space="preserve">  Imp. Importação</t>
  </si>
  <si>
    <t xml:space="preserve">  IPVA</t>
  </si>
  <si>
    <t xml:space="preserve">  IPTU</t>
  </si>
  <si>
    <t xml:space="preserve">  IOF</t>
  </si>
  <si>
    <t xml:space="preserve">  ITBI</t>
  </si>
  <si>
    <t xml:space="preserve">  ITCD</t>
  </si>
  <si>
    <t xml:space="preserve">  ITR</t>
  </si>
  <si>
    <t xml:space="preserve">  CPMF</t>
  </si>
  <si>
    <t xml:space="preserve">  Demais tributos </t>
  </si>
  <si>
    <t>(1) Inclui Sistema "S" e Salário Educação</t>
  </si>
  <si>
    <t>Arrecadação por Bases de Incidência: 2024</t>
  </si>
  <si>
    <t>Base de Incidência</t>
  </si>
  <si>
    <t xml:space="preserve">R$ Bilhões </t>
  </si>
  <si>
    <t>BENS E SERVIÇOS</t>
  </si>
  <si>
    <t>SALÁRIOS E MÃO-DE-OBRA</t>
  </si>
  <si>
    <t>RENDA, LUCROS E GANHOS</t>
  </si>
  <si>
    <t>PATRIMONIAIS</t>
  </si>
  <si>
    <t>COMÉRCIO EXTERIOR</t>
  </si>
  <si>
    <t>TAXAS</t>
  </si>
  <si>
    <t>TRANSAÇÕES FINANCEIRAS</t>
  </si>
  <si>
    <t>DEMAIS</t>
  </si>
  <si>
    <t>Tributos computados por categoria:</t>
  </si>
  <si>
    <t xml:space="preserve"> - Bens e serviços: IPI e ICMS (Valor Adicionado); COFINS, PIS-PASEP, Contrib.Econômicas (inclusive CIDE), ISS (Cumulativos),</t>
  </si>
  <si>
    <t>Contribuição para  PIN,  Selo Especial de Controle, Lojas Francas e Royalties</t>
  </si>
  <si>
    <t xml:space="preserve"> - Salários: Contrib. Previdência Social (INSS), Sistema S e Salário-Educação; FGTS; Contribuição Servidores (3 esferas), Contr.Rel a Desped. de Empreg. S/ Justa Causa, </t>
  </si>
  <si>
    <t>Contr. sobre Remuneracao Devida ao Trabalh.</t>
  </si>
  <si>
    <t xml:space="preserve"> - Renda = IR, CSLL, IR Retido na Fonte por Estados e Municípios, Contribuições de Loteria Federal, Contribuições de Bingo e Contribuições de Melhoria</t>
  </si>
  <si>
    <t xml:space="preserve"> - Patrimoniais = ITR; IPVA e ITCD; IPTU e ITBI.</t>
  </si>
  <si>
    <t xml:space="preserve"> - Comércio Exterior = impostos sobre exportação e importação.</t>
  </si>
  <si>
    <t xml:space="preserve"> - Taxas = 3 esferas de governo (inclui contribuição municipal de iluminação pública)</t>
  </si>
  <si>
    <t xml:space="preserve"> - Transações Financeiras = IOF e CPMF.</t>
  </si>
  <si>
    <t xml:space="preserve"> - Demais Tributos = outros tributos, incluindo receita da dívida ativa, multas e juros</t>
  </si>
  <si>
    <t>Receita Tributária Disponível por Esfera de Governo: 2024</t>
  </si>
  <si>
    <t xml:space="preserve">Receita Disponível </t>
  </si>
  <si>
    <t>RECEITA DISPONÍVEL</t>
  </si>
  <si>
    <t xml:space="preserve">UNIÃO </t>
  </si>
  <si>
    <t>Transferências Constitucionais</t>
  </si>
  <si>
    <t xml:space="preserve"> União para Estados</t>
  </si>
  <si>
    <t xml:space="preserve">   FPE</t>
  </si>
  <si>
    <t xml:space="preserve">   FPEx</t>
  </si>
  <si>
    <t xml:space="preserve">   IOF OURO</t>
  </si>
  <si>
    <t xml:space="preserve">   SEGURO REC. ICMS</t>
  </si>
  <si>
    <t xml:space="preserve">   FUNDEB</t>
  </si>
  <si>
    <t xml:space="preserve">   SAL.EDUCAÇÃO</t>
  </si>
  <si>
    <t xml:space="preserve">   FEX 1/</t>
  </si>
  <si>
    <t xml:space="preserve">   CIDE</t>
  </si>
  <si>
    <t xml:space="preserve">   AFE</t>
  </si>
  <si>
    <t xml:space="preserve">   LC 201/2023</t>
  </si>
  <si>
    <t xml:space="preserve">   ROYALTIES E PARTICIPAÇÕES </t>
  </si>
  <si>
    <t xml:space="preserve"> União para Municípios</t>
  </si>
  <si>
    <t xml:space="preserve">   FPM</t>
  </si>
  <si>
    <t xml:space="preserve">   ITR</t>
  </si>
  <si>
    <t xml:space="preserve">   AFM</t>
  </si>
  <si>
    <t xml:space="preserve">   ROYALTIES E PARTICIPAÇÕES</t>
  </si>
  <si>
    <t xml:space="preserve"> Estados para Municípios</t>
  </si>
  <si>
    <t xml:space="preserve">   ICMS</t>
  </si>
  <si>
    <t xml:space="preserve">   IPVA</t>
  </si>
  <si>
    <t xml:space="preserve">   FPEX</t>
  </si>
  <si>
    <t>Elaboração própria. Fontes primárias: STN, ANP e Aneel.</t>
  </si>
  <si>
    <t>1/  Fundo destinado ao fomento das exportações (até 2004, era considerado como parcela da Lei Kandir)</t>
  </si>
  <si>
    <t>2/ Auxílio emergencial concedido pela União aos governos subnacionais, em face à pandemia de Covid-19. Valores referentes aos auxílios concedidos a partir da Lei 14.041/2020 e Lei Complementar 173/2020 (art. 5 II).</t>
  </si>
  <si>
    <t>Contas Privadas</t>
  </si>
  <si>
    <t>Seguridade Social</t>
  </si>
  <si>
    <t>Fiscal</t>
  </si>
  <si>
    <t>Fonte:  Elaboração Propria (STN, ANP e ANEEL)</t>
  </si>
  <si>
    <t>1/ FGTS, Sistema S, 40% do PIS/PASEP (administrado pelo BNDES)</t>
  </si>
  <si>
    <t xml:space="preserve">2/Previdência, Cofins, CPMF, CSLL, 60% do PIS/PASEP, Contr. Seg. Serv. Pub., Outras </t>
  </si>
  <si>
    <t>Contribuições Sociais</t>
  </si>
  <si>
    <t xml:space="preserve">3/Demais: IR, IPI, IOF, II, IE, IT, Taxas, Contribuições Econômicas, Salário Educação, </t>
  </si>
  <si>
    <t>Multas e Dívida Ativa (- Transferências a Estados e Municípios)</t>
  </si>
  <si>
    <t>4/  Fundo destinado ao fomento das exportações (até 2004, era considerado como parcela da Lei Kandir)</t>
  </si>
  <si>
    <t>11110101</t>
  </si>
  <si>
    <t>IMPOSTO SOBRE A IMPORTACAO-PRINCIPAL</t>
  </si>
  <si>
    <t>11110102</t>
  </si>
  <si>
    <t>IMPOSTO SOBRE A IMPORTACAO-MULTAS JUROS</t>
  </si>
  <si>
    <t>11110103</t>
  </si>
  <si>
    <t>IMPOSTO SOBRE A IMPORTACAO-DIVIDA ATIVA</t>
  </si>
  <si>
    <t>11110107</t>
  </si>
  <si>
    <t>IMPOSTO SOBRE A IMPORTACAO-MULTAS DIV.ATIVA</t>
  </si>
  <si>
    <t>11110108</t>
  </si>
  <si>
    <t>IMPOSTO SOBRE A IMPORTACAO-JUROS DIVIDA ATIVA</t>
  </si>
  <si>
    <t>11110201</t>
  </si>
  <si>
    <t>IMPOSTO SOBRE A EXPORTACAO-PRINCIPAL</t>
  </si>
  <si>
    <t>11110202</t>
  </si>
  <si>
    <t>IMPOSTO SOBRE A EXPORTACAO-MUL.JUR.</t>
  </si>
  <si>
    <t>11110203</t>
  </si>
  <si>
    <t>IMPOSTO SOBRE A EXPORTACAO-DIVIDA ATIVA</t>
  </si>
  <si>
    <t>11110207</t>
  </si>
  <si>
    <t>IMPOSTO SOBRE A EXPORTACAO-MULTAS DIV.ATIVA</t>
  </si>
  <si>
    <t>11110208</t>
  </si>
  <si>
    <t>IMPOSTO SOBRE A EXPORTACAO-JUROS DIVIDA ATIVA</t>
  </si>
  <si>
    <t>11120111</t>
  </si>
  <si>
    <t>ITR-MUNICIPIOS CONVENIADOS-PRINCIPAL</t>
  </si>
  <si>
    <t>11120112</t>
  </si>
  <si>
    <t>ITR-MUNICIPIOS CONVENIADOS-MULTAS E JUROS</t>
  </si>
  <si>
    <t>11120121</t>
  </si>
  <si>
    <t>ITR-MUNICIPIOS NAO CONVENIADOS-PRINCIPAL</t>
  </si>
  <si>
    <t>11120122</t>
  </si>
  <si>
    <t>ITR-MUNICIPIOS NAO-CONVENIADOS-MULTAS E JUROS</t>
  </si>
  <si>
    <t>11120123</t>
  </si>
  <si>
    <t>ITR-MUNICIPIOS NAO CONVENIADOS-DIVIDA ATIVA</t>
  </si>
  <si>
    <t>11120127</t>
  </si>
  <si>
    <t>ITR-MUNICIPIOS NAO-CONVENIADOS-MULTAS DIV.AT.</t>
  </si>
  <si>
    <t>11120128</t>
  </si>
  <si>
    <t>ITR-MUNICIPIOS NAO-CONVENIADOS-JUROS DIV.AT.</t>
  </si>
  <si>
    <t>11130101</t>
  </si>
  <si>
    <t>IRPF-PRINCIPAL</t>
  </si>
  <si>
    <t>11130102</t>
  </si>
  <si>
    <t>IRPF-MULTAS E JUROS</t>
  </si>
  <si>
    <t>11130103</t>
  </si>
  <si>
    <t>IRPF-DIVIDA ATIVA</t>
  </si>
  <si>
    <t>11130107</t>
  </si>
  <si>
    <t>IRPF-MULTAS DA DIVIDA ATIVA</t>
  </si>
  <si>
    <t>11130108</t>
  </si>
  <si>
    <t>IRPF-JUROS DA DIVIDA ATIVA</t>
  </si>
  <si>
    <t>11130201</t>
  </si>
  <si>
    <t>IRPJ-LIQUIDA DE INCENTIVOS-PRINCIPAL</t>
  </si>
  <si>
    <t>11130202</t>
  </si>
  <si>
    <t>IRPJ-LIQUIDA DE INCENTIVOS-MULTAS E JUROS</t>
  </si>
  <si>
    <t>11130203</t>
  </si>
  <si>
    <t>IRPJ-LIQUIDA DE INCENTIVOS-DIVIDA ATIVA</t>
  </si>
  <si>
    <t>11130207</t>
  </si>
  <si>
    <t>IRPJ-LIQUIDA DE INCENTIVOS-MULTAS DIV.ATIVA</t>
  </si>
  <si>
    <t>11130208</t>
  </si>
  <si>
    <t>IRPJ-LIQUIDA DE INCENTIVOS-JUROS DIV.ATIVA</t>
  </si>
  <si>
    <t>11130311</t>
  </si>
  <si>
    <t>IRRF-TRABALHO-PRINCIPAL</t>
  </si>
  <si>
    <t>11130312</t>
  </si>
  <si>
    <t>IRRF-TRABALHO-MULTAS E JUROS</t>
  </si>
  <si>
    <t>11130317</t>
  </si>
  <si>
    <t>IRRF-TRABALHO-MULTAS DA DIVIDA ATIVA</t>
  </si>
  <si>
    <t>11130318</t>
  </si>
  <si>
    <t>IRRF-TRABALHO-JUROS DA DIVIDA ATIVA</t>
  </si>
  <si>
    <t>11130321</t>
  </si>
  <si>
    <t>IRRF-CAPITAL-PRINCIPAL</t>
  </si>
  <si>
    <t>11130331</t>
  </si>
  <si>
    <t>IRRF-REMESSA AO EXTERIOR-PRINCIPAL</t>
  </si>
  <si>
    <t>11130341</t>
  </si>
  <si>
    <t>IRRF-OUTROS RENDIMENTOS-PRINCIPAL</t>
  </si>
  <si>
    <t>11130343</t>
  </si>
  <si>
    <t>IRRF-OUTROS RENDIMENTOS-DIVIDA ATIVA</t>
  </si>
  <si>
    <t>11140111</t>
  </si>
  <si>
    <t>IPI-FUMO-PRINCIPAL</t>
  </si>
  <si>
    <t>11140112</t>
  </si>
  <si>
    <t>IPI-FUMO-MULTAS E JUROS</t>
  </si>
  <si>
    <t>11140121</t>
  </si>
  <si>
    <t>IPI-BEBIDAS</t>
  </si>
  <si>
    <t>11140131</t>
  </si>
  <si>
    <t>IPI-AUTOMOVEIS-PRINCIPAL</t>
  </si>
  <si>
    <t>11140141</t>
  </si>
  <si>
    <t>IPI-VINCULADOS A IMPORTACAO-PRINCIPAL</t>
  </si>
  <si>
    <t>11140142</t>
  </si>
  <si>
    <t>IPI-VINCULADOS A IMPORTACAO-MULTAS E JUROS</t>
  </si>
  <si>
    <t>11140151</t>
  </si>
  <si>
    <t>IPI-OUTROS PRODUTOS-PRINCIPAL</t>
  </si>
  <si>
    <t>11140152</t>
  </si>
  <si>
    <t>IPI-OUTROS PRODUTOS-MULTAS E JUROS</t>
  </si>
  <si>
    <t>11140153</t>
  </si>
  <si>
    <t>IPI-OUTROS PRODUTOS-DIVIDA ATIVA</t>
  </si>
  <si>
    <t>11140157</t>
  </si>
  <si>
    <t>IPI-OUTROS PRODUTOS-MULTAS DA DIVIDA ATIVA</t>
  </si>
  <si>
    <t>11140158</t>
  </si>
  <si>
    <t>IPI-OUTROS PRODUTOS-JUROS DA DIVIDA ATIVA</t>
  </si>
  <si>
    <t>11150101</t>
  </si>
  <si>
    <t>IOF-OURO-PRINCIPAL</t>
  </si>
  <si>
    <t>11150102</t>
  </si>
  <si>
    <t>IOF-OURO-MULTAS E JUROS</t>
  </si>
  <si>
    <t>11150201</t>
  </si>
  <si>
    <t>IOF-DEMAIS OPERACOES-PRINCIPAL</t>
  </si>
  <si>
    <t>11150202</t>
  </si>
  <si>
    <t>IOF-DEMAIS OPERACOES-MULTAS E JUROS</t>
  </si>
  <si>
    <t>11150203</t>
  </si>
  <si>
    <t>IOF-DEMAIS OPERACOES-DIVIDA ATIVA</t>
  </si>
  <si>
    <t>11150207</t>
  </si>
  <si>
    <t>IOF-DEMAIS OPERACOES-MULTAS DA DIVIDA ATIVA</t>
  </si>
  <si>
    <t>11150208</t>
  </si>
  <si>
    <t>IOF-DEMAIS OPERACOES-JUROS DA DIVIDA ATIVA</t>
  </si>
  <si>
    <t>11199902</t>
  </si>
  <si>
    <t>OUTROS IMPOSTOS-MULTAS E JUROS</t>
  </si>
  <si>
    <t>11199903</t>
  </si>
  <si>
    <t>OUTROS IMPOSTOS-DIVIDA ATIVA</t>
  </si>
  <si>
    <t>11199904</t>
  </si>
  <si>
    <t>OUTROS IMPOSTOS-DIVIDA ATIVA-MULTAS E JUROS</t>
  </si>
  <si>
    <t>TAXA</t>
  </si>
  <si>
    <t>11210101</t>
  </si>
  <si>
    <t>TAXAS INSPECAO,CONTROLE E FISCALIZACAO-PRINC.</t>
  </si>
  <si>
    <t>11210102</t>
  </si>
  <si>
    <t>TAXAS INSPECAO,CONTROLE E FISCALIZ.-MUL.JUR.</t>
  </si>
  <si>
    <t>11210103</t>
  </si>
  <si>
    <t>TAXAS INSPECAO,CONTROLE E FISCALIZACAO-DIV.AT</t>
  </si>
  <si>
    <t>11210104</t>
  </si>
  <si>
    <t>TX.INSP,CONTROL.E FISCALIZ.-DIV.AT.-MUL.JUR.</t>
  </si>
  <si>
    <t>11210211</t>
  </si>
  <si>
    <t>TX.FISC.INST-TFI-NAO.POSI.ORBITAIS/PRC</t>
  </si>
  <si>
    <t>11210213</t>
  </si>
  <si>
    <t>TX.FISC.INST-TFI-NAO.POSI.ORBITAIS/DA.PRC</t>
  </si>
  <si>
    <t>11210214</t>
  </si>
  <si>
    <t>TX.FISC.INST-TFI-NAO.POSI.ORBITAIS/DA.MLT+JRS</t>
  </si>
  <si>
    <t>11210221</t>
  </si>
  <si>
    <t>TX.FISC.FUNC-TFF-NAO.POSI.ORBITAIS/PRC</t>
  </si>
  <si>
    <t>11210223</t>
  </si>
  <si>
    <t>TX.FISC.FUNC-TFF-NAO.POSI.ORBITAIS/DA.PRC</t>
  </si>
  <si>
    <t>11210224</t>
  </si>
  <si>
    <t>TX.FISC.FUNC-TFF-NAO.POSI.ORBITAIS/DA.MLT+JRS</t>
  </si>
  <si>
    <t>11210231</t>
  </si>
  <si>
    <t>TX.FISC.INST-TFI-POSICOES.ORBITAIS/PRC</t>
  </si>
  <si>
    <t>11210233</t>
  </si>
  <si>
    <t>TX.FISC.INST-TFI-POSICOES.ORBITAIS/DA.PRC</t>
  </si>
  <si>
    <t>11210241</t>
  </si>
  <si>
    <t>TX.FISC.FUNC-TFF-POSICOES.ORBITAIS/PRC</t>
  </si>
  <si>
    <t>11210301</t>
  </si>
  <si>
    <t>TX.CONTROLE E FISCALIZ.PROD.QUIMICOS-PRINC.</t>
  </si>
  <si>
    <t>11210401</t>
  </si>
  <si>
    <t>TAXA DE CONTROLE E FISC.AMBIENTAL-PRINCIPAL</t>
  </si>
  <si>
    <t>11210402</t>
  </si>
  <si>
    <t>TAXA DE CONTROLE E FISC.AMBIENTAL-MUL.JUR.</t>
  </si>
  <si>
    <t>11210403</t>
  </si>
  <si>
    <t>TAXA DE CONTROLE E FISC.AMBIENTAL-DIV.ATIVA</t>
  </si>
  <si>
    <t>11210501</t>
  </si>
  <si>
    <t>TX.CONTR.E FISC.PESCA E AQUICULTURA-PRINC.</t>
  </si>
  <si>
    <t>11210502</t>
  </si>
  <si>
    <t>TX.CONTR.E FISC.PESCA E AQUICULTURA-MUL.JUR.</t>
  </si>
  <si>
    <t>11210601</t>
  </si>
  <si>
    <t>TAXA DE UTILIZACAO DO SISCOMEX-PRINCIPAL</t>
  </si>
  <si>
    <t>11210701</t>
  </si>
  <si>
    <t>TAXA DE UTILIZACAO DO MERCANTE-TUM-PRINC.</t>
  </si>
  <si>
    <t>11210702</t>
  </si>
  <si>
    <t>TAXA DE UTILIZACAO DO MERCANTE-TUM-MUL.JUR.</t>
  </si>
  <si>
    <t>11210801</t>
  </si>
  <si>
    <t>TX.FISC.EXPL.COM.LOT.AP.QUOTA FIXA-PRINCIPAL</t>
  </si>
  <si>
    <t>11210901</t>
  </si>
  <si>
    <t>TX.AUTORIZ.DISTRIB.GRATUITA PREMIOS-PRINCIPAL</t>
  </si>
  <si>
    <t>11210902</t>
  </si>
  <si>
    <t>TX.AUTORIZ.DISTRIB.GRATUITA PREMIOS-MUL.JUR.</t>
  </si>
  <si>
    <t>11220101</t>
  </si>
  <si>
    <t>TAXAS PRESTACAO SERVICOS EM GERAL-PRINC.</t>
  </si>
  <si>
    <t>11220103</t>
  </si>
  <si>
    <t>TAXAS PRESTACAO SERVICOS EM GERAL-DIV.ATIVA</t>
  </si>
  <si>
    <t>11220201</t>
  </si>
  <si>
    <t>EMOLUMENTOS E CUSTAS JUDICIAIS-PRINCIPAL</t>
  </si>
  <si>
    <t>11220202</t>
  </si>
  <si>
    <t>EMOLUMENTOS E CUSTAS JUDICIAIS-MULTAS E JUROS</t>
  </si>
  <si>
    <t>11220203</t>
  </si>
  <si>
    <t>EMOLUMENTOS E CUSTAS JUDICIAIS-DIVIDA ATIVA</t>
  </si>
  <si>
    <t>11220204</t>
  </si>
  <si>
    <t>EMOLUMENTOS E CUSTAS JUDICIAIS-DIV.AT-MUL.JUR</t>
  </si>
  <si>
    <t>MULTAS E DA</t>
  </si>
  <si>
    <t>CÓDIGO</t>
  </si>
  <si>
    <t>RECEITAS DE CONTRIBUIÇÕES</t>
  </si>
  <si>
    <t>Referência</t>
  </si>
  <si>
    <t>12210701</t>
  </si>
  <si>
    <t>CIDE-REMESSAS AO EXTERIOR-PRINCIPAL</t>
  </si>
  <si>
    <t>CIDE</t>
  </si>
  <si>
    <t>12210811</t>
  </si>
  <si>
    <t>CIDE-COMBUSTIVEIS-IMPORTACAO-PRINCIPAL</t>
  </si>
  <si>
    <t>12210821</t>
  </si>
  <si>
    <t>CIDE-COMBUSTIVEIS-COMERCIALIZACAO-PRINCIPAL</t>
  </si>
  <si>
    <t>12211211</t>
  </si>
  <si>
    <t>CONTR.ATIV.IND.RURAIS-CIDE IND.RURAL-PRINC.</t>
  </si>
  <si>
    <t>CIDE RURAL</t>
  </si>
  <si>
    <t>12211301</t>
  </si>
  <si>
    <t>ADIC.CONTR.PREV.FOLHA-CIDE REF.AGR.-PRINC.</t>
  </si>
  <si>
    <t>12110101</t>
  </si>
  <si>
    <t>COFINS S/FATURAMENTO-NAO OPT.SIMP.NAC-PRINC.</t>
  </si>
  <si>
    <t>COFINS</t>
  </si>
  <si>
    <t>12110201</t>
  </si>
  <si>
    <t>COFINS S/FATURAMENTO-OPT.SIMP.NAC-PRINC.</t>
  </si>
  <si>
    <t>12114901</t>
  </si>
  <si>
    <t>COFINS SOBRE O FATURAMENTO-PARCELAM.-PRINC.</t>
  </si>
  <si>
    <t>12191011</t>
  </si>
  <si>
    <t>CONTR.MOV.TRANSM.VAL.CRED.DIR.NAT.FIN.-PRINC.</t>
  </si>
  <si>
    <t>CPMF</t>
  </si>
  <si>
    <t>12130101</t>
  </si>
  <si>
    <t>CSLL-CONTRIBUINTES NAO OPT.SIMP.NAC-PRINC.</t>
  </si>
  <si>
    <t>CSLL</t>
  </si>
  <si>
    <t>12130201</t>
  </si>
  <si>
    <t>CSLL-CONTRIBUINTES OPT.SIMPLES NAC.-PRINC</t>
  </si>
  <si>
    <t>12134901</t>
  </si>
  <si>
    <t>CSLL-PARCELAMENTOS-PRINCIPAL</t>
  </si>
  <si>
    <t>12190321</t>
  </si>
  <si>
    <t>CONTR.S/REMUN.DEVIDA AO TRABALHADOR-PRINCIPAL</t>
  </si>
  <si>
    <t>FGTS ADICIONAL</t>
  </si>
  <si>
    <t>12170111</t>
  </si>
  <si>
    <t>CONTRIBUICAO SOBRE A LOTERIA FEDERAL-PRINCIP.</t>
  </si>
  <si>
    <t>JOGOS</t>
  </si>
  <si>
    <t>12170211</t>
  </si>
  <si>
    <t>CONTRIBUICAO SOBRE LOTERIAS ESPORTIVAS-PRINC.</t>
  </si>
  <si>
    <t>12170411</t>
  </si>
  <si>
    <t>CONTRIB.S/LOTERIAS PROGNOST.NUMERICOS-PRINC.</t>
  </si>
  <si>
    <t>12170611</t>
  </si>
  <si>
    <t>CONTRIB.S/LOTERIA PROGNOST.ESPECIFICO-PRINC.</t>
  </si>
  <si>
    <t>12170711</t>
  </si>
  <si>
    <t>CONTR.SOBRE LOT.APOSTAS DE QUOTA FIXA-PRINC.</t>
  </si>
  <si>
    <t>12190111</t>
  </si>
  <si>
    <t>CONTRIB.S/SORT.REALIZ.POR ENT.FILANT.-PRINC.</t>
  </si>
  <si>
    <t>12210301</t>
  </si>
  <si>
    <t>CONTR.S/APOSTAS EM COMPETICOES HIPICAS-PRINC.</t>
  </si>
  <si>
    <t>12110103</t>
  </si>
  <si>
    <t>COFINS S/FATURAMENTO-NAO OPT.SIMP.NAC-DIV.AT.</t>
  </si>
  <si>
    <t>12110105</t>
  </si>
  <si>
    <t>COFINS S/FATURAMENTO-NAO OPT.SIMP.NAC-MULTAS</t>
  </si>
  <si>
    <t>12110106</t>
  </si>
  <si>
    <t>COFINS S/FATURAMENTO-NAO OPT.SIMP.NAC-JUROS</t>
  </si>
  <si>
    <t>12110107</t>
  </si>
  <si>
    <t>COFINS S/FATURAM.-NAO OPT.SIMP.NAC-MUL.DIV.AT</t>
  </si>
  <si>
    <t>12110108</t>
  </si>
  <si>
    <t>COFINS S/FATURAM.-NAO OPT.SIMP.NAC-JUR.DIV.AT</t>
  </si>
  <si>
    <t>12110203</t>
  </si>
  <si>
    <t>COFINS S/FATURAMENTO-OPT.SIMP.NAC-DIV.AT.</t>
  </si>
  <si>
    <t>12110205</t>
  </si>
  <si>
    <t>COFINS S/FATURAMENTO-OPT.SIMP.NAC-MULTAS</t>
  </si>
  <si>
    <t>12110206</t>
  </si>
  <si>
    <t>COFINS S/FATURAMENTO-OPT.SIMP.NAC-JUROS</t>
  </si>
  <si>
    <t>12110207</t>
  </si>
  <si>
    <t>COFINS S/FATURAMENTO-OPT.SIMP.NAC-MUL.DIV.AT</t>
  </si>
  <si>
    <t>12110208</t>
  </si>
  <si>
    <t>COFINS S/FATURAMENTO-OPT.SIMP.NAC-JUR.DIV.AT</t>
  </si>
  <si>
    <t>12114903</t>
  </si>
  <si>
    <t>COFINS SOBRE O FATURAMENTO-PARCELAM.-DIV.AT.</t>
  </si>
  <si>
    <t>12114905</t>
  </si>
  <si>
    <t>COFINS SOBRE O FATURAMENTO-PARCELAM.-MULTAS</t>
  </si>
  <si>
    <t>12114906</t>
  </si>
  <si>
    <t>COFINS SOBRE O FATURAMENTO-PARCELAM.-JUROS</t>
  </si>
  <si>
    <t>12114907</t>
  </si>
  <si>
    <t>COFINS S/FATURAMENTO-PARCEL.-MULTAS DIV.ATIVA</t>
  </si>
  <si>
    <t>12114908</t>
  </si>
  <si>
    <t>COFINS S/FATURAMENTO-PARCEL.-JUROS DIV.ATIVA</t>
  </si>
  <si>
    <t>12120103</t>
  </si>
  <si>
    <t>CONTRIB.PIS/PASEP-NAO OPT.SIMP.NAC-DIV.AT.</t>
  </si>
  <si>
    <t>12120105</t>
  </si>
  <si>
    <t>CONTRIB.PIS/PASEP-NAO OPT.SIMP.NAC-MULTAS</t>
  </si>
  <si>
    <t>12120106</t>
  </si>
  <si>
    <t>CONTRIB.PIS/PASEP-NAO OPT.SIMP.NAC-JUROS</t>
  </si>
  <si>
    <t>12120107</t>
  </si>
  <si>
    <t>CONT.PIS/PASEP-NAO OPT.SIMP.NAC-MUL.DIV.AT.</t>
  </si>
  <si>
    <t>12120108</t>
  </si>
  <si>
    <t>CONT.PIS/PASEP-NAO OPT.SIMP.NAC-JUR.DIV.AT.</t>
  </si>
  <si>
    <t>12120203</t>
  </si>
  <si>
    <t>CONTRIB.PIS/PASEP-OPTANTES SIMP.NAC-DIV.AT.</t>
  </si>
  <si>
    <t>12120205</t>
  </si>
  <si>
    <t>CONTRIB.PIS/PASEP-OPTANTES SIMP.NAC-MULTAS</t>
  </si>
  <si>
    <t>12120206</t>
  </si>
  <si>
    <t>CONTRIB.PIS/PASEP-OPTANTES SIMP.NAC-JUROS</t>
  </si>
  <si>
    <t>12120207</t>
  </si>
  <si>
    <t>CONT.PIS/PASEP-OPT.SIMP.NAC-MULTAS DIV.AT.</t>
  </si>
  <si>
    <t>12120208</t>
  </si>
  <si>
    <t>CONT.PIS/PASEP-OPT.SIMP.NAC-JUROS DIV.ATIVA</t>
  </si>
  <si>
    <t>12124903</t>
  </si>
  <si>
    <t>CONTRIBUICAO PIS/PASEP-PARCELAMENTOS-DIV.AT.</t>
  </si>
  <si>
    <t>12124905</t>
  </si>
  <si>
    <t>CONTRIBUICAO PIS/PASEP-PARCELAMENTOS-MULTAS</t>
  </si>
  <si>
    <t>12124906</t>
  </si>
  <si>
    <t>CONTRIBUICAO PIS/PASEP-PARCELAMENTOS-JUROS</t>
  </si>
  <si>
    <t>12124907</t>
  </si>
  <si>
    <t>CONTR.PIS/PASEP-PARCELAMENTOS-MULTAS DIV.AT.</t>
  </si>
  <si>
    <t>12124908</t>
  </si>
  <si>
    <t>CONTR.PIS/PASEP-PARCELAMENTOS-JUROS DIV.ATIVA</t>
  </si>
  <si>
    <t>12130103</t>
  </si>
  <si>
    <t>CSLL-CONTRIBUINTES NAO OPT.SIMP.NAC-DIV.AT.</t>
  </si>
  <si>
    <t>12130105</t>
  </si>
  <si>
    <t>CSLL-CONTRIBUINTES NAO OPT.SIMP.NAC-MULTAS</t>
  </si>
  <si>
    <t>12130106</t>
  </si>
  <si>
    <t>CSLL-CONTRIBUINTES NAO OPT.SIMP.NAC-JUROS</t>
  </si>
  <si>
    <t>12130107</t>
  </si>
  <si>
    <t>CSLL-CONTRIB.NAO OPT.SIMP.NAC-DIV.AT-MULTAS</t>
  </si>
  <si>
    <t>12130108</t>
  </si>
  <si>
    <t>CSLL-CONTRIB.NAO OPT.SIMP.NAC-DIV.AT-JUROS</t>
  </si>
  <si>
    <t>12130203</t>
  </si>
  <si>
    <t>CSLL-CONTRIBUINTES OPT.SIMPLES NAC.-DIV.AT.</t>
  </si>
  <si>
    <t>12130205</t>
  </si>
  <si>
    <t>CSLL-CONTRIBUINTES OPT.SIMPLES NAC.-MULTAS</t>
  </si>
  <si>
    <t>12130206</t>
  </si>
  <si>
    <t>CSLL-CONTRIBUINTES OPT.SIMPLES NAC.-JUROS</t>
  </si>
  <si>
    <t>12130207</t>
  </si>
  <si>
    <t>CSLL-CONTRIBUINTES OPT.SIMPLES NAC-DIV.AT-MUL</t>
  </si>
  <si>
    <t>12130208</t>
  </si>
  <si>
    <t>CSLL-CONTRIBUINTES OPT.SIMPLES NAC-DIV.AT-JUR</t>
  </si>
  <si>
    <t>12134903</t>
  </si>
  <si>
    <t>CSLL-PARCELAMENTOS-DIVIDA ATIVA</t>
  </si>
  <si>
    <t>12134905</t>
  </si>
  <si>
    <t>CSLL-PARCELAMENTOS-MULTAS</t>
  </si>
  <si>
    <t>12134906</t>
  </si>
  <si>
    <t>CSLL-PARCELAMENTOS-JUROS</t>
  </si>
  <si>
    <t>12134907</t>
  </si>
  <si>
    <t>CSLL-PARCELAMENTOS-DIVIDA ATIVA-MULTAS</t>
  </si>
  <si>
    <t>12134908</t>
  </si>
  <si>
    <t>CSLL-PARCELAMENTOS-DIVIDA ATIVA-JUROS</t>
  </si>
  <si>
    <t>12140112</t>
  </si>
  <si>
    <t>CONTR.PREV.EMPREGADOR-Ñ OPT.SIMP.NAC.-MUL.JUR</t>
  </si>
  <si>
    <t>12140113</t>
  </si>
  <si>
    <t>CONTR.PREV.EMPREGADOR-Ñ OPT.SIMP.NAC.-DIV.AT.</t>
  </si>
  <si>
    <t>12140114</t>
  </si>
  <si>
    <t>CONT.PREV.EMPREGADOR-Ñ SIM.NAC-DIV.AT-MUL.JUR</t>
  </si>
  <si>
    <t>12140122</t>
  </si>
  <si>
    <t>CONT.PREVID.EMPREGADOR-OPT.SIMP.NAC.-MUL.JUR.</t>
  </si>
  <si>
    <t>12140123</t>
  </si>
  <si>
    <t>CONT.PREVID.EMPREGADOR-OPT.SIMP.NAC.-DIV.AT.</t>
  </si>
  <si>
    <t>12140124</t>
  </si>
  <si>
    <t>CONT.PREV.EMPREG.-OPT.SIMP.NAC-DIV.AT-MUL.JUR</t>
  </si>
  <si>
    <t>12140202</t>
  </si>
  <si>
    <t>CONTRIB.PREVIDENCIARIA DO SEGURADO-MUL.JUR.</t>
  </si>
  <si>
    <t>12140203</t>
  </si>
  <si>
    <t>CONTRIB.PREVIDENCIARIA DO SEGURADO-DIV.ATIVA</t>
  </si>
  <si>
    <t>12140204</t>
  </si>
  <si>
    <t>CONT.PREVIDENCIARIA SEGURADO-DIV.AT-MUL.JUR</t>
  </si>
  <si>
    <t>12144902</t>
  </si>
  <si>
    <t>CONTRIBUICOES P/O RGPS-PARCELAMENTOS-MUL.JUR.</t>
  </si>
  <si>
    <t>12144903</t>
  </si>
  <si>
    <t>CONTRIBUICOES P/O RGPS-PARCELAMENTOS-DIV.AT.</t>
  </si>
  <si>
    <t>12144904</t>
  </si>
  <si>
    <t>CONTRIBUICOES P/O RGPS-PARCEL.-DIV.AT-MUL.JUR</t>
  </si>
  <si>
    <t>12150113</t>
  </si>
  <si>
    <t>CONTRIBUICAO DO SERVIDOR CIVIL ATIVO-DIV.AT.</t>
  </si>
  <si>
    <t>12150115</t>
  </si>
  <si>
    <t>CONTRIBUICAO DO SERVIDOR CIVIL ATIVO-MULTAS</t>
  </si>
  <si>
    <t>12150116</t>
  </si>
  <si>
    <t>CONTRIBUICAO DO SERVIDOR CIVIL ATIVO-JUROS</t>
  </si>
  <si>
    <t>12150117</t>
  </si>
  <si>
    <t>CONTRIB.SERVIDOR CIVIL ATIVO-DIV.AT.-MULTAS</t>
  </si>
  <si>
    <t>12150118</t>
  </si>
  <si>
    <t>CONTRIB.SERVIDOR CIVIL ATIVO-DIV.AT.-JUROS</t>
  </si>
  <si>
    <t>12150412</t>
  </si>
  <si>
    <t>CONTR.P/CUST.PENS.MIL.FORCAS ARMADAS-MUL/JUR.</t>
  </si>
  <si>
    <t>12150422</t>
  </si>
  <si>
    <t>CONTR.CUST.PENSOES MILIT.E INAT.PMDF-MUL.JUR.</t>
  </si>
  <si>
    <t>12160212</t>
  </si>
  <si>
    <t>CONTR.P/FUNDOS ASSIST.MED-BOMB.MILIT.-MUL.JUR</t>
  </si>
  <si>
    <t>12160512</t>
  </si>
  <si>
    <t>CONTR.FUNDOS ASS.MED.HOSP-F.ARM.-MUL.JUR.</t>
  </si>
  <si>
    <t>12190112</t>
  </si>
  <si>
    <t>CONTRIB.S/SORT.REALIZ.POR ENT.FILANT.-MUL.JUR</t>
  </si>
  <si>
    <t>12190212</t>
  </si>
  <si>
    <t>COTA-PARTE DA CONTRIBUICAO SINDICAL-MUL.JUR.</t>
  </si>
  <si>
    <t>12190412</t>
  </si>
  <si>
    <t>CONTRIB.SOCIAL DO SALARIO-EDUCACAO-MUL.JUR.</t>
  </si>
  <si>
    <t>12190413</t>
  </si>
  <si>
    <t>CONTRIB.SOCIAL DO SALARIO-EDUCACAO-DIV.ATIVA</t>
  </si>
  <si>
    <t>12190414</t>
  </si>
  <si>
    <t>CONTR.SOCIAL SALARIO-EDUCACAO-DIV.AT-MUL.JUR.</t>
  </si>
  <si>
    <t>12190422</t>
  </si>
  <si>
    <t>CONTR.SOCIAL SALARIO-EDUCACAO-PARCEL.-MUL.JUR</t>
  </si>
  <si>
    <t>12190512</t>
  </si>
  <si>
    <t>CONTRIBUICAO PARA O ENSINO AEROVIARIO-MUL.JUR</t>
  </si>
  <si>
    <t>12190513</t>
  </si>
  <si>
    <t>CONTRIBUICAO PARA O ENSINO AEROVIARIO-DIV.AT.</t>
  </si>
  <si>
    <t>12190514</t>
  </si>
  <si>
    <t>CONTRIB.P/O ENSINO AEROVIARIO-DIV.AT-MUL.JUR.</t>
  </si>
  <si>
    <t>12190522</t>
  </si>
  <si>
    <t>CONTRIB.P/O ENSINO AEROVIARIO-PARCEL.-MUL.JUR</t>
  </si>
  <si>
    <t>12190612</t>
  </si>
  <si>
    <t>CONTR.P/DESENV.ENSINO PROF.MARITIMO-MUL.JUR.</t>
  </si>
  <si>
    <t>12190613</t>
  </si>
  <si>
    <t>CONTR.P/DESENV.ENSINO PROF.MARITIMO-DIV.ATIVA</t>
  </si>
  <si>
    <t>12190614</t>
  </si>
  <si>
    <t>CONTR.P/DES.ENS.PROF.MARITIMO-DIV.AT-MUL.JUR.</t>
  </si>
  <si>
    <t>12190622</t>
  </si>
  <si>
    <t>CONTR.DESENV.ENSINO PROF.MARIT-PARCEL-MUL.JUR</t>
  </si>
  <si>
    <t>12191013</t>
  </si>
  <si>
    <t>CONTR.MOV.TRANSM.VAL.CRED.DIR.NAT.FIN.-DIV.AT</t>
  </si>
  <si>
    <t>12191015</t>
  </si>
  <si>
    <t>CONT.MOV.TRANSM.VAL.CRED.DIR.NAT.FIN.-MULTAS</t>
  </si>
  <si>
    <t>12191016</t>
  </si>
  <si>
    <t>CONT.MOV.TRANSM.VAL.CRED.DIR.NAT.FIN.-JUROS</t>
  </si>
  <si>
    <t>12191017</t>
  </si>
  <si>
    <t>CONT.MOV.TRANSM.VAL.CR.DIR.FIN-MULTAS DIV.AT.</t>
  </si>
  <si>
    <t>12191018</t>
  </si>
  <si>
    <t>CONT.MOV.TRANSM.VAL.CR.DIR.FIN-JUROS DIV.AT.</t>
  </si>
  <si>
    <t>12191023</t>
  </si>
  <si>
    <t>CONT.MOV.TRANSM.VAL.CRED.DIR.FIN-PARC-DIV.AT.</t>
  </si>
  <si>
    <t>12191027</t>
  </si>
  <si>
    <t>CONT.MOV.TRANSM.VL.CR.FIN-PARC-DIV.AT-MULTAS</t>
  </si>
  <si>
    <t>12191028</t>
  </si>
  <si>
    <t>CONT.MOV.TRANSM.VL.CR.FIN-PARC-DIV.AT-JUROS</t>
  </si>
  <si>
    <t>12210302</t>
  </si>
  <si>
    <t>CONT.S/APOSTAS EM COMPETICOES HIPICAS-MUL.JUR</t>
  </si>
  <si>
    <t>12210303</t>
  </si>
  <si>
    <t>CONT.S/APOSTAS EM COMPETICOES HIPICAS-DIV.AT.</t>
  </si>
  <si>
    <t>12210304</t>
  </si>
  <si>
    <t>CONTR.S/APOSTAS COMPET.HIPICAS-DIV.AT-MUL.JUR</t>
  </si>
  <si>
    <t>12210402</t>
  </si>
  <si>
    <t>CONDECINE-MULTAS E JUROS</t>
  </si>
  <si>
    <t>12210403</t>
  </si>
  <si>
    <t>CONDECINE-DIVIDA ATIVA</t>
  </si>
  <si>
    <t>12210502</t>
  </si>
  <si>
    <t>COTA-PARTE DO AFRMM-MULTAS E JUROS</t>
  </si>
  <si>
    <t>12210503</t>
  </si>
  <si>
    <t>COTA-PARTE DO AFRMM-DIVIDA ATIVA</t>
  </si>
  <si>
    <t>12210507</t>
  </si>
  <si>
    <t>COTA-PARTE DO AFRMM-DIVIDA ATIVA-MULTAS</t>
  </si>
  <si>
    <t>12210508</t>
  </si>
  <si>
    <t>COTA-PARTE DO AFRMM-DIVIDA ATIVA-JUROS</t>
  </si>
  <si>
    <t>12210702</t>
  </si>
  <si>
    <t>CIDE-REMESSAS AO EXTERIOR-MULTAS E JUROS</t>
  </si>
  <si>
    <t>12210703</t>
  </si>
  <si>
    <t>CIDE-REMESSAS AO EXTERIOR-DIVIDA ATIVA</t>
  </si>
  <si>
    <t>12210704</t>
  </si>
  <si>
    <t>CIDE-REMESSAS AO EXTERIOR-DIV.AT.-MUL.JUR.</t>
  </si>
  <si>
    <t>12210812</t>
  </si>
  <si>
    <t>CIDE-COMBUSTIVEIS-IMPORTACAO-MULTAS E JUROS</t>
  </si>
  <si>
    <t>12210822</t>
  </si>
  <si>
    <t>CIDE COMBUSTIVEIS-COMERCIALIZACAO-MUL.JUR.</t>
  </si>
  <si>
    <t>12210823</t>
  </si>
  <si>
    <t>CIDE-COMBUSTIVEIS-COMERCIALIZACAO-DIV.ATIVA</t>
  </si>
  <si>
    <t>12210827</t>
  </si>
  <si>
    <t>CIDE-COMBUST.-COMERCIALIZACAO-MULTAS DIV.AT.</t>
  </si>
  <si>
    <t>12210828</t>
  </si>
  <si>
    <t>CIDE-COMBUST.-COMERCIALIZACAO-JUROS DIV.ATIVA</t>
  </si>
  <si>
    <t>12210913</t>
  </si>
  <si>
    <t>CONTR.S/REC.OP.BRT DECOR.SERV.TELECOM-DIV.AT.</t>
  </si>
  <si>
    <t>12210922</t>
  </si>
  <si>
    <t>CONTR.S/REC.BRT EMP.PREST.SERV.TELEC.-MUL.JUR</t>
  </si>
  <si>
    <t>12210923</t>
  </si>
  <si>
    <t>CONTR.S/REC.BRT EMP.PREST.SERV.TELECOM-DIV.AT</t>
  </si>
  <si>
    <t>12210924</t>
  </si>
  <si>
    <t>CONTR.S/REC.BRT EMP.SERV.TELEC-DIV.AT-MUL.JUR</t>
  </si>
  <si>
    <t>12211003</t>
  </si>
  <si>
    <t>CONTRIB.P/FOMENTO RADIODIFUSAO PUBLICA-DIV.AT</t>
  </si>
  <si>
    <t>12211112</t>
  </si>
  <si>
    <t>CONTR.S/FATUR.EMPR.INFO.INST.AMAZONIA-MUL.JUR</t>
  </si>
  <si>
    <t>12211212</t>
  </si>
  <si>
    <t>CONTR.ATIV.IND.RURAIS-CIDE IND.RURAL-MUL.JUR.</t>
  </si>
  <si>
    <t>12211213</t>
  </si>
  <si>
    <t>CONTR.ATIV.IND.RURAIS-CIDE IND.RURAL-DIV.ATIV</t>
  </si>
  <si>
    <t>12211214</t>
  </si>
  <si>
    <t>CONTR.ATIV.IND.RUR.-CIDE IND.RURAL-RDA-MLT.JR</t>
  </si>
  <si>
    <t>12219922</t>
  </si>
  <si>
    <t>OUTRAS CONTRIB.ECONOM.-ARREC.PROJ.RFB-MUL.JUR</t>
  </si>
  <si>
    <t>12219923</t>
  </si>
  <si>
    <t>OUTRAS CONTRIB.ECONOM.-ARREC.PROJ.RFB-DIV.AT.</t>
  </si>
  <si>
    <t>12219924</t>
  </si>
  <si>
    <t>OUTR.CONTR.ECON-ARREC.PROJ.RFB-DIV.AT.MUL/JUR</t>
  </si>
  <si>
    <t>12210401</t>
  </si>
  <si>
    <t>CONDECINE-PRINCIPAL</t>
  </si>
  <si>
    <t>OUTRAS CONTR. ECO.</t>
  </si>
  <si>
    <t>12210501</t>
  </si>
  <si>
    <t>COTA-PARTE DO AFRMM-PRINCIPAL</t>
  </si>
  <si>
    <t>12160111</t>
  </si>
  <si>
    <t>CONTR.P/FUNDOS ASSIST.MED-POLIC.MILIT-PRINC.</t>
  </si>
  <si>
    <t>OUTRAS. CONTR. SOC.</t>
  </si>
  <si>
    <t>12160211</t>
  </si>
  <si>
    <t>CONTR.P/FUNDOS ASSIST.MED-BOMB.MILIT.-PRINC.</t>
  </si>
  <si>
    <t>12160511</t>
  </si>
  <si>
    <t>CONTR.FUNDOS ASS.MED.HOSP-F.ARM.-PRINC.</t>
  </si>
  <si>
    <t>12199911</t>
  </si>
  <si>
    <t>DEM.CONTR.SOC.NAO ARREC.NAO PROJ.RFB-PRINC.</t>
  </si>
  <si>
    <t>12210601</t>
  </si>
  <si>
    <t>CONTR.S/REC.CONCESS.PERM.ENERG.ELETR.-PRINC.</t>
  </si>
  <si>
    <t>OUTROS ROYALTIES</t>
  </si>
  <si>
    <t>12120101</t>
  </si>
  <si>
    <t>CONTRIB.PIS/PASEP-NAO OPT.SIMP.NAC-PRINC.</t>
  </si>
  <si>
    <t>PIS/PASEP</t>
  </si>
  <si>
    <t>12120201</t>
  </si>
  <si>
    <t>CONTRIB.PIS/PASEP-OPTANTES SIMP.NAC-PRINC.</t>
  </si>
  <si>
    <t>12124901</t>
  </si>
  <si>
    <t>CONTRIBUICAO PIS/PASEP-PARCELAMENTOS-PRINC.</t>
  </si>
  <si>
    <t>12140111</t>
  </si>
  <si>
    <t>CONTR.PREV.EMPREGADOR-Ñ OPT.SIMP.NAC.-PRINC.</t>
  </si>
  <si>
    <t>PREVID</t>
  </si>
  <si>
    <t>12140121</t>
  </si>
  <si>
    <t>CONT.PREVID.EMPREGADOR-OPT.SIMP.NAC.-PRINC</t>
  </si>
  <si>
    <t>12140201</t>
  </si>
  <si>
    <t>CONTRIB.PREVIDENCIARIA DO SEGURADO-PRINC.</t>
  </si>
  <si>
    <t>12144901</t>
  </si>
  <si>
    <t>CONTRIBUICOES P/O RGPS-PARCELAMENTOS-PRINC.</t>
  </si>
  <si>
    <t>12150111</t>
  </si>
  <si>
    <t>CONTRIBUICAO DO SERVIDOR CIVIL ATIVO-PRINC.</t>
  </si>
  <si>
    <t>RPPS</t>
  </si>
  <si>
    <t>12150121</t>
  </si>
  <si>
    <t>CONTRIB.DO SERVIDOR CIVIL INATIVO-PRINC.</t>
  </si>
  <si>
    <t>12150131</t>
  </si>
  <si>
    <t>CONTRIB.SERVIDOR CIVIL-PENSIONISTAS-PRINC.</t>
  </si>
  <si>
    <t>12150141</t>
  </si>
  <si>
    <t>CONTRIB.SENT.JUD.-SERV.CIVIL ATIVO-PRINC.</t>
  </si>
  <si>
    <t>12150151</t>
  </si>
  <si>
    <t>CONTRIB.SENT.JUD.-SERV.CIVIL INATIVO-PRINC.</t>
  </si>
  <si>
    <t>12150161</t>
  </si>
  <si>
    <t>CONTR.SENT.JUD-SERV.CIV-PENSIONISTAS-PRINC.</t>
  </si>
  <si>
    <t>12150411</t>
  </si>
  <si>
    <t>CONTR.P/CUST.PENS.MILIT.FORCAS ARMADAS-PRINC.</t>
  </si>
  <si>
    <t>12150421</t>
  </si>
  <si>
    <t>CONTR.CUST.PENSOES MILIT.E INAT.PMDF-PRINC.</t>
  </si>
  <si>
    <t>12150431</t>
  </si>
  <si>
    <t>CONTR.CUST.PENSOES MILIT.E INAT.CBMDF-PRINC.</t>
  </si>
  <si>
    <t>12190411</t>
  </si>
  <si>
    <t>CONTRIB.SOCIAL DO SALARIO-EDUCACAO-PRINCIPAL</t>
  </si>
  <si>
    <t>SAL. EDUCAÇÃO</t>
  </si>
  <si>
    <t>12190421</t>
  </si>
  <si>
    <t>CONTRIB.SOCIAL SALARIO-EDUCACAO-PARCEL-PRINC.</t>
  </si>
  <si>
    <t>12210201</t>
  </si>
  <si>
    <t>CONTR.LOJ.FR.ENTREP.ADUAN.DEP.ALFAND.-PRINC.</t>
  </si>
  <si>
    <t>SELOS</t>
  </si>
  <si>
    <t>12190211</t>
  </si>
  <si>
    <t>COTA-PARTE DA CONTRIBUICAO SINDICAL-PRINCIPAL</t>
  </si>
  <si>
    <t>SINDICAL</t>
  </si>
  <si>
    <t>12190511</t>
  </si>
  <si>
    <t>CONTRIBUICAO PARA O ENSINO AEROVIARIO-PRINC.</t>
  </si>
  <si>
    <t>12190521</t>
  </si>
  <si>
    <t>CONTRIB.P/O ENSINO AEROVIARIO-PARCEL.-PRINC.</t>
  </si>
  <si>
    <t>12190611</t>
  </si>
  <si>
    <t>CONTR.P/DESENV.ENSINO PROF.MARITIMO-PRINCIPAL</t>
  </si>
  <si>
    <t>12190621</t>
  </si>
  <si>
    <t>CONTR.DESENV.ENSINO PROF.MARIT.-PARCEL-PRINC.</t>
  </si>
  <si>
    <t>12210911</t>
  </si>
  <si>
    <t>CONTR.S/REC.OP.BRT DECOR.SERV.TELECOM-PRINC.</t>
  </si>
  <si>
    <t>TECNOL. INFO. TELEC.</t>
  </si>
  <si>
    <t>12210921</t>
  </si>
  <si>
    <t>CONTR.S/REC.BRT EMP.PREST.SERV.TELECOM-PRINC.</t>
  </si>
  <si>
    <t>12211001</t>
  </si>
  <si>
    <t>CONTRIB.P/FOMENTO RADIODIFUSAO PUBLICA-PRINC.</t>
  </si>
  <si>
    <t>12211111</t>
  </si>
  <si>
    <t>CONTR.S/FATUR.EMPR.INFO.INST.AMAZONIA-PRINC.</t>
  </si>
  <si>
    <t>12211121</t>
  </si>
  <si>
    <t>CONTR.S/FATUR.EMPR.INFO.INST.DEM.REG.-PRINC.</t>
  </si>
  <si>
    <t>13410211</t>
  </si>
  <si>
    <t>ROYALT.PROD.PETRO.EM TERRA-CONCESSAO-PRINC.</t>
  </si>
  <si>
    <t>ROYALTIES PETROL.</t>
  </si>
  <si>
    <t>13410221</t>
  </si>
  <si>
    <t>ROY.PETRO.PLAT-COM.ANTES 3/12/12-P.SAL-PRINC.</t>
  </si>
  <si>
    <t>13410231</t>
  </si>
  <si>
    <t>ROY.PETRO.PLAT-COM.ANTES 3/12/12-DEMAIS-PRINC</t>
  </si>
  <si>
    <t>13410241</t>
  </si>
  <si>
    <t>ROYAL.PETRO.PLAT.-COM.A PARTIR 3/12/12-PRINC.</t>
  </si>
  <si>
    <t>13410311</t>
  </si>
  <si>
    <t>ROYAL.EXCED.PROD.PETRO.TERRA(QQ SIT.)-PRINC.</t>
  </si>
  <si>
    <t>13410321</t>
  </si>
  <si>
    <t>ROY.EXC.PETRO.PLAT-CM.ANT.3/12/12-P.SAL-PRINC</t>
  </si>
  <si>
    <t>13410331</t>
  </si>
  <si>
    <t>ROY.EXC.PETRO.PLAT-COM.ANT.3/12/12-DEM.-PRINC</t>
  </si>
  <si>
    <t>13410341</t>
  </si>
  <si>
    <t>ROY.EXC.PETRO.PLAT-COM.A PARTIR 3/12/12-PRINC</t>
  </si>
  <si>
    <t>13410421</t>
  </si>
  <si>
    <t>P.ESP.PETRO.PLAT-COM.ANT.3/12/12-P.SAL-PRINC.</t>
  </si>
  <si>
    <t>13410431</t>
  </si>
  <si>
    <t>P.ESP.PETRO.PLAT-COM.ANT.3/12/12-DEMAIS-PRINC</t>
  </si>
  <si>
    <t>13410441</t>
  </si>
  <si>
    <t>P.ESP.PETRO.PLAT-COM.A PARTIR 3/12/12-PRINC.</t>
  </si>
  <si>
    <t>13410501</t>
  </si>
  <si>
    <t>PART.PROPR.TERRA-CONTRATO CONCESSAO-PRINC.</t>
  </si>
  <si>
    <t>13430241</t>
  </si>
  <si>
    <t>ROY.PETR.PLAT.-PARTILHA-COM.A P.3/12/12-PRINC</t>
  </si>
  <si>
    <t>13440201</t>
  </si>
  <si>
    <t>COMPENS.FINANC.EXPL.RECURSOS MINERAIS-PRINC.</t>
  </si>
  <si>
    <t>13440203</t>
  </si>
  <si>
    <t>COMPENS.FINANC.EXPL.RECURSOS MINERAIS-DIV.AT.</t>
  </si>
  <si>
    <t>13450311</t>
  </si>
  <si>
    <t>UTILIZACAO DE RECURSOS HIDRICOS-ITAIPU-PRINC.</t>
  </si>
  <si>
    <t>CONTRIB. ECON.</t>
  </si>
  <si>
    <t>13450321</t>
  </si>
  <si>
    <t>UTILIZ.REC.HIDRICOS-DEMAIS EMPRESAS-PRINC.</t>
  </si>
  <si>
    <t>13450322</t>
  </si>
  <si>
    <t>UTILIZ.REC.HIDRICOS-DEMAIS EMPRESAS-MUL.JUR.</t>
  </si>
  <si>
    <t>13450323</t>
  </si>
  <si>
    <t>UTILIZ.REC.HIDRICOS-DEMAIS EMPRESAS-DIV.AT.</t>
  </si>
  <si>
    <t>13450331</t>
  </si>
  <si>
    <t>UTIL.REC.HID-DEM.EMPRESAS-PRORROG.OUT-PRINC.</t>
  </si>
  <si>
    <t>13450332</t>
  </si>
  <si>
    <t>UTIL.REC.HID-DEM.EMPRESAS-PRORROG.OUT-MUL.JUR</t>
  </si>
  <si>
    <t>19990811</t>
  </si>
  <si>
    <t>PREMIO DO SEGURO OBRIGATORIO DPVAT-PRINCIPAL</t>
  </si>
  <si>
    <t>ANO</t>
  </si>
  <si>
    <t>IPVA</t>
  </si>
  <si>
    <t>ITCD</t>
  </si>
  <si>
    <t>IRRF</t>
  </si>
  <si>
    <t>CONTR. SOCIAIS</t>
  </si>
  <si>
    <t>CONTR. ECONÔMICAS E DE MELHORIA</t>
  </si>
  <si>
    <t>MULTAS, JUROS E DÍVIDA ATIVA</t>
  </si>
  <si>
    <t>IPTU</t>
  </si>
  <si>
    <t>ITBI</t>
  </si>
  <si>
    <t>Rótulos de Linha</t>
  </si>
  <si>
    <t>CON. MELHORIA</t>
  </si>
  <si>
    <t>CON. SOCIAIS</t>
  </si>
  <si>
    <t>CON. ECONOMICAS</t>
  </si>
  <si>
    <t>COSIP</t>
  </si>
  <si>
    <t xml:space="preserve">   FUNDEF/FUNDEB</t>
  </si>
  <si>
    <t xml:space="preserve">   FEX</t>
  </si>
  <si>
    <t>Estados para Estados</t>
  </si>
  <si>
    <t>Estados</t>
  </si>
  <si>
    <t>Municípios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</si>
</sst>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0.0"/>
    <numFmt numFmtId="166" formatCode="#,##0.0"/>
    <numFmt numFmtId="167" formatCode="_(* #,##0_);_(* \(#,##0\);_(* &quot;-&quot;??_);_(@_)"/>
    <numFmt numFmtId="168" formatCode="0.0%"/>
    <numFmt numFmtId="169" formatCode="#,#00"/>
    <numFmt numFmtId="170" formatCode="#,"/>
    <numFmt numFmtId="171" formatCode="m\o\n\th\ d\,\ \y\y\y\y"/>
    <numFmt numFmtId="172" formatCode="\$#,##0\ ;\(\$#,##0\)"/>
    <numFmt numFmtId="173" formatCode="0.000"/>
  </numFmts>
  <fonts count="38">
    <font>
      <sz val="10"/>
      <name val="Arial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8"/>
      <name val="Arial"/>
      <family val="2"/>
    </font>
    <font>
      <sz val="10"/>
      <name val="Arial"/>
      <family val="2"/>
    </font>
    <font>
      <sz val="10"/>
      <name val="Cambria"/>
      <family val="1"/>
      <scheme val="major"/>
    </font>
    <font>
      <b/>
      <sz val="11"/>
      <name val="Cambria"/>
      <family val="1"/>
      <scheme val="major"/>
    </font>
    <font>
      <sz val="11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indexed="10"/>
      <name val="Cambria"/>
      <family val="1"/>
      <scheme val="major"/>
    </font>
    <font>
      <b/>
      <sz val="11"/>
      <color indexed="48"/>
      <name val="Cambria"/>
      <family val="1"/>
      <scheme val="major"/>
    </font>
    <font>
      <u/>
      <sz val="10"/>
      <color theme="11"/>
      <name val="Arial"/>
      <family val="2"/>
    </font>
    <font>
      <sz val="11"/>
      <color theme="0"/>
      <name val="Cambria"/>
      <family val="1"/>
      <scheme val="major"/>
    </font>
    <font>
      <b/>
      <sz val="12"/>
      <name val="Century Gothic"/>
      <family val="2"/>
    </font>
    <font>
      <sz val="10"/>
      <name val="Century Gothic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0"/>
      <name val="Century Gothic"/>
      <family val="2"/>
    </font>
    <font>
      <sz val="9"/>
      <name val="Century Gothic"/>
      <family val="2"/>
    </font>
    <font>
      <sz val="9"/>
      <color indexed="10"/>
      <name val="Century Gothic"/>
      <family val="2"/>
    </font>
    <font>
      <sz val="7"/>
      <name val="Century Gothic"/>
      <family val="2"/>
    </font>
    <font>
      <b/>
      <sz val="8"/>
      <name val="Century Gothic"/>
      <family val="2"/>
    </font>
    <font>
      <b/>
      <sz val="9"/>
      <color indexed="8"/>
      <name val="Century Gothic"/>
      <family val="2"/>
    </font>
    <font>
      <sz val="9"/>
      <color indexed="8"/>
      <name val="Century Gothic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Cambria"/>
      <family val="1"/>
      <scheme val="major"/>
    </font>
    <font>
      <b/>
      <sz val="8"/>
      <name val="Arial"/>
      <family val="2"/>
    </font>
    <font>
      <sz val="9"/>
      <color rgb="FF333333"/>
      <name val="Arial"/>
      <family val="2"/>
    </font>
    <font>
      <sz val="9"/>
      <color rgb="FFFF0000"/>
      <name val="Arial"/>
      <family val="2"/>
    </font>
    <font>
      <sz val="9"/>
      <color theme="0"/>
      <name val="Arial"/>
      <family val="2"/>
    </font>
    <font>
      <b/>
      <sz val="9"/>
      <color rgb="FF333333"/>
      <name val="Arial"/>
      <family val="2"/>
    </font>
    <font>
      <b/>
      <sz val="9"/>
      <color rgb="FFFF0000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5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1"/>
        <bgColor rgb="FFFFFFFF"/>
      </patternFill>
    </fill>
    <fill>
      <patternFill patternType="solid">
        <fgColor theme="2" tint="-0.499984740745262"/>
        <bgColor rgb="FFFFFFFF"/>
      </patternFill>
    </fill>
    <fill>
      <patternFill patternType="solid">
        <fgColor theme="0" tint="-0.249977111117893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9" tint="0.39997558519241921"/>
        <bgColor rgb="FFFFFFFF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2" fillId="0" borderId="0">
      <protection locked="0"/>
    </xf>
    <xf numFmtId="169" fontId="2" fillId="0" borderId="0">
      <protection locked="0"/>
    </xf>
    <xf numFmtId="170" fontId="3" fillId="0" borderId="0">
      <protection locked="0"/>
    </xf>
    <xf numFmtId="170" fontId="3" fillId="0" borderId="0">
      <protection locked="0"/>
    </xf>
    <xf numFmtId="9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170" fontId="2" fillId="0" borderId="1">
      <protection locked="0"/>
    </xf>
    <xf numFmtId="0" fontId="5" fillId="0" borderId="0"/>
    <xf numFmtId="0" fontId="13" fillId="0" borderId="0" applyNumberFormat="0" applyFill="0" applyBorder="0" applyAlignment="0" applyProtection="0"/>
  </cellStyleXfs>
  <cellXfs count="298">
    <xf numFmtId="0" fontId="0" fillId="0" borderId="0" xfId="0"/>
    <xf numFmtId="4" fontId="0" fillId="0" borderId="0" xfId="0" applyNumberFormat="1"/>
    <xf numFmtId="168" fontId="0" fillId="0" borderId="0" xfId="0" applyNumberFormat="1"/>
    <xf numFmtId="2" fontId="0" fillId="0" borderId="0" xfId="0" applyNumberFormat="1"/>
    <xf numFmtId="0" fontId="4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0" xfId="0" applyFont="1"/>
    <xf numFmtId="4" fontId="6" fillId="0" borderId="0" xfId="1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/>
    </xf>
    <xf numFmtId="0" fontId="11" fillId="0" borderId="0" xfId="0" applyFont="1"/>
    <xf numFmtId="2" fontId="12" fillId="0" borderId="0" xfId="0" applyNumberFormat="1" applyFont="1"/>
    <xf numFmtId="0" fontId="10" fillId="0" borderId="0" xfId="0" applyFont="1" applyAlignment="1">
      <alignment horizontal="center"/>
    </xf>
    <xf numFmtId="2" fontId="8" fillId="0" borderId="0" xfId="0" applyNumberFormat="1" applyFont="1"/>
    <xf numFmtId="2" fontId="15" fillId="4" borderId="0" xfId="0" applyNumberFormat="1" applyFont="1" applyFill="1" applyAlignment="1">
      <alignment vertical="center"/>
    </xf>
    <xf numFmtId="2" fontId="16" fillId="4" borderId="0" xfId="0" applyNumberFormat="1" applyFont="1" applyFill="1" applyAlignment="1">
      <alignment horizontal="right" vertical="center"/>
    </xf>
    <xf numFmtId="167" fontId="16" fillId="4" borderId="0" xfId="8" applyNumberFormat="1" applyFont="1" applyFill="1" applyAlignment="1">
      <alignment horizontal="center" vertical="center"/>
    </xf>
    <xf numFmtId="2" fontId="16" fillId="0" borderId="0" xfId="0" applyNumberFormat="1" applyFont="1" applyAlignment="1">
      <alignment vertical="center"/>
    </xf>
    <xf numFmtId="2" fontId="16" fillId="4" borderId="0" xfId="0" applyNumberFormat="1" applyFont="1" applyFill="1" applyAlignment="1">
      <alignment vertical="center"/>
    </xf>
    <xf numFmtId="2" fontId="16" fillId="4" borderId="2" xfId="0" applyNumberFormat="1" applyFont="1" applyFill="1" applyBorder="1" applyAlignment="1">
      <alignment horizontal="right" vertical="center"/>
    </xf>
    <xf numFmtId="167" fontId="16" fillId="4" borderId="2" xfId="8" applyNumberFormat="1" applyFont="1" applyFill="1" applyBorder="1" applyAlignment="1">
      <alignment horizontal="center" vertical="center"/>
    </xf>
    <xf numFmtId="2" fontId="17" fillId="4" borderId="12" xfId="0" applyNumberFormat="1" applyFont="1" applyFill="1" applyBorder="1" applyAlignment="1">
      <alignment horizontal="center" vertical="center" wrapText="1"/>
    </xf>
    <xf numFmtId="2" fontId="17" fillId="4" borderId="5" xfId="0" applyNumberFormat="1" applyFont="1" applyFill="1" applyBorder="1" applyAlignment="1">
      <alignment horizontal="center" vertical="center" wrapText="1"/>
    </xf>
    <xf numFmtId="2" fontId="17" fillId="4" borderId="2" xfId="0" applyNumberFormat="1" applyFont="1" applyFill="1" applyBorder="1" applyAlignment="1">
      <alignment horizontal="center" vertical="center" wrapText="1"/>
    </xf>
    <xf numFmtId="167" fontId="17" fillId="4" borderId="13" xfId="8" applyNumberFormat="1" applyFont="1" applyFill="1" applyBorder="1" applyAlignment="1">
      <alignment horizontal="center" vertical="center" wrapText="1"/>
    </xf>
    <xf numFmtId="2" fontId="17" fillId="4" borderId="3" xfId="0" applyNumberFormat="1" applyFont="1" applyFill="1" applyBorder="1" applyAlignment="1">
      <alignment horizontal="left" vertical="center"/>
    </xf>
    <xf numFmtId="166" fontId="17" fillId="4" borderId="0" xfId="0" applyNumberFormat="1" applyFont="1" applyFill="1" applyAlignment="1">
      <alignment horizontal="center" vertical="center"/>
    </xf>
    <xf numFmtId="167" fontId="17" fillId="4" borderId="14" xfId="8" applyNumberFormat="1" applyFont="1" applyFill="1" applyBorder="1" applyAlignment="1">
      <alignment horizontal="center" vertical="center"/>
    </xf>
    <xf numFmtId="3" fontId="18" fillId="4" borderId="3" xfId="0" applyNumberFormat="1" applyFont="1" applyFill="1" applyBorder="1" applyAlignment="1">
      <alignment horizontal="center" vertical="center"/>
    </xf>
    <xf numFmtId="2" fontId="17" fillId="5" borderId="3" xfId="0" applyNumberFormat="1" applyFont="1" applyFill="1" applyBorder="1" applyAlignment="1">
      <alignment horizontal="left" vertical="center"/>
    </xf>
    <xf numFmtId="2" fontId="17" fillId="4" borderId="3" xfId="0" applyNumberFormat="1" applyFont="1" applyFill="1" applyBorder="1" applyAlignment="1">
      <alignment horizontal="center" vertical="center"/>
    </xf>
    <xf numFmtId="2" fontId="17" fillId="4" borderId="3" xfId="0" applyNumberFormat="1" applyFont="1" applyFill="1" applyBorder="1" applyAlignment="1">
      <alignment vertical="center"/>
    </xf>
    <xf numFmtId="2" fontId="19" fillId="0" borderId="0" xfId="0" applyNumberFormat="1" applyFont="1" applyAlignment="1">
      <alignment vertical="center"/>
    </xf>
    <xf numFmtId="2" fontId="20" fillId="4" borderId="3" xfId="0" applyNumberFormat="1" applyFont="1" applyFill="1" applyBorder="1" applyAlignment="1">
      <alignment vertical="center"/>
    </xf>
    <xf numFmtId="2" fontId="20" fillId="4" borderId="0" xfId="0" applyNumberFormat="1" applyFont="1" applyFill="1" applyAlignment="1">
      <alignment horizontal="center" vertical="center"/>
    </xf>
    <xf numFmtId="166" fontId="20" fillId="4" borderId="0" xfId="0" applyNumberFormat="1" applyFont="1" applyFill="1" applyAlignment="1">
      <alignment horizontal="center" vertical="center"/>
    </xf>
    <xf numFmtId="10" fontId="16" fillId="0" borderId="0" xfId="7" applyNumberFormat="1" applyFont="1" applyAlignment="1">
      <alignment vertical="center"/>
    </xf>
    <xf numFmtId="2" fontId="20" fillId="0" borderId="3" xfId="0" applyNumberFormat="1" applyFont="1" applyBorder="1" applyAlignment="1">
      <alignment vertical="center"/>
    </xf>
    <xf numFmtId="2" fontId="21" fillId="4" borderId="3" xfId="0" applyNumberFormat="1" applyFont="1" applyFill="1" applyBorder="1" applyAlignment="1">
      <alignment vertical="center"/>
    </xf>
    <xf numFmtId="2" fontId="20" fillId="4" borderId="9" xfId="0" applyNumberFormat="1" applyFont="1" applyFill="1" applyBorder="1" applyAlignment="1">
      <alignment vertical="center"/>
    </xf>
    <xf numFmtId="2" fontId="22" fillId="4" borderId="0" xfId="0" applyNumberFormat="1" applyFont="1" applyFill="1" applyAlignment="1">
      <alignment vertical="center"/>
    </xf>
    <xf numFmtId="165" fontId="20" fillId="4" borderId="0" xfId="0" applyNumberFormat="1" applyFont="1" applyFill="1" applyAlignment="1">
      <alignment horizontal="center" vertical="center"/>
    </xf>
    <xf numFmtId="4" fontId="20" fillId="4" borderId="0" xfId="0" applyNumberFormat="1" applyFont="1" applyFill="1" applyAlignment="1">
      <alignment horizontal="center" vertical="center"/>
    </xf>
    <xf numFmtId="165" fontId="16" fillId="4" borderId="0" xfId="0" applyNumberFormat="1" applyFont="1" applyFill="1" applyAlignment="1">
      <alignment horizontal="right" vertical="center"/>
    </xf>
    <xf numFmtId="166" fontId="16" fillId="4" borderId="0" xfId="0" applyNumberFormat="1" applyFont="1" applyFill="1" applyAlignment="1">
      <alignment horizontal="right" vertical="center"/>
    </xf>
    <xf numFmtId="2" fontId="16" fillId="2" borderId="0" xfId="0" applyNumberFormat="1" applyFont="1" applyFill="1" applyAlignment="1">
      <alignment vertical="center"/>
    </xf>
    <xf numFmtId="2" fontId="22" fillId="2" borderId="0" xfId="0" applyNumberFormat="1" applyFont="1" applyFill="1" applyAlignment="1">
      <alignment vertical="center"/>
    </xf>
    <xf numFmtId="2" fontId="16" fillId="0" borderId="0" xfId="0" applyNumberFormat="1" applyFont="1" applyAlignment="1">
      <alignment horizontal="right" vertical="center"/>
    </xf>
    <xf numFmtId="167" fontId="16" fillId="0" borderId="0" xfId="8" applyNumberFormat="1" applyFont="1" applyAlignment="1">
      <alignment horizontal="center" vertical="center"/>
    </xf>
    <xf numFmtId="2" fontId="15" fillId="2" borderId="0" xfId="0" applyNumberFormat="1" applyFont="1" applyFill="1" applyAlignment="1">
      <alignment vertical="center"/>
    </xf>
    <xf numFmtId="2" fontId="20" fillId="2" borderId="0" xfId="0" applyNumberFormat="1" applyFont="1" applyFill="1" applyAlignment="1">
      <alignment vertical="center"/>
    </xf>
    <xf numFmtId="2" fontId="18" fillId="0" borderId="0" xfId="0" applyNumberFormat="1" applyFont="1" applyAlignment="1">
      <alignment vertical="center"/>
    </xf>
    <xf numFmtId="2" fontId="20" fillId="2" borderId="2" xfId="0" applyNumberFormat="1" applyFont="1" applyFill="1" applyBorder="1" applyAlignment="1">
      <alignment vertical="center"/>
    </xf>
    <xf numFmtId="2" fontId="17" fillId="2" borderId="4" xfId="0" applyNumberFormat="1" applyFont="1" applyFill="1" applyBorder="1" applyAlignment="1">
      <alignment horizontal="center" vertical="center" wrapText="1"/>
    </xf>
    <xf numFmtId="2" fontId="17" fillId="2" borderId="0" xfId="0" applyNumberFormat="1" applyFont="1" applyFill="1" applyAlignment="1">
      <alignment horizontal="left" vertical="center"/>
    </xf>
    <xf numFmtId="166" fontId="17" fillId="2" borderId="11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left" vertical="center"/>
    </xf>
    <xf numFmtId="166" fontId="17" fillId="3" borderId="0" xfId="0" applyNumberFormat="1" applyFont="1" applyFill="1" applyAlignment="1">
      <alignment horizontal="center" vertical="center"/>
    </xf>
    <xf numFmtId="4" fontId="17" fillId="3" borderId="0" xfId="0" applyNumberFormat="1" applyFont="1" applyFill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 readingOrder="1"/>
    </xf>
    <xf numFmtId="4" fontId="17" fillId="2" borderId="0" xfId="0" applyNumberFormat="1" applyFont="1" applyFill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 readingOrder="1"/>
    </xf>
    <xf numFmtId="2" fontId="17" fillId="2" borderId="0" xfId="0" applyNumberFormat="1" applyFont="1" applyFill="1" applyAlignment="1">
      <alignment vertical="center"/>
    </xf>
    <xf numFmtId="2" fontId="17" fillId="2" borderId="0" xfId="0" applyNumberFormat="1" applyFont="1" applyFill="1" applyAlignment="1">
      <alignment horizontal="center" vertical="center"/>
    </xf>
    <xf numFmtId="2" fontId="17" fillId="2" borderId="4" xfId="0" applyNumberFormat="1" applyFont="1" applyFill="1" applyBorder="1" applyAlignment="1">
      <alignment vertical="center"/>
    </xf>
    <xf numFmtId="166" fontId="17" fillId="2" borderId="4" xfId="0" applyNumberFormat="1" applyFont="1" applyFill="1" applyBorder="1" applyAlignment="1">
      <alignment horizontal="center" vertical="center"/>
    </xf>
    <xf numFmtId="4" fontId="17" fillId="2" borderId="4" xfId="0" applyNumberFormat="1" applyFont="1" applyFill="1" applyBorder="1" applyAlignment="1">
      <alignment horizontal="center" vertical="center"/>
    </xf>
    <xf numFmtId="166" fontId="17" fillId="2" borderId="4" xfId="0" applyNumberFormat="1" applyFont="1" applyFill="1" applyBorder="1" applyAlignment="1">
      <alignment horizontal="center" vertical="center" readingOrder="1"/>
    </xf>
    <xf numFmtId="2" fontId="23" fillId="0" borderId="0" xfId="0" applyNumberFormat="1" applyFont="1" applyAlignment="1">
      <alignment vertical="center"/>
    </xf>
    <xf numFmtId="166" fontId="20" fillId="2" borderId="0" xfId="0" applyNumberFormat="1" applyFont="1" applyFill="1" applyAlignment="1">
      <alignment horizontal="center" vertical="center"/>
    </xf>
    <xf numFmtId="4" fontId="20" fillId="2" borderId="0" xfId="0" applyNumberFormat="1" applyFont="1" applyFill="1" applyAlignment="1">
      <alignment horizontal="center" vertical="center"/>
    </xf>
    <xf numFmtId="166" fontId="20" fillId="2" borderId="0" xfId="0" applyNumberFormat="1" applyFont="1" applyFill="1" applyAlignment="1">
      <alignment horizontal="center" vertical="center" readingOrder="1"/>
    </xf>
    <xf numFmtId="2" fontId="20" fillId="2" borderId="0" xfId="0" applyNumberFormat="1" applyFont="1" applyFill="1" applyAlignment="1">
      <alignment horizontal="left" vertical="center"/>
    </xf>
    <xf numFmtId="166" fontId="20" fillId="2" borderId="0" xfId="0" applyNumberFormat="1" applyFont="1" applyFill="1" applyAlignment="1">
      <alignment vertical="center"/>
    </xf>
    <xf numFmtId="4" fontId="20" fillId="2" borderId="0" xfId="0" applyNumberFormat="1" applyFont="1" applyFill="1" applyAlignment="1">
      <alignment vertical="center"/>
    </xf>
    <xf numFmtId="166" fontId="20" fillId="2" borderId="2" xfId="0" applyNumberFormat="1" applyFont="1" applyFill="1" applyBorder="1" applyAlignment="1">
      <alignment horizontal="center" vertical="center"/>
    </xf>
    <xf numFmtId="4" fontId="20" fillId="2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 readingOrder="1"/>
    </xf>
    <xf numFmtId="2" fontId="18" fillId="2" borderId="0" xfId="0" applyNumberFormat="1" applyFont="1" applyFill="1" applyAlignment="1">
      <alignment vertical="center"/>
    </xf>
    <xf numFmtId="167" fontId="14" fillId="7" borderId="0" xfId="8" applyNumberFormat="1" applyFont="1" applyFill="1"/>
    <xf numFmtId="164" fontId="14" fillId="7" borderId="0" xfId="8" applyNumberFormat="1" applyFont="1" applyFill="1"/>
    <xf numFmtId="2" fontId="17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20" fillId="0" borderId="2" xfId="0" applyNumberFormat="1" applyFont="1" applyBorder="1" applyAlignment="1">
      <alignment vertical="center"/>
    </xf>
    <xf numFmtId="2" fontId="17" fillId="0" borderId="4" xfId="0" applyNumberFormat="1" applyFont="1" applyBorder="1" applyAlignment="1">
      <alignment horizontal="center" vertical="center" wrapText="1"/>
    </xf>
    <xf numFmtId="2" fontId="17" fillId="0" borderId="3" xfId="0" applyNumberFormat="1" applyFont="1" applyBorder="1" applyAlignment="1">
      <alignment horizontal="left" vertical="center"/>
    </xf>
    <xf numFmtId="166" fontId="17" fillId="0" borderId="0" xfId="0" applyNumberFormat="1" applyFont="1" applyAlignment="1">
      <alignment horizontal="center" vertical="center"/>
    </xf>
    <xf numFmtId="3" fontId="17" fillId="0" borderId="3" xfId="0" applyNumberFormat="1" applyFont="1" applyBorder="1" applyAlignment="1">
      <alignment horizontal="left" vertical="center"/>
    </xf>
    <xf numFmtId="3" fontId="20" fillId="0" borderId="0" xfId="0" applyNumberFormat="1" applyFont="1" applyAlignment="1">
      <alignment horizontal="center" vertical="center"/>
    </xf>
    <xf numFmtId="2" fontId="17" fillId="3" borderId="3" xfId="0" applyNumberFormat="1" applyFont="1" applyFill="1" applyBorder="1" applyAlignment="1">
      <alignment horizontal="left" vertical="center"/>
    </xf>
    <xf numFmtId="16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 readingOrder="1"/>
    </xf>
    <xf numFmtId="2" fontId="17" fillId="0" borderId="3" xfId="0" applyNumberFormat="1" applyFont="1" applyBorder="1" applyAlignment="1">
      <alignment vertical="center"/>
    </xf>
    <xf numFmtId="2" fontId="17" fillId="0" borderId="0" xfId="0" applyNumberFormat="1" applyFont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166" fontId="20" fillId="0" borderId="0" xfId="0" applyNumberFormat="1" applyFont="1" applyAlignment="1">
      <alignment horizontal="center" vertical="center" readingOrder="1"/>
    </xf>
    <xf numFmtId="2" fontId="20" fillId="0" borderId="5" xfId="0" applyNumberFormat="1" applyFont="1" applyBorder="1" applyAlignment="1">
      <alignment vertical="center"/>
    </xf>
    <xf numFmtId="165" fontId="20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 readingOrder="1"/>
    </xf>
    <xf numFmtId="3" fontId="17" fillId="0" borderId="4" xfId="0" applyNumberFormat="1" applyFont="1" applyBorder="1" applyAlignment="1">
      <alignment horizontal="center" vertical="center" wrapText="1"/>
    </xf>
    <xf numFmtId="2" fontId="17" fillId="0" borderId="0" xfId="0" applyNumberFormat="1" applyFont="1" applyAlignment="1">
      <alignment horizontal="left" vertical="center"/>
    </xf>
    <xf numFmtId="3" fontId="17" fillId="0" borderId="0" xfId="0" applyNumberFormat="1" applyFont="1" applyAlignment="1">
      <alignment horizontal="center" vertical="center" readingOrder="1"/>
    </xf>
    <xf numFmtId="2" fontId="20" fillId="0" borderId="0" xfId="0" applyNumberFormat="1" applyFont="1" applyAlignment="1">
      <alignment horizontal="left" vertical="center"/>
    </xf>
    <xf numFmtId="1" fontId="18" fillId="0" borderId="0" xfId="0" applyNumberFormat="1" applyFont="1" applyAlignment="1">
      <alignment vertical="center"/>
    </xf>
    <xf numFmtId="165" fontId="18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3" fontId="18" fillId="2" borderId="0" xfId="0" applyNumberFormat="1" applyFont="1" applyFill="1" applyAlignment="1">
      <alignment horizontal="right" vertical="center"/>
    </xf>
    <xf numFmtId="2" fontId="17" fillId="2" borderId="2" xfId="0" applyNumberFormat="1" applyFont="1" applyFill="1" applyBorder="1" applyAlignment="1">
      <alignment horizontal="center" vertical="center" wrapText="1"/>
    </xf>
    <xf numFmtId="2" fontId="17" fillId="2" borderId="6" xfId="0" applyNumberFormat="1" applyFont="1" applyFill="1" applyBorder="1" applyAlignment="1">
      <alignment horizontal="left" vertical="center"/>
    </xf>
    <xf numFmtId="166" fontId="17" fillId="2" borderId="6" xfId="0" applyNumberFormat="1" applyFont="1" applyFill="1" applyBorder="1" applyAlignment="1">
      <alignment horizontal="center" vertical="center"/>
    </xf>
    <xf numFmtId="2" fontId="20" fillId="2" borderId="6" xfId="0" applyNumberFormat="1" applyFont="1" applyFill="1" applyBorder="1" applyAlignment="1">
      <alignment vertical="center"/>
    </xf>
    <xf numFmtId="0" fontId="24" fillId="2" borderId="0" xfId="0" applyFont="1" applyFill="1" applyAlignment="1">
      <alignment horizontal="justify" vertical="top" wrapText="1"/>
    </xf>
    <xf numFmtId="0" fontId="24" fillId="2" borderId="2" xfId="0" applyFont="1" applyFill="1" applyBorder="1" applyAlignment="1">
      <alignment horizontal="justify" vertical="top" wrapText="1"/>
    </xf>
    <xf numFmtId="166" fontId="17" fillId="2" borderId="2" xfId="0" applyNumberFormat="1" applyFont="1" applyFill="1" applyBorder="1" applyAlignment="1">
      <alignment horizontal="center" vertical="center"/>
    </xf>
    <xf numFmtId="4" fontId="17" fillId="2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 readingOrder="1"/>
    </xf>
    <xf numFmtId="0" fontId="25" fillId="2" borderId="0" xfId="0" applyFont="1" applyFill="1" applyAlignment="1">
      <alignment horizontal="justify" vertical="top" wrapText="1"/>
    </xf>
    <xf numFmtId="165" fontId="20" fillId="2" borderId="0" xfId="0" applyNumberFormat="1" applyFont="1" applyFill="1" applyAlignment="1">
      <alignment horizontal="center" vertical="center"/>
    </xf>
    <xf numFmtId="2" fontId="23" fillId="2" borderId="0" xfId="0" applyNumberFormat="1" applyFont="1" applyFill="1" applyAlignment="1">
      <alignment vertical="center"/>
    </xf>
    <xf numFmtId="2" fontId="20" fillId="2" borderId="0" xfId="0" applyNumberFormat="1" applyFont="1" applyFill="1" applyAlignment="1">
      <alignment horizontal="center" vertical="center"/>
    </xf>
    <xf numFmtId="165" fontId="20" fillId="2" borderId="2" xfId="0" applyNumberFormat="1" applyFont="1" applyFill="1" applyBorder="1" applyAlignment="1">
      <alignment horizontal="center" vertical="center"/>
    </xf>
    <xf numFmtId="165" fontId="18" fillId="2" borderId="0" xfId="0" applyNumberFormat="1" applyFont="1" applyFill="1" applyAlignment="1">
      <alignment horizontal="center" vertical="center"/>
    </xf>
    <xf numFmtId="4" fontId="18" fillId="2" borderId="0" xfId="0" applyNumberFormat="1" applyFont="1" applyFill="1" applyAlignment="1">
      <alignment horizontal="center" vertical="center"/>
    </xf>
    <xf numFmtId="2" fontId="18" fillId="2" borderId="0" xfId="0" applyNumberFormat="1" applyFont="1" applyFill="1" applyAlignment="1">
      <alignment horizontal="center" vertical="center"/>
    </xf>
    <xf numFmtId="2" fontId="17" fillId="0" borderId="7" xfId="0" applyNumberFormat="1" applyFont="1" applyBorder="1" applyAlignment="1">
      <alignment horizontal="left" vertical="center"/>
    </xf>
    <xf numFmtId="166" fontId="17" fillId="0" borderId="3" xfId="0" applyNumberFormat="1" applyFont="1" applyBorder="1" applyAlignment="1">
      <alignment horizontal="center" vertical="center"/>
    </xf>
    <xf numFmtId="3" fontId="20" fillId="0" borderId="3" xfId="0" applyNumberFormat="1" applyFont="1" applyBorder="1" applyAlignment="1">
      <alignment horizontal="center" vertical="center"/>
    </xf>
    <xf numFmtId="2" fontId="17" fillId="3" borderId="7" xfId="0" applyNumberFormat="1" applyFont="1" applyFill="1" applyBorder="1" applyAlignment="1">
      <alignment horizontal="left" vertical="center"/>
    </xf>
    <xf numFmtId="166" fontId="17" fillId="3" borderId="3" xfId="0" applyNumberFormat="1" applyFont="1" applyFill="1" applyBorder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2" fontId="17" fillId="0" borderId="7" xfId="0" applyNumberFormat="1" applyFont="1" applyBorder="1" applyAlignment="1">
      <alignment vertical="center"/>
    </xf>
    <xf numFmtId="2" fontId="20" fillId="0" borderId="7" xfId="0" applyNumberFormat="1" applyFont="1" applyBorder="1" applyAlignment="1">
      <alignment horizontal="left" vertical="center" indent="1"/>
    </xf>
    <xf numFmtId="166" fontId="20" fillId="0" borderId="3" xfId="0" applyNumberFormat="1" applyFont="1" applyBorder="1" applyAlignment="1">
      <alignment horizontal="center" vertical="center"/>
    </xf>
    <xf numFmtId="4" fontId="20" fillId="0" borderId="0" xfId="0" applyNumberFormat="1" applyFont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2" fontId="17" fillId="0" borderId="7" xfId="0" applyNumberFormat="1" applyFont="1" applyBorder="1" applyAlignment="1">
      <alignment horizontal="center" vertical="center"/>
    </xf>
    <xf numFmtId="2" fontId="17" fillId="0" borderId="8" xfId="0" applyNumberFormat="1" applyFont="1" applyBorder="1" applyAlignment="1">
      <alignment vertical="center"/>
    </xf>
    <xf numFmtId="166" fontId="17" fillId="0" borderId="9" xfId="0" applyNumberFormat="1" applyFont="1" applyBorder="1" applyAlignment="1">
      <alignment horizontal="center" vertical="center"/>
    </xf>
    <xf numFmtId="4" fontId="17" fillId="0" borderId="4" xfId="0" applyNumberFormat="1" applyFont="1" applyBorder="1" applyAlignment="1">
      <alignment horizontal="center" vertical="center"/>
    </xf>
    <xf numFmtId="166" fontId="17" fillId="0" borderId="4" xfId="0" applyNumberFormat="1" applyFont="1" applyBorder="1" applyAlignment="1">
      <alignment horizontal="center" vertical="center"/>
    </xf>
    <xf numFmtId="166" fontId="17" fillId="0" borderId="4" xfId="0" applyNumberFormat="1" applyFont="1" applyBorder="1" applyAlignment="1">
      <alignment horizontal="center" vertical="center" readingOrder="1"/>
    </xf>
    <xf numFmtId="2" fontId="20" fillId="0" borderId="7" xfId="0" applyNumberFormat="1" applyFont="1" applyBorder="1" applyAlignment="1">
      <alignment vertical="center"/>
    </xf>
    <xf numFmtId="2" fontId="20" fillId="0" borderId="7" xfId="0" applyNumberFormat="1" applyFont="1" applyBorder="1" applyAlignment="1">
      <alignment horizontal="left" vertical="center"/>
    </xf>
    <xf numFmtId="166" fontId="20" fillId="0" borderId="3" xfId="0" applyNumberFormat="1" applyFont="1" applyBorder="1" applyAlignment="1">
      <alignment vertical="center"/>
    </xf>
    <xf numFmtId="4" fontId="20" fillId="0" borderId="0" xfId="0" applyNumberFormat="1" applyFont="1" applyAlignment="1">
      <alignment vertical="center"/>
    </xf>
    <xf numFmtId="166" fontId="20" fillId="0" borderId="0" xfId="0" applyNumberFormat="1" applyFont="1" applyAlignment="1">
      <alignment vertical="center"/>
    </xf>
    <xf numFmtId="2" fontId="20" fillId="0" borderId="10" xfId="0" applyNumberFormat="1" applyFont="1" applyBorder="1" applyAlignment="1">
      <alignment vertical="center"/>
    </xf>
    <xf numFmtId="166" fontId="20" fillId="0" borderId="5" xfId="0" applyNumberFormat="1" applyFont="1" applyBorder="1" applyAlignment="1">
      <alignment horizontal="center" vertical="center"/>
    </xf>
    <xf numFmtId="4" fontId="20" fillId="0" borderId="2" xfId="0" applyNumberFormat="1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4" fontId="17" fillId="5" borderId="3" xfId="0" applyNumberFormat="1" applyFont="1" applyFill="1" applyBorder="1" applyAlignment="1">
      <alignment horizontal="center" vertical="center"/>
    </xf>
    <xf numFmtId="4" fontId="17" fillId="5" borderId="0" xfId="0" applyNumberFormat="1" applyFont="1" applyFill="1" applyAlignment="1">
      <alignment horizontal="center" vertical="center"/>
    </xf>
    <xf numFmtId="4" fontId="17" fillId="5" borderId="14" xfId="8" applyFont="1" applyFill="1" applyBorder="1" applyAlignment="1">
      <alignment horizontal="center" vertical="center" readingOrder="1"/>
    </xf>
    <xf numFmtId="4" fontId="17" fillId="4" borderId="3" xfId="0" applyNumberFormat="1" applyFont="1" applyFill="1" applyBorder="1" applyAlignment="1">
      <alignment horizontal="center" vertical="center"/>
    </xf>
    <xf numFmtId="4" fontId="17" fillId="4" borderId="0" xfId="0" applyNumberFormat="1" applyFont="1" applyFill="1" applyAlignment="1">
      <alignment horizontal="center" vertical="center"/>
    </xf>
    <xf numFmtId="4" fontId="17" fillId="4" borderId="14" xfId="8" applyFont="1" applyFill="1" applyBorder="1" applyAlignment="1">
      <alignment horizontal="center" vertical="center" readingOrder="1"/>
    </xf>
    <xf numFmtId="4" fontId="20" fillId="4" borderId="3" xfId="0" applyNumberFormat="1" applyFont="1" applyFill="1" applyBorder="1" applyAlignment="1">
      <alignment horizontal="center" vertical="center"/>
    </xf>
    <xf numFmtId="4" fontId="20" fillId="4" borderId="14" xfId="8" applyFont="1" applyFill="1" applyBorder="1" applyAlignment="1">
      <alignment horizontal="center" vertical="center" readingOrder="1"/>
    </xf>
    <xf numFmtId="4" fontId="20" fillId="4" borderId="9" xfId="0" applyNumberFormat="1" applyFont="1" applyFill="1" applyBorder="1" applyAlignment="1">
      <alignment horizontal="center" vertical="center"/>
    </xf>
    <xf numFmtId="4" fontId="20" fillId="4" borderId="4" xfId="0" applyNumberFormat="1" applyFont="1" applyFill="1" applyBorder="1" applyAlignment="1">
      <alignment horizontal="center" vertical="center"/>
    </xf>
    <xf numFmtId="4" fontId="20" fillId="4" borderId="15" xfId="8" applyFont="1" applyFill="1" applyBorder="1" applyAlignment="1">
      <alignment horizontal="center" vertical="center" readingOrder="1"/>
    </xf>
    <xf numFmtId="0" fontId="26" fillId="8" borderId="19" xfId="0" applyFont="1" applyFill="1" applyBorder="1"/>
    <xf numFmtId="0" fontId="26" fillId="8" borderId="0" xfId="0" applyFont="1" applyFill="1"/>
    <xf numFmtId="0" fontId="27" fillId="6" borderId="0" xfId="0" applyFont="1" applyFill="1"/>
    <xf numFmtId="0" fontId="28" fillId="0" borderId="0" xfId="0" applyFont="1"/>
    <xf numFmtId="0" fontId="6" fillId="0" borderId="0" xfId="0" applyFont="1" applyAlignment="1">
      <alignment horizontal="center"/>
    </xf>
    <xf numFmtId="10" fontId="6" fillId="0" borderId="0" xfId="7" applyNumberFormat="1" applyFont="1" applyAlignment="1">
      <alignment horizontal="center"/>
    </xf>
    <xf numFmtId="3" fontId="6" fillId="0" borderId="0" xfId="0" applyNumberFormat="1" applyFont="1"/>
    <xf numFmtId="0" fontId="7" fillId="6" borderId="0" xfId="0" applyFont="1" applyFill="1" applyAlignment="1">
      <alignment horizontal="center"/>
    </xf>
    <xf numFmtId="2" fontId="4" fillId="9" borderId="20" xfId="0" quotePrefix="1" applyNumberFormat="1" applyFont="1" applyFill="1" applyBorder="1"/>
    <xf numFmtId="2" fontId="4" fillId="9" borderId="20" xfId="0" applyNumberFormat="1" applyFont="1" applyFill="1" applyBorder="1"/>
    <xf numFmtId="4" fontId="29" fillId="9" borderId="0" xfId="8" applyFont="1" applyFill="1" applyBorder="1"/>
    <xf numFmtId="2" fontId="17" fillId="4" borderId="0" xfId="0" applyNumberFormat="1" applyFont="1" applyFill="1" applyAlignment="1">
      <alignment vertical="center"/>
    </xf>
    <xf numFmtId="2" fontId="20" fillId="4" borderId="0" xfId="0" applyNumberFormat="1" applyFont="1" applyFill="1" applyAlignment="1">
      <alignment vertical="center"/>
    </xf>
    <xf numFmtId="2" fontId="20" fillId="4" borderId="0" xfId="0" applyNumberFormat="1" applyFont="1" applyFill="1" applyAlignment="1">
      <alignment horizontal="left" vertical="center"/>
    </xf>
    <xf numFmtId="166" fontId="20" fillId="4" borderId="0" xfId="0" applyNumberFormat="1" applyFont="1" applyFill="1" applyAlignment="1">
      <alignment vertical="center"/>
    </xf>
    <xf numFmtId="2" fontId="20" fillId="4" borderId="2" xfId="0" applyNumberFormat="1" applyFont="1" applyFill="1" applyBorder="1" applyAlignment="1">
      <alignment vertical="center"/>
    </xf>
    <xf numFmtId="166" fontId="20" fillId="4" borderId="2" xfId="0" applyNumberFormat="1" applyFont="1" applyFill="1" applyBorder="1" applyAlignment="1">
      <alignment horizontal="center" vertical="center"/>
    </xf>
    <xf numFmtId="49" fontId="30" fillId="10" borderId="21" xfId="0" applyNumberFormat="1" applyFont="1" applyFill="1" applyBorder="1" applyAlignment="1">
      <alignment horizontal="left"/>
    </xf>
    <xf numFmtId="4" fontId="30" fillId="10" borderId="21" xfId="8" applyFont="1" applyFill="1" applyBorder="1" applyAlignment="1">
      <alignment horizontal="right"/>
    </xf>
    <xf numFmtId="49" fontId="31" fillId="10" borderId="21" xfId="0" applyNumberFormat="1" applyFont="1" applyFill="1" applyBorder="1" applyAlignment="1">
      <alignment horizontal="left"/>
    </xf>
    <xf numFmtId="4" fontId="31" fillId="10" borderId="21" xfId="8" applyFont="1" applyFill="1" applyBorder="1" applyAlignment="1">
      <alignment horizontal="right"/>
    </xf>
    <xf numFmtId="0" fontId="30" fillId="10" borderId="21" xfId="0" applyFont="1" applyFill="1" applyBorder="1" applyAlignment="1">
      <alignment horizontal="left"/>
    </xf>
    <xf numFmtId="0" fontId="31" fillId="10" borderId="21" xfId="0" applyFont="1" applyFill="1" applyBorder="1" applyAlignment="1">
      <alignment horizontal="left"/>
    </xf>
    <xf numFmtId="0" fontId="30" fillId="11" borderId="21" xfId="0" applyFont="1" applyFill="1" applyBorder="1" applyAlignment="1">
      <alignment horizontal="left"/>
    </xf>
    <xf numFmtId="49" fontId="30" fillId="11" borderId="21" xfId="0" applyNumberFormat="1" applyFont="1" applyFill="1" applyBorder="1" applyAlignment="1">
      <alignment horizontal="left"/>
    </xf>
    <xf numFmtId="4" fontId="30" fillId="11" borderId="21" xfId="8" applyFont="1" applyFill="1" applyBorder="1" applyAlignment="1">
      <alignment horizontal="right"/>
    </xf>
    <xf numFmtId="0" fontId="30" fillId="12" borderId="21" xfId="0" applyFont="1" applyFill="1" applyBorder="1" applyAlignment="1">
      <alignment horizontal="left"/>
    </xf>
    <xf numFmtId="49" fontId="30" fillId="12" borderId="21" xfId="0" applyNumberFormat="1" applyFont="1" applyFill="1" applyBorder="1" applyAlignment="1">
      <alignment horizontal="left"/>
    </xf>
    <xf numFmtId="4" fontId="30" fillId="12" borderId="21" xfId="8" applyFont="1" applyFill="1" applyBorder="1" applyAlignment="1">
      <alignment horizontal="right"/>
    </xf>
    <xf numFmtId="0" fontId="30" fillId="13" borderId="21" xfId="0" applyFont="1" applyFill="1" applyBorder="1" applyAlignment="1">
      <alignment horizontal="left"/>
    </xf>
    <xf numFmtId="49" fontId="30" fillId="13" borderId="21" xfId="0" applyNumberFormat="1" applyFont="1" applyFill="1" applyBorder="1" applyAlignment="1">
      <alignment horizontal="left"/>
    </xf>
    <xf numFmtId="4" fontId="30" fillId="13" borderId="21" xfId="8" applyFont="1" applyFill="1" applyBorder="1" applyAlignment="1">
      <alignment horizontal="right"/>
    </xf>
    <xf numFmtId="0" fontId="30" fillId="14" borderId="21" xfId="0" applyFont="1" applyFill="1" applyBorder="1" applyAlignment="1">
      <alignment horizontal="left"/>
    </xf>
    <xf numFmtId="49" fontId="30" fillId="14" borderId="21" xfId="0" applyNumberFormat="1" applyFont="1" applyFill="1" applyBorder="1" applyAlignment="1">
      <alignment horizontal="left"/>
    </xf>
    <xf numFmtId="4" fontId="30" fillId="14" borderId="21" xfId="8" applyFont="1" applyFill="1" applyBorder="1" applyAlignment="1">
      <alignment horizontal="right"/>
    </xf>
    <xf numFmtId="0" fontId="30" fillId="15" borderId="21" xfId="0" applyFont="1" applyFill="1" applyBorder="1" applyAlignment="1">
      <alignment horizontal="left"/>
    </xf>
    <xf numFmtId="49" fontId="30" fillId="15" borderId="21" xfId="0" applyNumberFormat="1" applyFont="1" applyFill="1" applyBorder="1" applyAlignment="1">
      <alignment horizontal="left"/>
    </xf>
    <xf numFmtId="4" fontId="30" fillId="15" borderId="21" xfId="8" applyFont="1" applyFill="1" applyBorder="1" applyAlignment="1">
      <alignment horizontal="right"/>
    </xf>
    <xf numFmtId="0" fontId="30" fillId="16" borderId="21" xfId="0" applyFont="1" applyFill="1" applyBorder="1" applyAlignment="1">
      <alignment horizontal="left"/>
    </xf>
    <xf numFmtId="49" fontId="30" fillId="16" borderId="21" xfId="0" applyNumberFormat="1" applyFont="1" applyFill="1" applyBorder="1" applyAlignment="1">
      <alignment horizontal="left"/>
    </xf>
    <xf numFmtId="4" fontId="30" fillId="16" borderId="21" xfId="8" applyFont="1" applyFill="1" applyBorder="1" applyAlignment="1">
      <alignment horizontal="right"/>
    </xf>
    <xf numFmtId="0" fontId="32" fillId="17" borderId="21" xfId="0" applyFont="1" applyFill="1" applyBorder="1" applyAlignment="1">
      <alignment horizontal="left"/>
    </xf>
    <xf numFmtId="49" fontId="32" fillId="17" borderId="21" xfId="0" applyNumberFormat="1" applyFont="1" applyFill="1" applyBorder="1" applyAlignment="1">
      <alignment horizontal="left"/>
    </xf>
    <xf numFmtId="4" fontId="32" fillId="17" borderId="21" xfId="8" applyFont="1" applyFill="1" applyBorder="1" applyAlignment="1">
      <alignment horizontal="right"/>
    </xf>
    <xf numFmtId="0" fontId="30" fillId="18" borderId="21" xfId="0" applyFont="1" applyFill="1" applyBorder="1" applyAlignment="1">
      <alignment horizontal="left"/>
    </xf>
    <xf numFmtId="49" fontId="30" fillId="18" borderId="21" xfId="0" applyNumberFormat="1" applyFont="1" applyFill="1" applyBorder="1" applyAlignment="1">
      <alignment horizontal="left"/>
    </xf>
    <xf numFmtId="4" fontId="30" fillId="18" borderId="21" xfId="8" applyFont="1" applyFill="1" applyBorder="1" applyAlignment="1">
      <alignment horizontal="right"/>
    </xf>
    <xf numFmtId="0" fontId="30" fillId="19" borderId="21" xfId="0" applyFont="1" applyFill="1" applyBorder="1" applyAlignment="1">
      <alignment horizontal="left"/>
    </xf>
    <xf numFmtId="49" fontId="30" fillId="19" borderId="21" xfId="0" applyNumberFormat="1" applyFont="1" applyFill="1" applyBorder="1" applyAlignment="1">
      <alignment horizontal="left"/>
    </xf>
    <xf numFmtId="4" fontId="30" fillId="19" borderId="21" xfId="8" applyFont="1" applyFill="1" applyBorder="1" applyAlignment="1">
      <alignment horizontal="right"/>
    </xf>
    <xf numFmtId="0" fontId="30" fillId="20" borderId="21" xfId="0" applyFont="1" applyFill="1" applyBorder="1" applyAlignment="1">
      <alignment horizontal="left"/>
    </xf>
    <xf numFmtId="49" fontId="30" fillId="20" borderId="21" xfId="0" applyNumberFormat="1" applyFont="1" applyFill="1" applyBorder="1" applyAlignment="1">
      <alignment horizontal="left"/>
    </xf>
    <xf numFmtId="4" fontId="30" fillId="20" borderId="21" xfId="8" applyFont="1" applyFill="1" applyBorder="1" applyAlignment="1">
      <alignment horizontal="right"/>
    </xf>
    <xf numFmtId="0" fontId="30" fillId="21" borderId="21" xfId="0" applyFont="1" applyFill="1" applyBorder="1" applyAlignment="1">
      <alignment horizontal="left"/>
    </xf>
    <xf numFmtId="49" fontId="30" fillId="21" borderId="21" xfId="0" applyNumberFormat="1" applyFont="1" applyFill="1" applyBorder="1" applyAlignment="1">
      <alignment horizontal="left"/>
    </xf>
    <xf numFmtId="4" fontId="30" fillId="21" borderId="21" xfId="8" applyFont="1" applyFill="1" applyBorder="1" applyAlignment="1">
      <alignment horizontal="right"/>
    </xf>
    <xf numFmtId="0" fontId="30" fillId="22" borderId="21" xfId="0" applyFont="1" applyFill="1" applyBorder="1" applyAlignment="1">
      <alignment horizontal="left"/>
    </xf>
    <xf numFmtId="49" fontId="30" fillId="22" borderId="21" xfId="0" applyNumberFormat="1" applyFont="1" applyFill="1" applyBorder="1" applyAlignment="1">
      <alignment horizontal="left"/>
    </xf>
    <xf numFmtId="4" fontId="30" fillId="22" borderId="21" xfId="8" applyFont="1" applyFill="1" applyBorder="1" applyAlignment="1">
      <alignment horizontal="right"/>
    </xf>
    <xf numFmtId="0" fontId="30" fillId="23" borderId="21" xfId="0" applyFont="1" applyFill="1" applyBorder="1" applyAlignment="1">
      <alignment horizontal="left"/>
    </xf>
    <xf numFmtId="49" fontId="30" fillId="23" borderId="21" xfId="0" applyNumberFormat="1" applyFont="1" applyFill="1" applyBorder="1" applyAlignment="1">
      <alignment horizontal="left"/>
    </xf>
    <xf numFmtId="4" fontId="30" fillId="23" borderId="21" xfId="8" applyFont="1" applyFill="1" applyBorder="1" applyAlignment="1">
      <alignment horizontal="right"/>
    </xf>
    <xf numFmtId="0" fontId="30" fillId="24" borderId="21" xfId="0" applyFont="1" applyFill="1" applyBorder="1" applyAlignment="1">
      <alignment horizontal="left"/>
    </xf>
    <xf numFmtId="49" fontId="30" fillId="24" borderId="21" xfId="0" applyNumberFormat="1" applyFont="1" applyFill="1" applyBorder="1" applyAlignment="1">
      <alignment horizontal="left"/>
    </xf>
    <xf numFmtId="4" fontId="30" fillId="24" borderId="21" xfId="8" applyFont="1" applyFill="1" applyBorder="1" applyAlignment="1">
      <alignment horizontal="right"/>
    </xf>
    <xf numFmtId="0" fontId="30" fillId="25" borderId="21" xfId="0" applyFont="1" applyFill="1" applyBorder="1" applyAlignment="1">
      <alignment horizontal="left"/>
    </xf>
    <xf numFmtId="4" fontId="30" fillId="25" borderId="21" xfId="8" applyFont="1" applyFill="1" applyBorder="1" applyAlignment="1">
      <alignment horizontal="right"/>
    </xf>
    <xf numFmtId="4" fontId="33" fillId="11" borderId="0" xfId="8" applyFont="1" applyFill="1" applyBorder="1" applyAlignment="1">
      <alignment horizontal="right"/>
    </xf>
    <xf numFmtId="4" fontId="33" fillId="25" borderId="0" xfId="8" applyFont="1" applyFill="1" applyBorder="1" applyAlignment="1">
      <alignment horizontal="right"/>
    </xf>
    <xf numFmtId="4" fontId="33" fillId="12" borderId="0" xfId="8" applyFont="1" applyFill="1" applyBorder="1" applyAlignment="1">
      <alignment horizontal="right"/>
    </xf>
    <xf numFmtId="4" fontId="33" fillId="10" borderId="0" xfId="8" applyFont="1" applyFill="1" applyBorder="1" applyAlignment="1">
      <alignment horizontal="right"/>
    </xf>
    <xf numFmtId="4" fontId="33" fillId="13" borderId="0" xfId="8" applyFont="1" applyFill="1" applyBorder="1" applyAlignment="1">
      <alignment horizontal="right"/>
    </xf>
    <xf numFmtId="4" fontId="33" fillId="14" borderId="0" xfId="8" applyFont="1" applyFill="1" applyBorder="1" applyAlignment="1">
      <alignment horizontal="right"/>
    </xf>
    <xf numFmtId="4" fontId="33" fillId="15" borderId="0" xfId="8" applyFont="1" applyFill="1" applyBorder="1" applyAlignment="1">
      <alignment horizontal="right"/>
    </xf>
    <xf numFmtId="4" fontId="34" fillId="10" borderId="0" xfId="8" applyFont="1" applyFill="1" applyBorder="1" applyAlignment="1">
      <alignment horizontal="right"/>
    </xf>
    <xf numFmtId="4" fontId="33" fillId="16" borderId="0" xfId="8" applyFont="1" applyFill="1" applyBorder="1" applyAlignment="1">
      <alignment horizontal="right"/>
    </xf>
    <xf numFmtId="4" fontId="35" fillId="17" borderId="0" xfId="8" applyFont="1" applyFill="1" applyBorder="1" applyAlignment="1">
      <alignment horizontal="right"/>
    </xf>
    <xf numFmtId="4" fontId="33" fillId="18" borderId="0" xfId="8" applyFont="1" applyFill="1" applyBorder="1" applyAlignment="1">
      <alignment horizontal="right"/>
    </xf>
    <xf numFmtId="4" fontId="33" fillId="19" borderId="0" xfId="8" applyFont="1" applyFill="1" applyBorder="1" applyAlignment="1">
      <alignment horizontal="right"/>
    </xf>
    <xf numFmtId="4" fontId="33" fillId="20" borderId="0" xfId="8" applyFont="1" applyFill="1" applyBorder="1" applyAlignment="1">
      <alignment horizontal="right"/>
    </xf>
    <xf numFmtId="4" fontId="33" fillId="21" borderId="0" xfId="8" applyFont="1" applyFill="1" applyBorder="1" applyAlignment="1">
      <alignment horizontal="right"/>
    </xf>
    <xf numFmtId="4" fontId="33" fillId="22" borderId="0" xfId="8" applyFont="1" applyFill="1" applyBorder="1" applyAlignment="1">
      <alignment horizontal="right"/>
    </xf>
    <xf numFmtId="4" fontId="33" fillId="23" borderId="0" xfId="8" applyFont="1" applyFill="1" applyBorder="1" applyAlignment="1">
      <alignment horizontal="right"/>
    </xf>
    <xf numFmtId="4" fontId="33" fillId="24" borderId="0" xfId="8" applyFont="1" applyFill="1" applyBorder="1" applyAlignment="1">
      <alignment horizontal="right"/>
    </xf>
    <xf numFmtId="0" fontId="36" fillId="0" borderId="0" xfId="0" applyFont="1"/>
    <xf numFmtId="4" fontId="33" fillId="26" borderId="0" xfId="8" applyFont="1" applyFill="1" applyBorder="1" applyAlignment="1">
      <alignment horizontal="right"/>
    </xf>
    <xf numFmtId="4" fontId="33" fillId="27" borderId="0" xfId="8" applyFont="1" applyFill="1" applyBorder="1" applyAlignment="1">
      <alignment horizontal="right"/>
    </xf>
    <xf numFmtId="4" fontId="33" fillId="28" borderId="0" xfId="8" applyFont="1" applyFill="1" applyBorder="1" applyAlignment="1">
      <alignment horizontal="right"/>
    </xf>
    <xf numFmtId="4" fontId="33" fillId="29" borderId="0" xfId="8" applyFont="1" applyFill="1" applyBorder="1" applyAlignment="1">
      <alignment horizontal="right"/>
    </xf>
    <xf numFmtId="4" fontId="33" fillId="30" borderId="0" xfId="8" applyFont="1" applyFill="1" applyBorder="1" applyAlignment="1">
      <alignment horizontal="right"/>
    </xf>
    <xf numFmtId="168" fontId="23" fillId="0" borderId="0" xfId="7" applyNumberFormat="1" applyFont="1" applyAlignment="1">
      <alignment vertical="center"/>
    </xf>
    <xf numFmtId="2" fontId="17" fillId="0" borderId="3" xfId="0" applyNumberFormat="1" applyFont="1" applyBorder="1" applyAlignment="1">
      <alignment horizontal="center" vertical="center"/>
    </xf>
    <xf numFmtId="49" fontId="29" fillId="4" borderId="22" xfId="0" applyNumberFormat="1" applyFont="1" applyFill="1" applyBorder="1" applyAlignment="1">
      <alignment horizontal="center" vertical="center"/>
    </xf>
    <xf numFmtId="49" fontId="29" fillId="4" borderId="23" xfId="0" applyNumberFormat="1" applyFont="1" applyFill="1" applyBorder="1" applyAlignment="1">
      <alignment horizontal="center" vertical="center"/>
    </xf>
    <xf numFmtId="49" fontId="29" fillId="4" borderId="22" xfId="0" applyNumberFormat="1" applyFont="1" applyFill="1" applyBorder="1" applyAlignment="1">
      <alignment horizontal="center" vertical="center" wrapText="1"/>
    </xf>
    <xf numFmtId="0" fontId="37" fillId="0" borderId="0" xfId="0" applyFont="1"/>
    <xf numFmtId="4" fontId="8" fillId="0" borderId="0" xfId="0" applyNumberFormat="1" applyFont="1"/>
    <xf numFmtId="2" fontId="17" fillId="2" borderId="18" xfId="0" applyNumberFormat="1" applyFont="1" applyFill="1" applyBorder="1" applyAlignment="1">
      <alignment horizontal="center" vertical="center"/>
    </xf>
    <xf numFmtId="2" fontId="17" fillId="2" borderId="2" xfId="0" applyNumberFormat="1" applyFont="1" applyFill="1" applyBorder="1" applyAlignment="1">
      <alignment horizontal="center" vertical="center"/>
    </xf>
    <xf numFmtId="1" fontId="17" fillId="2" borderId="0" xfId="0" applyNumberFormat="1" applyFont="1" applyFill="1" applyAlignment="1">
      <alignment horizontal="center" vertical="center"/>
    </xf>
    <xf numFmtId="2" fontId="17" fillId="4" borderId="16" xfId="0" applyNumberFormat="1" applyFont="1" applyFill="1" applyBorder="1" applyAlignment="1">
      <alignment horizontal="center" vertical="center"/>
    </xf>
    <xf numFmtId="2" fontId="17" fillId="4" borderId="17" xfId="0" applyNumberFormat="1" applyFont="1" applyFill="1" applyBorder="1" applyAlignment="1">
      <alignment horizontal="center" vertical="center"/>
    </xf>
    <xf numFmtId="1" fontId="17" fillId="4" borderId="9" xfId="0" applyNumberFormat="1" applyFont="1" applyFill="1" applyBorder="1" applyAlignment="1">
      <alignment horizontal="center" vertical="center"/>
    </xf>
    <xf numFmtId="1" fontId="17" fillId="4" borderId="4" xfId="0" applyNumberFormat="1" applyFont="1" applyFill="1" applyBorder="1" applyAlignment="1">
      <alignment horizontal="center" vertical="center"/>
    </xf>
    <xf numFmtId="1" fontId="17" fillId="4" borderId="15" xfId="0" applyNumberFormat="1" applyFont="1" applyFill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9" xfId="0" applyNumberFormat="1" applyFont="1" applyBorder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2" fontId="17" fillId="0" borderId="4" xfId="0" applyNumberFormat="1" applyFont="1" applyBorder="1" applyAlignment="1">
      <alignment horizontal="center" vertical="center"/>
    </xf>
    <xf numFmtId="1" fontId="17" fillId="0" borderId="18" xfId="0" applyNumberFormat="1" applyFont="1" applyBorder="1" applyAlignment="1">
      <alignment horizontal="center" vertical="center"/>
    </xf>
    <xf numFmtId="2" fontId="17" fillId="2" borderId="4" xfId="0" applyNumberFormat="1" applyFont="1" applyFill="1" applyBorder="1" applyAlignment="1">
      <alignment horizontal="center" vertical="center"/>
    </xf>
    <xf numFmtId="2" fontId="22" fillId="2" borderId="0" xfId="0" applyNumberFormat="1" applyFont="1" applyFill="1" applyAlignment="1">
      <alignment horizontal="left" vertical="center" wrapText="1"/>
    </xf>
    <xf numFmtId="2" fontId="17" fillId="0" borderId="16" xfId="0" applyNumberFormat="1" applyFont="1" applyBorder="1" applyAlignment="1">
      <alignment horizontal="center" vertical="center"/>
    </xf>
    <xf numFmtId="2" fontId="17" fillId="0" borderId="8" xfId="0" applyNumberFormat="1" applyFont="1" applyBorder="1" applyAlignment="1">
      <alignment horizontal="center" vertical="center"/>
    </xf>
    <xf numFmtId="49" fontId="30" fillId="26" borderId="21" xfId="0" applyNumberFormat="1" applyFont="1" applyFill="1" applyBorder="1" applyAlignment="1">
      <alignment horizontal="left"/>
    </xf>
    <xf numFmtId="4" fontId="30" fillId="26" borderId="21" xfId="8" applyFont="1" applyFill="1" applyBorder="1" applyAlignment="1">
      <alignment horizontal="right"/>
    </xf>
    <xf numFmtId="49" fontId="30" fillId="27" borderId="21" xfId="0" applyNumberFormat="1" applyFont="1" applyFill="1" applyBorder="1" applyAlignment="1">
      <alignment horizontal="left"/>
    </xf>
    <xf numFmtId="4" fontId="30" fillId="27" borderId="21" xfId="8" applyFont="1" applyFill="1" applyBorder="1" applyAlignment="1">
      <alignment horizontal="right"/>
    </xf>
    <xf numFmtId="49" fontId="30" fillId="28" borderId="21" xfId="0" applyNumberFormat="1" applyFont="1" applyFill="1" applyBorder="1" applyAlignment="1">
      <alignment horizontal="left"/>
    </xf>
    <xf numFmtId="4" fontId="30" fillId="28" borderId="21" xfId="8" applyFont="1" applyFill="1" applyBorder="1" applyAlignment="1">
      <alignment horizontal="right"/>
    </xf>
    <xf numFmtId="49" fontId="30" fillId="25" borderId="21" xfId="0" applyNumberFormat="1" applyFont="1" applyFill="1" applyBorder="1" applyAlignment="1">
      <alignment horizontal="left"/>
    </xf>
    <xf numFmtId="49" fontId="30" fillId="29" borderId="21" xfId="0" applyNumberFormat="1" applyFont="1" applyFill="1" applyBorder="1" applyAlignment="1">
      <alignment horizontal="left"/>
    </xf>
    <xf numFmtId="4" fontId="30" fillId="29" borderId="21" xfId="8" applyFont="1" applyFill="1" applyBorder="1" applyAlignment="1">
      <alignment horizontal="right"/>
    </xf>
    <xf numFmtId="49" fontId="30" fillId="30" borderId="21" xfId="0" applyNumberFormat="1" applyFont="1" applyFill="1" applyBorder="1" applyAlignment="1">
      <alignment horizontal="left"/>
    </xf>
    <xf numFmtId="4" fontId="30" fillId="30" borderId="21" xfId="8" applyFont="1" applyFill="1" applyBorder="1" applyAlignment="1">
      <alignment horizontal="right"/>
    </xf>
    <xf numFmtId="4" fontId="30" fillId="10" borderId="0" xfId="8" applyFont="1" applyFill="1" applyBorder="1" applyAlignment="1">
      <alignment horizontal="right"/>
    </xf>
  </cellXfs>
  <cellStyles count="12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ing1" xfId="5" xr:uid="{00000000-0005-0000-0000-000004000000}"/>
    <cellStyle name="Heading2" xfId="6" xr:uid="{00000000-0005-0000-0000-000005000000}"/>
    <cellStyle name="Hiperlink Visitado" xfId="11" builtinId="9" hidden="1"/>
    <cellStyle name="Normal" xfId="0" builtinId="0"/>
    <cellStyle name="Normal 2" xfId="10" xr:uid="{00000000-0005-0000-0000-000009000000}"/>
    <cellStyle name="Porcentagem" xfId="7" builtinId="5"/>
    <cellStyle name="Total" xfId="9" builtinId="25" customBuiltin="1"/>
    <cellStyle name="Vírgula" xfId="8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pt-BR" sz="1400"/>
              <a:t> Composição da Carga Tributária do Setor Público Consolidado - 2024</a:t>
            </a:r>
          </a:p>
        </c:rich>
      </c:tx>
      <c:layout>
        <c:manualLayout>
          <c:xMode val="edge"/>
          <c:yMode val="edge"/>
          <c:x val="0.11532010318838599"/>
          <c:y val="3.199993204732939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660326988034402"/>
          <c:y val="0.27316599988108298"/>
          <c:w val="0.41964963159048402"/>
          <c:h val="0.63422776036490602"/>
        </c:manualLayout>
      </c:layout>
      <c:pieChart>
        <c:varyColors val="1"/>
        <c:ser>
          <c:idx val="0"/>
          <c:order val="0"/>
          <c:dLbls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'AD ESFERA'!$H$10:$H$13</c:f>
              <c:strCache>
                <c:ptCount val="4"/>
                <c:pt idx="0">
                  <c:v>Impostos</c:v>
                </c:pt>
                <c:pt idx="1">
                  <c:v>Contribuições</c:v>
                </c:pt>
                <c:pt idx="2">
                  <c:v>Taxas</c:v>
                </c:pt>
                <c:pt idx="3">
                  <c:v>Outros</c:v>
                </c:pt>
              </c:strCache>
            </c:strRef>
          </c:cat>
          <c:val>
            <c:numRef>
              <c:f>'AD ESFERA'!$I$10:$I$13</c:f>
              <c:numCache>
                <c:formatCode>0.00</c:formatCode>
                <c:ptCount val="4"/>
                <c:pt idx="0">
                  <c:v>19.621032824795201</c:v>
                </c:pt>
                <c:pt idx="1">
                  <c:v>15.002731005685881</c:v>
                </c:pt>
                <c:pt idx="2">
                  <c:v>0.66700654201002318</c:v>
                </c:pt>
                <c:pt idx="3">
                  <c:v>0.65922200214845361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C5D-BE69-167CB5CA1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40146801778257"/>
          <c:y val="0.28000083989501534"/>
          <c:w val="0.31232224451600898"/>
          <c:h val="0.57924589523397363"/>
        </c:manualLayout>
      </c:layout>
      <c:overlay val="0"/>
    </c:legend>
    <c:plotVisOnly val="1"/>
    <c:dispBlanksAs val="zero"/>
    <c:showDLblsOverMax val="0"/>
  </c:chart>
  <c:txPr>
    <a:bodyPr/>
    <a:lstStyle/>
    <a:p>
      <a:pPr>
        <a:defRPr>
          <a:latin typeface="Century Gothic" pitchFamily="34" charset="0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pt-BR" sz="1400"/>
              <a:t> Composição da Carga Tributária da União - 2024</a:t>
            </a:r>
          </a:p>
        </c:rich>
      </c:tx>
      <c:layout>
        <c:manualLayout>
          <c:xMode val="edge"/>
          <c:yMode val="edge"/>
          <c:x val="0.11532010318838599"/>
          <c:y val="3.199993204732939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660326988034402"/>
          <c:y val="0.27316599988108298"/>
          <c:w val="0.41964963159048402"/>
          <c:h val="0.63422776036490602"/>
        </c:manualLayout>
      </c:layout>
      <c:pieChart>
        <c:varyColors val="1"/>
        <c:ser>
          <c:idx val="0"/>
          <c:order val="0"/>
          <c:dLbls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'AD ESFERA'!$H$10:$H$13</c:f>
              <c:strCache>
                <c:ptCount val="4"/>
                <c:pt idx="0">
                  <c:v>Impostos</c:v>
                </c:pt>
                <c:pt idx="1">
                  <c:v>Contribuições</c:v>
                </c:pt>
                <c:pt idx="2">
                  <c:v>Taxas</c:v>
                </c:pt>
                <c:pt idx="3">
                  <c:v>Outros</c:v>
                </c:pt>
              </c:strCache>
            </c:strRef>
          </c:cat>
          <c:val>
            <c:numRef>
              <c:f>'AD ESFERA'!$J$10:$J$13</c:f>
              <c:numCache>
                <c:formatCode>0.00</c:formatCode>
                <c:ptCount val="4"/>
                <c:pt idx="0">
                  <c:v>8.4708730915166974</c:v>
                </c:pt>
                <c:pt idx="1">
                  <c:v>14.078399902648675</c:v>
                </c:pt>
                <c:pt idx="2">
                  <c:v>8.0408253710670896E-2</c:v>
                </c:pt>
                <c:pt idx="3">
                  <c:v>0.65922200214845361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3-49B4-8328-228EDC48B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40146801778257"/>
          <c:y val="0.28000083989501534"/>
          <c:w val="0.31232224451600898"/>
          <c:h val="0.57924589523397363"/>
        </c:manualLayout>
      </c:layout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zero"/>
    <c:showDLblsOverMax val="0"/>
  </c:chart>
  <c:txPr>
    <a:bodyPr/>
    <a:lstStyle/>
    <a:p>
      <a:pPr>
        <a:defRPr>
          <a:latin typeface="Century Gothic" pitchFamily="34" charset="0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none" strike="noStrike" baseline="0">
                <a:solidFill>
                  <a:srgbClr val="000000"/>
                </a:solidFill>
                <a:latin typeface="Comic Sans MS"/>
                <a:ea typeface="Comic Sans MS"/>
                <a:cs typeface="Comic Sans MS"/>
              </a:defRPr>
            </a:pPr>
            <a:r>
              <a:rPr lang="pt-BR"/>
              <a:t>2004 - Maiores Tributos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Comic Sans MS"/>
                    <a:ea typeface="Comic Sans MS"/>
                    <a:cs typeface="Comic Sans M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'PRINCIPAIS TRIBUTOS'!#REF!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'PRINCIPAIS TRIBUTOS'!#REF!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363-42D2-BE4E-190D01A81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 rtl="0"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Comic Sans MS"/>
          <a:ea typeface="Comic Sans MS"/>
          <a:cs typeface="Comic Sans MS"/>
        </a:defRPr>
      </a:pPr>
      <a:endParaRPr lang="pt-BR"/>
    </a:p>
  </c:txPr>
  <c:printSettings>
    <c:headerFooter alignWithMargins="0"/>
    <c:pageMargins b="1" l="0.75000000000000244" r="0.75000000000000244" t="1" header="0.49212598500000204" footer="0.492125985000002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/>
              <a:t> Principais Tributos da carga tributária - 2024</a:t>
            </a:r>
          </a:p>
        </c:rich>
      </c:tx>
      <c:layout>
        <c:manualLayout>
          <c:xMode val="edge"/>
          <c:yMode val="edge"/>
          <c:x val="0.16046296296296311"/>
          <c:y val="4.66190391669624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9494786048184152"/>
          <c:y val="0.19426990888652251"/>
          <c:w val="0.41964963159048402"/>
          <c:h val="0.634227760364906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098-4C86-8BA8-EAEA403070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F098-4C86-8BA8-EAEA403070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098-4C86-8BA8-EAEA403070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098-4C86-8BA8-EAEA403070E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098-4C86-8BA8-EAEA403070E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098-4C86-8BA8-EAEA403070E2}"/>
              </c:ext>
            </c:extLst>
          </c:dPt>
          <c:dLbls>
            <c:dLbl>
              <c:idx val="0"/>
              <c:layout>
                <c:manualLayout>
                  <c:x val="8.5802768788205683E-2"/>
                  <c:y val="4.7906164950893476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98-4C86-8BA8-EAEA403070E2}"/>
                </c:ext>
              </c:extLst>
            </c:dLbl>
            <c:dLbl>
              <c:idx val="1"/>
              <c:layout>
                <c:manualLayout>
                  <c:x val="4.1484537935994104E-2"/>
                  <c:y val="2.9434978109099556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98-4C86-8BA8-EAEA403070E2}"/>
                </c:ext>
              </c:extLst>
            </c:dLbl>
            <c:dLbl>
              <c:idx val="2"/>
              <c:layout>
                <c:manualLayout>
                  <c:x val="-0.16247716648687521"/>
                  <c:y val="-6.9343272985445584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098-4C86-8BA8-EAEA403070E2}"/>
                </c:ext>
              </c:extLst>
            </c:dLbl>
            <c:dLbl>
              <c:idx val="3"/>
              <c:layout>
                <c:manualLayout>
                  <c:x val="-5.3201456310679615E-2"/>
                  <c:y val="-1.1557212164240908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098-4C86-8BA8-EAEA403070E2}"/>
                </c:ext>
              </c:extLst>
            </c:dLbl>
            <c:dLbl>
              <c:idx val="4"/>
              <c:layout>
                <c:manualLayout>
                  <c:x val="-6.5958558072635745E-2"/>
                  <c:y val="1.7817418057034671E-3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098-4C86-8BA8-EAEA403070E2}"/>
                </c:ext>
              </c:extLst>
            </c:dLbl>
            <c:dLbl>
              <c:idx val="5"/>
              <c:layout>
                <c:manualLayout>
                  <c:x val="-3.9141945343401652E-2"/>
                  <c:y val="1.5749911253106142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98-4C86-8BA8-EAEA403070E2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'PRINCIPAIS TRIBUTOS'!$I$9:$I$14</c:f>
              <c:strCache>
                <c:ptCount val="6"/>
                <c:pt idx="0">
                  <c:v>ICMS</c:v>
                </c:pt>
                <c:pt idx="1">
                  <c:v>IR + CSLL</c:v>
                </c:pt>
                <c:pt idx="2">
                  <c:v>Prev + FGTS</c:v>
                </c:pt>
                <c:pt idx="3">
                  <c:v>Cofins + PIS</c:v>
                </c:pt>
                <c:pt idx="4">
                  <c:v>ISS</c:v>
                </c:pt>
                <c:pt idx="5">
                  <c:v>Outros</c:v>
                </c:pt>
              </c:strCache>
            </c:strRef>
          </c:cat>
          <c:val>
            <c:numRef>
              <c:f>'PRINCIPAIS TRIBUTOS'!$J$9:$J$14</c:f>
              <c:numCache>
                <c:formatCode>0</c:formatCode>
                <c:ptCount val="6"/>
                <c:pt idx="0">
                  <c:v>19.613984528957559</c:v>
                </c:pt>
                <c:pt idx="1">
                  <c:v>24.988876730970276</c:v>
                </c:pt>
                <c:pt idx="2">
                  <c:v>20.48868322439489</c:v>
                </c:pt>
                <c:pt idx="3">
                  <c:v>10.744008995805494</c:v>
                </c:pt>
                <c:pt idx="4">
                  <c:v>3.3781689677017819</c:v>
                </c:pt>
                <c:pt idx="5">
                  <c:v>20.785746000648924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E3-4001-86B3-7124187939E5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 alignWithMargins="0"/>
    <c:pageMargins b="0.98425196899999956" l="0.78740157499999996" r="0.78740157499999996" t="0.98425196899999956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pt-BR" sz="1600"/>
              <a:t>Impostos Comparados: IPVA x IPTU - % do PIB</a:t>
            </a:r>
          </a:p>
        </c:rich>
      </c:tx>
      <c:layout>
        <c:manualLayout>
          <c:xMode val="edge"/>
          <c:yMode val="edge"/>
          <c:x val="0.10790228144558861"/>
          <c:y val="2.185430878419436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4271883014580602E-2"/>
          <c:y val="0.14492787809451887"/>
          <c:w val="0.95307593970586202"/>
          <c:h val="0.74637857218678016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'PRINCIPAIS TRIBUTOS'!$A$19:$A$20</c:f>
              <c:strCache>
                <c:ptCount val="2"/>
                <c:pt idx="0">
                  <c:v>  IPVA</c:v>
                </c:pt>
                <c:pt idx="1">
                  <c:v>  IPTU</c:v>
                </c:pt>
              </c:strCache>
            </c:strRef>
          </c:cat>
          <c:val>
            <c:numRef>
              <c:f>'PRINCIPAIS TRIBUTOS'!$C$19:$C$20</c:f>
              <c:numCache>
                <c:formatCode>0.00</c:formatCode>
                <c:ptCount val="2"/>
                <c:pt idx="0">
                  <c:v>0.74529834389774996</c:v>
                </c:pt>
                <c:pt idx="1">
                  <c:v>0.6610158134961559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0-4B2B-A28B-357CC5BCA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224576"/>
        <c:axId val="57246848"/>
      </c:barChart>
      <c:catAx>
        <c:axId val="57224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pt-BR"/>
          </a:p>
        </c:txPr>
        <c:crossAx val="572468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7246848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one"/>
        <c:crossAx val="5722457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latin typeface="Century Gothic" pitchFamily="34" charset="0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vert="horz"/>
          <a:lstStyle/>
          <a:p>
            <a:pPr>
              <a:defRPr sz="1400"/>
            </a:pPr>
            <a:r>
              <a:rPr lang="pt-BR" sz="1400"/>
              <a:t>Composição da Carga Tributária por Base de Incidência - 2024</a:t>
            </a:r>
          </a:p>
        </c:rich>
      </c:tx>
      <c:layout>
        <c:manualLayout>
          <c:xMode val="edge"/>
          <c:yMode val="edge"/>
          <c:x val="0.13204350952894642"/>
          <c:y val="3.521476748313812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9025386551600146"/>
          <c:y val="0.20554076440657909"/>
          <c:w val="0.41964963159048402"/>
          <c:h val="0.63422776036490602"/>
        </c:manualLayout>
      </c:layout>
      <c:pieChart>
        <c:varyColors val="1"/>
        <c:ser>
          <c:idx val="0"/>
          <c:order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pt-B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'Bases de Incidência'!$A$9:$A$16</c:f>
              <c:strCache>
                <c:ptCount val="8"/>
                <c:pt idx="0">
                  <c:v>BENS E SERVIÇOS</c:v>
                </c:pt>
                <c:pt idx="1">
                  <c:v>SALÁRIOS E MÃO-DE-OBRA</c:v>
                </c:pt>
                <c:pt idx="2">
                  <c:v>RENDA, LUCROS E GANHOS</c:v>
                </c:pt>
                <c:pt idx="3">
                  <c:v>PATRIMONIAIS</c:v>
                </c:pt>
                <c:pt idx="4">
                  <c:v>COMÉRCIO EXTERIOR</c:v>
                </c:pt>
                <c:pt idx="5">
                  <c:v>TAXAS</c:v>
                </c:pt>
                <c:pt idx="6">
                  <c:v>TRANSAÇÕES FINANCEIRAS</c:v>
                </c:pt>
                <c:pt idx="7">
                  <c:v>DEMAIS</c:v>
                </c:pt>
              </c:strCache>
            </c:strRef>
          </c:cat>
          <c:val>
            <c:numRef>
              <c:f>'Bases de Incidência'!$D$9:$D$16</c:f>
              <c:numCache>
                <c:formatCode>0.0</c:formatCode>
                <c:ptCount val="8"/>
                <c:pt idx="0">
                  <c:v>39.542303116342488</c:v>
                </c:pt>
                <c:pt idx="1">
                  <c:v>23.166538892618902</c:v>
                </c:pt>
                <c:pt idx="2">
                  <c:v>25.093093283822331</c:v>
                </c:pt>
                <c:pt idx="3">
                  <c:v>5.0232024179899559</c:v>
                </c:pt>
                <c:pt idx="4">
                  <c:v>1.8357000996345616</c:v>
                </c:pt>
                <c:pt idx="5">
                  <c:v>1.8553732503168878</c:v>
                </c:pt>
                <c:pt idx="6">
                  <c:v>1.5958371320331528</c:v>
                </c:pt>
                <c:pt idx="7">
                  <c:v>1.8879518072417178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D-4C67-8D2C-71459597174D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180"/>
      </c:pieChart>
    </c:plotArea>
    <c:plotVisOnly val="1"/>
    <c:dispBlanksAs val="zero"/>
    <c:showDLblsOverMax val="0"/>
  </c:chart>
  <c:txPr>
    <a:bodyPr/>
    <a:lstStyle/>
    <a:p>
      <a:pPr>
        <a:defRPr>
          <a:latin typeface="Century Gothic" pitchFamily="34" charset="0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/>
              <a:t>Arrecadação Direta DA CARGA TRIBUTÁRIA - 2024</a:t>
            </a:r>
          </a:p>
        </c:rich>
      </c:tx>
      <c:layout>
        <c:manualLayout>
          <c:xMode val="edge"/>
          <c:yMode val="edge"/>
          <c:x val="0.11204311163232249"/>
          <c:y val="2.05329418568441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3492265594460268"/>
          <c:y val="0.2265228287142072"/>
          <c:w val="0.52852996681199849"/>
          <c:h val="0.722622892477430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CB0D-44DA-BDC2-C2A3BFA2E0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0D-44DA-BDC2-C2A3BFA2E0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7C5E-4806-A49B-2C2B9163173D}"/>
              </c:ext>
            </c:extLst>
          </c:dPt>
          <c:dLbls>
            <c:dLbl>
              <c:idx val="0"/>
              <c:layout>
                <c:manualLayout>
                  <c:x val="9.3805774278215348E-2"/>
                  <c:y val="-0.221573023711019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0D-44DA-BDC2-C2A3BFA2E05F}"/>
                </c:ext>
              </c:extLst>
            </c:dLbl>
            <c:dLbl>
              <c:idx val="1"/>
              <c:layout>
                <c:manualLayout>
                  <c:x val="-2.0354498240911373E-2"/>
                  <c:y val="0.2321562347079497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0D-44DA-BDC2-C2A3BFA2E05F}"/>
                </c:ext>
              </c:extLst>
            </c:dLbl>
            <c:dLbl>
              <c:idx val="2"/>
              <c:layout>
                <c:manualLayout>
                  <c:x val="-0.22468487183782879"/>
                  <c:y val="0.1133027863042543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C5E-4806-A49B-2C2B9163173D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Gráficos!$A$3:$A$5</c:f>
              <c:strCache>
                <c:ptCount val="3"/>
                <c:pt idx="0">
                  <c:v>União</c:v>
                </c:pt>
                <c:pt idx="1">
                  <c:v>Estados</c:v>
                </c:pt>
                <c:pt idx="2">
                  <c:v>Municípios</c:v>
                </c:pt>
              </c:strCache>
            </c:strRef>
          </c:cat>
          <c:val>
            <c:numRef>
              <c:f>Gráficos!$B$3:$B$5</c:f>
              <c:numCache>
                <c:formatCode>0.0%</c:formatCode>
                <c:ptCount val="3"/>
                <c:pt idx="0">
                  <c:v>0.64781385785364842</c:v>
                </c:pt>
                <c:pt idx="1">
                  <c:v>0.26697113253362953</c:v>
                </c:pt>
                <c:pt idx="2">
                  <c:v>8.5215009612721951E-2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5E-4806-A49B-2C2B916317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 alignWithMargins="0"/>
    <c:pageMargins b="0.98425196899999956" l="0.78740157499999996" r="0.78740157499999996" t="0.98425196899999956" header="0.49212598500000404" footer="0.49212598500000404"/>
    <c:pageSetup paperSize="9" orientation="landscape" horizontalDpi="-1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/>
              <a:t>Receita Disponível</a:t>
            </a:r>
            <a:r>
              <a:rPr lang="pt-BR" sz="1400" baseline="0"/>
              <a:t> da carga tributária -</a:t>
            </a:r>
            <a:r>
              <a:rPr lang="pt-BR" sz="1400"/>
              <a:t> 2024</a:t>
            </a:r>
          </a:p>
        </c:rich>
      </c:tx>
      <c:layout>
        <c:manualLayout>
          <c:xMode val="edge"/>
          <c:yMode val="edge"/>
          <c:x val="0.12352682409423332"/>
          <c:y val="2.7953871694533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3133523139619297"/>
          <c:y val="0.21360043875251991"/>
          <c:w val="0.55417664151270696"/>
          <c:h val="0.7576310328471540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5380-4006-A402-9B32A543F0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80-4006-A402-9B32A543F0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380-4006-A402-9B32A543F00D}"/>
              </c:ext>
            </c:extLst>
          </c:dPt>
          <c:dLbls>
            <c:dLbl>
              <c:idx val="0"/>
              <c:layout>
                <c:manualLayout>
                  <c:x val="1.1829509294925503E-2"/>
                  <c:y val="-0.1113980789754535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80-4006-A402-9B32A543F00D}"/>
                </c:ext>
              </c:extLst>
            </c:dLbl>
            <c:dLbl>
              <c:idx val="1"/>
              <c:layout>
                <c:manualLayout>
                  <c:x val="-2.5035784067437058E-2"/>
                  <c:y val="3.305170164828649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80-4006-A402-9B32A543F00D}"/>
                </c:ext>
              </c:extLst>
            </c:dLbl>
            <c:dLbl>
              <c:idx val="2"/>
              <c:layout>
                <c:manualLayout>
                  <c:x val="-9.9467649193323376E-2"/>
                  <c:y val="7.889807897545358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80-4006-A402-9B32A543F00D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Gráficos!$A$3:$A$5</c:f>
              <c:strCache>
                <c:ptCount val="3"/>
                <c:pt idx="0">
                  <c:v>União</c:v>
                </c:pt>
                <c:pt idx="1">
                  <c:v>Estados</c:v>
                </c:pt>
                <c:pt idx="2">
                  <c:v>Municípios</c:v>
                </c:pt>
              </c:strCache>
            </c:strRef>
          </c:cat>
          <c:val>
            <c:numRef>
              <c:f>Gráficos!$C$3:$C$5</c:f>
              <c:numCache>
                <c:formatCode>0.0%</c:formatCode>
                <c:ptCount val="3"/>
                <c:pt idx="0">
                  <c:v>0.51550414866358429</c:v>
                </c:pt>
                <c:pt idx="1">
                  <c:v>0.25180411464928043</c:v>
                </c:pt>
                <c:pt idx="2">
                  <c:v>0.23269173668713519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0-412C-A150-874EAB997A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 alignWithMargins="0"/>
    <c:pageMargins b="0.98425196899999956" l="0.78740157499999996" r="0.78740157499999996" t="0.98425196899999956" header="0.49212598500000404" footer="0.492125985000004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</xdr:row>
      <xdr:rowOff>85725</xdr:rowOff>
    </xdr:from>
    <xdr:to>
      <xdr:col>13</xdr:col>
      <xdr:colOff>123825</xdr:colOff>
      <xdr:row>18</xdr:row>
      <xdr:rowOff>161925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22</xdr:row>
      <xdr:rowOff>57150</xdr:rowOff>
    </xdr:from>
    <xdr:to>
      <xdr:col>13</xdr:col>
      <xdr:colOff>85725</xdr:colOff>
      <xdr:row>44</xdr:row>
      <xdr:rowOff>19050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29</xdr:row>
      <xdr:rowOff>0</xdr:rowOff>
    </xdr:from>
    <xdr:to>
      <xdr:col>4</xdr:col>
      <xdr:colOff>0</xdr:colOff>
      <xdr:row>29</xdr:row>
      <xdr:rowOff>0</xdr:rowOff>
    </xdr:to>
    <xdr:graphicFrame macro="">
      <xdr:nvGraphicFramePr>
        <xdr:cNvPr id="1531" name="Chart 1">
          <a:extLst>
            <a:ext uri="{FF2B5EF4-FFF2-40B4-BE49-F238E27FC236}">
              <a16:creationId xmlns:a16="http://schemas.microsoft.com/office/drawing/2014/main" id="{00000000-0008-0000-0200-0000FB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285749</xdr:colOff>
      <xdr:row>3</xdr:row>
      <xdr:rowOff>352424</xdr:rowOff>
    </xdr:from>
    <xdr:to>
      <xdr:col>19</xdr:col>
      <xdr:colOff>532799</xdr:colOff>
      <xdr:row>25</xdr:row>
      <xdr:rowOff>56174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19050</xdr:colOff>
      <xdr:row>7</xdr:row>
      <xdr:rowOff>76200</xdr:rowOff>
    </xdr:from>
    <xdr:to>
      <xdr:col>27</xdr:col>
      <xdr:colOff>400050</xdr:colOff>
      <xdr:row>29</xdr:row>
      <xdr:rowOff>114300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1</xdr:row>
      <xdr:rowOff>28575</xdr:rowOff>
    </xdr:from>
    <xdr:to>
      <xdr:col>15</xdr:col>
      <xdr:colOff>180375</xdr:colOff>
      <xdr:row>23</xdr:row>
      <xdr:rowOff>75225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5</xdr:row>
      <xdr:rowOff>123825</xdr:rowOff>
    </xdr:from>
    <xdr:to>
      <xdr:col>8</xdr:col>
      <xdr:colOff>95250</xdr:colOff>
      <xdr:row>26</xdr:row>
      <xdr:rowOff>95250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342900</xdr:colOff>
      <xdr:row>5</xdr:row>
      <xdr:rowOff>123825</xdr:rowOff>
    </xdr:from>
    <xdr:to>
      <xdr:col>16</xdr:col>
      <xdr:colOff>96750</xdr:colOff>
      <xdr:row>26</xdr:row>
      <xdr:rowOff>96600</xdr:rowOff>
    </xdr:to>
    <xdr:graphicFrame macro="">
      <xdr:nvGraphicFramePr>
        <xdr:cNvPr id="5" name="Gráfico 2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RIKA\Rec_trib\CARGA\CARG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2"/>
      <sheetName val="Gráfico3"/>
      <sheetName val="PROPRIO98"/>
      <sheetName val="PROPRIO97"/>
      <sheetName val="PROPRIO96"/>
      <sheetName val="IBGE95"/>
      <sheetName val="PROPRIO95"/>
      <sheetName val="IBGE94"/>
      <sheetName val="PROPRIO94"/>
      <sheetName val="DIRIND"/>
      <sheetName val="INTERNAC"/>
      <sheetName val="G96-MAIORES"/>
      <sheetName val="G96-BASE"/>
      <sheetName val="maiores"/>
      <sheetName val="basecal"/>
      <sheetName val="velho94"/>
      <sheetName val="Gr97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tn.fazenda.gov.br/estados_municipios/download/fundos2004.xls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opLeftCell="A10" zoomScaleNormal="100" workbookViewId="0">
      <selection activeCell="L17" sqref="L17"/>
    </sheetView>
  </sheetViews>
  <sheetFormatPr defaultColWidth="8.85546875" defaultRowHeight="13.5"/>
  <cols>
    <col min="1" max="1" width="37.7109375" style="21" customWidth="1"/>
    <col min="2" max="4" width="12.5703125" style="51" customWidth="1"/>
    <col min="5" max="5" width="12.5703125" style="52" customWidth="1"/>
    <col min="6" max="7" width="8.85546875" style="21"/>
    <col min="8" max="8" width="13.7109375" style="21" customWidth="1"/>
    <col min="9" max="9" width="9.85546875" style="21" bestFit="1" customWidth="1"/>
    <col min="10" max="10" width="8.85546875" style="21"/>
    <col min="11" max="11" width="17.5703125" style="21" bestFit="1" customWidth="1"/>
    <col min="12" max="12" width="8.85546875" style="21"/>
    <col min="13" max="13" width="12.7109375" style="21" bestFit="1" customWidth="1"/>
    <col min="14" max="16384" width="8.85546875" style="21"/>
  </cols>
  <sheetData>
    <row r="1" spans="1:6" ht="15">
      <c r="A1" s="18" t="s">
        <v>0</v>
      </c>
      <c r="B1" s="19"/>
      <c r="C1" s="19"/>
      <c r="D1" s="19"/>
      <c r="E1" s="20"/>
    </row>
    <row r="2" spans="1:6" ht="14.25" thickBot="1">
      <c r="A2" s="22"/>
      <c r="B2" s="23"/>
      <c r="C2" s="23"/>
      <c r="D2" s="23"/>
      <c r="E2" s="24"/>
    </row>
    <row r="3" spans="1:6">
      <c r="A3" s="271" t="s">
        <v>1</v>
      </c>
      <c r="B3" s="273">
        <v>2024</v>
      </c>
      <c r="C3" s="274"/>
      <c r="D3" s="274"/>
      <c r="E3" s="275"/>
    </row>
    <row r="4" spans="1:6" ht="32.25" customHeight="1" thickBot="1">
      <c r="A4" s="272"/>
      <c r="B4" s="25" t="s">
        <v>2</v>
      </c>
      <c r="C4" s="26" t="s">
        <v>3</v>
      </c>
      <c r="D4" s="27" t="s">
        <v>4</v>
      </c>
      <c r="E4" s="28" t="s">
        <v>5</v>
      </c>
    </row>
    <row r="5" spans="1:6">
      <c r="A5" s="29" t="s">
        <v>6</v>
      </c>
      <c r="B5" s="163">
        <v>11744.709000000001</v>
      </c>
      <c r="C5" s="30"/>
      <c r="D5" s="30"/>
      <c r="E5" s="31"/>
    </row>
    <row r="6" spans="1:6">
      <c r="A6" s="29" t="s">
        <v>7</v>
      </c>
      <c r="B6" s="32">
        <v>212583750</v>
      </c>
      <c r="C6" s="30"/>
      <c r="D6" s="30"/>
      <c r="E6" s="31"/>
    </row>
    <row r="7" spans="1:6">
      <c r="A7" s="33" t="s">
        <v>8</v>
      </c>
      <c r="B7" s="160">
        <f>+B9+B29+B39</f>
        <v>4222.2219899236061</v>
      </c>
      <c r="C7" s="161">
        <f>+C9+C29+C39</f>
        <v>35.949992374639557</v>
      </c>
      <c r="D7" s="161">
        <f>+D9+D29+D39</f>
        <v>99.999999999999986</v>
      </c>
      <c r="E7" s="162">
        <f>(B7*1000000000)/$B$6</f>
        <v>19861.452203771954</v>
      </c>
    </row>
    <row r="8" spans="1:6">
      <c r="A8" s="34"/>
      <c r="B8" s="163"/>
      <c r="C8" s="164"/>
      <c r="D8" s="164"/>
      <c r="E8" s="165"/>
    </row>
    <row r="9" spans="1:6" s="36" customFormat="1">
      <c r="A9" s="35" t="s">
        <v>9</v>
      </c>
      <c r="B9" s="163">
        <f>SUM(B10:B27)</f>
        <v>2735.2139160069196</v>
      </c>
      <c r="C9" s="164">
        <f>SUM(C10:C27)</f>
        <v>23.288903250024493</v>
      </c>
      <c r="D9" s="164">
        <f>SUM(D10:D27)</f>
        <v>64.781385785364847</v>
      </c>
      <c r="E9" s="165">
        <f t="shared" ref="E9:E47" si="0">(B9*1000000000)/$B$6</f>
        <v>12866.523974701357</v>
      </c>
    </row>
    <row r="10" spans="1:6" ht="14.25">
      <c r="A10" s="37" t="s">
        <v>10</v>
      </c>
      <c r="B10" s="166">
        <f>Impostos!D19+Impostos!D24+Impostos!D29+SUM(Impostos!D33:D35)</f>
        <v>764.55033295458998</v>
      </c>
      <c r="C10" s="46">
        <f t="shared" ref="C10:C27" si="1">+B10/B$5*100</f>
        <v>6.5097426675670711</v>
      </c>
      <c r="D10" s="46">
        <f t="shared" ref="D10:D27" si="2">+C10/C$7*100</f>
        <v>18.10777203991643</v>
      </c>
      <c r="E10" s="167">
        <f t="shared" si="0"/>
        <v>3596.4664888759839</v>
      </c>
      <c r="F10" s="21" t="s">
        <v>11</v>
      </c>
    </row>
    <row r="11" spans="1:6" ht="14.25">
      <c r="A11" s="37" t="s">
        <v>12</v>
      </c>
      <c r="B11" s="166">
        <f>Impostos!D37+SUM(Impostos!D39:D41)+Impostos!D43</f>
        <v>82.173979121600013</v>
      </c>
      <c r="C11" s="46">
        <f t="shared" si="1"/>
        <v>0.69966807284539789</v>
      </c>
      <c r="D11" s="46">
        <f t="shared" si="2"/>
        <v>1.9462259283786927</v>
      </c>
      <c r="E11" s="167">
        <f t="shared" si="0"/>
        <v>386.54873254235099</v>
      </c>
      <c r="F11" s="21" t="s">
        <v>11</v>
      </c>
    </row>
    <row r="12" spans="1:6" ht="14.25">
      <c r="A12" s="37" t="s">
        <v>13</v>
      </c>
      <c r="B12" s="166">
        <f>Impostos!D48+Impostos!D50</f>
        <v>67.402229597279984</v>
      </c>
      <c r="C12" s="46">
        <f t="shared" si="1"/>
        <v>0.57389442000887358</v>
      </c>
      <c r="D12" s="46">
        <f t="shared" si="2"/>
        <v>1.5963686835542132</v>
      </c>
      <c r="E12" s="167">
        <f t="shared" si="0"/>
        <v>317.06200308010364</v>
      </c>
      <c r="F12" s="21" t="s">
        <v>11</v>
      </c>
    </row>
    <row r="13" spans="1:6" ht="14.25">
      <c r="A13" s="37" t="s">
        <v>14</v>
      </c>
      <c r="B13" s="166">
        <f>Impostos!D2+Impostos!D7</f>
        <v>77.507333275820002</v>
      </c>
      <c r="C13" s="46">
        <f t="shared" si="1"/>
        <v>0.65993404583987558</v>
      </c>
      <c r="D13" s="46">
        <f t="shared" si="2"/>
        <v>1.8357000996345616</v>
      </c>
      <c r="E13" s="167">
        <f t="shared" si="0"/>
        <v>364.59669789351261</v>
      </c>
      <c r="F13" s="21" t="s">
        <v>11</v>
      </c>
    </row>
    <row r="14" spans="1:6" ht="14.25">
      <c r="A14" s="37" t="s">
        <v>15</v>
      </c>
      <c r="B14" s="166">
        <f>Impostos!D12+Impostos!D14</f>
        <v>3.2455194086500008</v>
      </c>
      <c r="C14" s="46">
        <f t="shared" si="1"/>
        <v>2.7633885255479725E-2</v>
      </c>
      <c r="D14" s="46">
        <f t="shared" si="2"/>
        <v>7.6867569170817635E-2</v>
      </c>
      <c r="E14" s="167">
        <f t="shared" si="0"/>
        <v>15.26701551106329</v>
      </c>
      <c r="F14" s="21" t="s">
        <v>11</v>
      </c>
    </row>
    <row r="15" spans="1:6" ht="14.25">
      <c r="A15" s="37" t="s">
        <v>16</v>
      </c>
      <c r="B15" s="166">
        <f>Impostos!D59</f>
        <v>9.4437154102999994</v>
      </c>
      <c r="C15" s="46">
        <f t="shared" si="1"/>
        <v>8.0408253710670896E-2</v>
      </c>
      <c r="D15" s="46">
        <f t="shared" si="2"/>
        <v>0.22366695623388735</v>
      </c>
      <c r="E15" s="167">
        <f t="shared" si="0"/>
        <v>44.423505608025067</v>
      </c>
      <c r="F15" s="21" t="s">
        <v>11</v>
      </c>
    </row>
    <row r="16" spans="1:6" ht="14.25">
      <c r="A16" s="37" t="s">
        <v>17</v>
      </c>
      <c r="B16" s="166">
        <f>SUM(Contribuições!D149:D152)</f>
        <v>611.64220833006004</v>
      </c>
      <c r="C16" s="46">
        <f t="shared" si="1"/>
        <v>5.2078106688727663</v>
      </c>
      <c r="D16" s="46">
        <f t="shared" si="2"/>
        <v>14.486263625876447</v>
      </c>
      <c r="E16" s="167">
        <f t="shared" si="0"/>
        <v>2877.1823261658524</v>
      </c>
      <c r="F16" s="21" t="s">
        <v>11</v>
      </c>
    </row>
    <row r="17" spans="1:6" ht="14.25">
      <c r="A17" s="37" t="s">
        <v>18</v>
      </c>
      <c r="B17" s="166">
        <f>SUM(Contribuições!D7:D9)</f>
        <v>353.79252403217998</v>
      </c>
      <c r="C17" s="46">
        <f t="shared" si="1"/>
        <v>3.0123566623249665</v>
      </c>
      <c r="D17" s="46">
        <f t="shared" si="2"/>
        <v>8.3792970828277369</v>
      </c>
      <c r="E17" s="167">
        <f t="shared" si="0"/>
        <v>1664.2500851178888</v>
      </c>
      <c r="F17" s="21" t="s">
        <v>11</v>
      </c>
    </row>
    <row r="18" spans="1:6" ht="14.25">
      <c r="A18" s="37" t="s">
        <v>19</v>
      </c>
      <c r="B18" s="166">
        <f>Contribuições!D10</f>
        <v>-2.244328521E-2</v>
      </c>
      <c r="C18" s="46">
        <f t="shared" si="1"/>
        <v>-1.9109273128861687E-4</v>
      </c>
      <c r="D18" s="46">
        <f t="shared" si="2"/>
        <v>-5.3155152106074079E-4</v>
      </c>
      <c r="E18" s="167">
        <f t="shared" si="0"/>
        <v>-0.10557385129390182</v>
      </c>
      <c r="F18" s="21" t="s">
        <v>11</v>
      </c>
    </row>
    <row r="19" spans="1:6" ht="14.25">
      <c r="A19" s="37" t="s">
        <v>20</v>
      </c>
      <c r="B19" s="166">
        <f>SUM(Contribuições!D11:D13)</f>
        <v>160.60670028164003</v>
      </c>
      <c r="C19" s="46">
        <f t="shared" si="1"/>
        <v>1.3674813082353938</v>
      </c>
      <c r="D19" s="46">
        <f t="shared" si="2"/>
        <v>3.8038431106874597</v>
      </c>
      <c r="E19" s="167">
        <f t="shared" si="0"/>
        <v>755.49848133566206</v>
      </c>
      <c r="F19" s="21" t="s">
        <v>11</v>
      </c>
    </row>
    <row r="20" spans="1:6" ht="14.25">
      <c r="A20" s="37" t="s">
        <v>21</v>
      </c>
      <c r="B20" s="166">
        <f>SUM(Contribuições!D146:D148)</f>
        <v>99.843386388089996</v>
      </c>
      <c r="C20" s="46">
        <f t="shared" si="1"/>
        <v>0.85011375239769671</v>
      </c>
      <c r="D20" s="46">
        <f t="shared" si="2"/>
        <v>2.3647119129777567</v>
      </c>
      <c r="E20" s="167">
        <f t="shared" si="0"/>
        <v>469.66612635297849</v>
      </c>
      <c r="F20" s="21" t="s">
        <v>11</v>
      </c>
    </row>
    <row r="21" spans="1:6" ht="14.25">
      <c r="A21" s="37" t="s">
        <v>22</v>
      </c>
      <c r="B21" s="166">
        <f>SUM(Contribuições!D153:D161)</f>
        <v>28.419424528750003</v>
      </c>
      <c r="C21" s="46">
        <f t="shared" si="1"/>
        <v>0.24197640425786623</v>
      </c>
      <c r="D21" s="46">
        <f t="shared" si="2"/>
        <v>0.67309167060787822</v>
      </c>
      <c r="E21" s="167">
        <f t="shared" si="0"/>
        <v>133.68578044535391</v>
      </c>
      <c r="F21" s="21" t="s">
        <v>11</v>
      </c>
    </row>
    <row r="22" spans="1:6" ht="14.25">
      <c r="A22" s="37" t="s">
        <v>23</v>
      </c>
      <c r="B22" s="166">
        <f>SUM(Contribuições!D14:D21,Contribuições!D141:D144,Contribuições!D165:D169)+Multas!D2</f>
        <v>6.7841339568700016</v>
      </c>
      <c r="C22" s="46">
        <f t="shared" si="1"/>
        <v>5.7763320971766959E-2</v>
      </c>
      <c r="D22" s="46">
        <f t="shared" si="2"/>
        <v>0.16067686571337167</v>
      </c>
      <c r="E22" s="167">
        <f t="shared" si="0"/>
        <v>31.912758886180161</v>
      </c>
      <c r="F22" s="21" t="s">
        <v>11</v>
      </c>
    </row>
    <row r="23" spans="1:6" ht="14.25">
      <c r="A23" s="41" t="s">
        <v>24</v>
      </c>
      <c r="B23" s="166">
        <v>191.995</v>
      </c>
      <c r="C23" s="46">
        <f t="shared" si="1"/>
        <v>1.6347361181958615</v>
      </c>
      <c r="D23" s="46">
        <f t="shared" si="2"/>
        <v>4.5472502501810386</v>
      </c>
      <c r="E23" s="167">
        <f t="shared" si="0"/>
        <v>903.14993502560753</v>
      </c>
      <c r="F23" s="21" t="s">
        <v>25</v>
      </c>
    </row>
    <row r="24" spans="1:6" ht="14.25">
      <c r="A24" s="37" t="s">
        <v>26</v>
      </c>
      <c r="B24" s="166">
        <f>SUM(Contribuições!D2:D6,Contribuições!D139:D140,Contribuições!D145,Contribuições!D164,Contribuições!D170:D174)+SUM(Patrimoniais!D2:D15,Patrimoniais!D17:D18,Patrimoniais!D21)</f>
        <v>138.96568597385999</v>
      </c>
      <c r="C24" s="46">
        <f t="shared" si="1"/>
        <v>1.183219490358254</v>
      </c>
      <c r="D24" s="46">
        <f t="shared" si="2"/>
        <v>3.291292743619441</v>
      </c>
      <c r="E24" s="167">
        <f t="shared" si="0"/>
        <v>653.69853516018975</v>
      </c>
      <c r="F24" s="21" t="s">
        <v>11</v>
      </c>
    </row>
    <row r="25" spans="1:6" ht="14.25">
      <c r="A25" s="37" t="s">
        <v>27</v>
      </c>
      <c r="B25" s="166">
        <f>SUM(Contribuições!D162:D163)</f>
        <v>32.120721502510001</v>
      </c>
      <c r="C25" s="46">
        <f t="shared" si="1"/>
        <v>0.27349099498770041</v>
      </c>
      <c r="D25" s="46">
        <f t="shared" si="2"/>
        <v>0.76075397217783836</v>
      </c>
      <c r="E25" s="167">
        <f t="shared" si="0"/>
        <v>151.09678657239795</v>
      </c>
      <c r="F25" s="21" t="s">
        <v>11</v>
      </c>
    </row>
    <row r="26" spans="1:6" ht="14.25">
      <c r="A26" s="41" t="s">
        <v>28</v>
      </c>
      <c r="B26" s="166">
        <v>29.319758713620001</v>
      </c>
      <c r="C26" s="46">
        <f t="shared" si="1"/>
        <v>0.24964227477768924</v>
      </c>
      <c r="D26" s="46">
        <f t="shared" si="2"/>
        <v>0.69441537615956783</v>
      </c>
      <c r="E26" s="167">
        <f t="shared" si="0"/>
        <v>137.9209780315758</v>
      </c>
      <c r="F26" s="40" t="s">
        <v>29</v>
      </c>
    </row>
    <row r="27" spans="1:6" ht="14.25">
      <c r="A27" s="37" t="s">
        <v>30</v>
      </c>
      <c r="B27" s="166">
        <f>Contribuições!D175+Impostos!D91+Patrimoniais!D24</f>
        <v>77.423705816309948</v>
      </c>
      <c r="C27" s="46">
        <f t="shared" si="1"/>
        <v>0.65922200214845639</v>
      </c>
      <c r="D27" s="46">
        <f t="shared" si="2"/>
        <v>1.8337194491687729</v>
      </c>
      <c r="E27" s="167">
        <f t="shared" si="0"/>
        <v>364.20331194792618</v>
      </c>
      <c r="F27" s="21" t="s">
        <v>11</v>
      </c>
    </row>
    <row r="28" spans="1:6" ht="14.25">
      <c r="A28" s="42"/>
      <c r="B28" s="166"/>
      <c r="C28" s="46"/>
      <c r="D28" s="46"/>
      <c r="E28" s="167"/>
    </row>
    <row r="29" spans="1:6" s="36" customFormat="1">
      <c r="A29" s="35" t="s">
        <v>31</v>
      </c>
      <c r="B29" s="163">
        <f>SUM(B30:B37)</f>
        <v>1127.2113864583</v>
      </c>
      <c r="C29" s="164">
        <f>SUM(C30:C37)</f>
        <v>9.597610178832868</v>
      </c>
      <c r="D29" s="164">
        <f>SUM(D30:D37)</f>
        <v>26.69711325336295</v>
      </c>
      <c r="E29" s="165">
        <f t="shared" si="0"/>
        <v>5302.4343886035504</v>
      </c>
    </row>
    <row r="30" spans="1:6" ht="14.25">
      <c r="A30" s="37" t="s">
        <v>32</v>
      </c>
      <c r="B30" s="166">
        <f>Estados!B2</f>
        <v>828.14596788186009</v>
      </c>
      <c r="C30" s="46">
        <f t="shared" ref="C30:C37" si="3">+B30/B$5*100</f>
        <v>7.0512259425232244</v>
      </c>
      <c r="D30" s="46">
        <f t="shared" ref="D30:D37" si="4">+C30/C$7*100</f>
        <v>19.613984528957559</v>
      </c>
      <c r="E30" s="167">
        <f>(B30*1000000000)/$B$6</f>
        <v>3895.6221624741311</v>
      </c>
      <c r="F30" s="21" t="s">
        <v>33</v>
      </c>
    </row>
    <row r="31" spans="1:6" ht="14.25">
      <c r="A31" s="37" t="s">
        <v>34</v>
      </c>
      <c r="B31" s="166">
        <f>Estados!B3</f>
        <v>87.533121672609994</v>
      </c>
      <c r="C31" s="46">
        <f t="shared" si="3"/>
        <v>0.74529834389774996</v>
      </c>
      <c r="D31" s="46">
        <f t="shared" si="4"/>
        <v>2.0731529957806352</v>
      </c>
      <c r="E31" s="167">
        <f t="shared" si="0"/>
        <v>411.75829136803731</v>
      </c>
      <c r="F31" s="21" t="s">
        <v>33</v>
      </c>
    </row>
    <row r="32" spans="1:6" ht="14.25">
      <c r="A32" s="37" t="s">
        <v>35</v>
      </c>
      <c r="B32" s="166">
        <f>Estados!B4</f>
        <v>18.575220552490002</v>
      </c>
      <c r="C32" s="46">
        <f t="shared" si="3"/>
        <v>0.15815820172717776</v>
      </c>
      <c r="D32" s="46">
        <f t="shared" si="4"/>
        <v>0.43993945834255127</v>
      </c>
      <c r="E32" s="167">
        <f>(B32*1000000000)/$B$6</f>
        <v>87.378365244239049</v>
      </c>
      <c r="F32" s="21" t="s">
        <v>33</v>
      </c>
    </row>
    <row r="33" spans="1:6" ht="14.25">
      <c r="A33" s="37" t="s">
        <v>36</v>
      </c>
      <c r="B33" s="166">
        <f>Estados!B5</f>
        <v>81.090061680050013</v>
      </c>
      <c r="C33" s="46">
        <f t="shared" si="3"/>
        <v>0.69043908776326435</v>
      </c>
      <c r="D33" s="46">
        <f t="shared" si="4"/>
        <v>1.9205541980874672</v>
      </c>
      <c r="E33" s="167">
        <f t="shared" si="0"/>
        <v>381.44995410067804</v>
      </c>
      <c r="F33" s="21" t="s">
        <v>33</v>
      </c>
    </row>
    <row r="34" spans="1:6" ht="14.25">
      <c r="A34" s="37" t="s">
        <v>37</v>
      </c>
      <c r="B34" s="166">
        <f>Estados!B6</f>
        <v>48.769144086289991</v>
      </c>
      <c r="C34" s="46">
        <f t="shared" si="3"/>
        <v>0.41524352869270736</v>
      </c>
      <c r="D34" s="46">
        <f t="shared" si="4"/>
        <v>1.1550587392770504</v>
      </c>
      <c r="E34" s="167">
        <f t="shared" si="0"/>
        <v>229.41143942700228</v>
      </c>
      <c r="F34" s="21" t="s">
        <v>33</v>
      </c>
    </row>
    <row r="35" spans="1:6" ht="14.25">
      <c r="A35" s="37" t="s">
        <v>38</v>
      </c>
      <c r="B35" s="166">
        <f>Estados!B7</f>
        <v>55.326540070180009</v>
      </c>
      <c r="C35" s="46">
        <f t="shared" si="3"/>
        <v>0.47107629546359991</v>
      </c>
      <c r="D35" s="46">
        <f t="shared" si="4"/>
        <v>1.3103654948086008</v>
      </c>
      <c r="E35" s="167">
        <f t="shared" si="0"/>
        <v>260.2576164461301</v>
      </c>
      <c r="F35" s="21" t="s">
        <v>33</v>
      </c>
    </row>
    <row r="36" spans="1:6" ht="14.25">
      <c r="A36" s="37" t="s">
        <v>39</v>
      </c>
      <c r="B36" s="166">
        <f>Estados!B8</f>
        <v>7.7713305148200007</v>
      </c>
      <c r="C36" s="46">
        <f t="shared" si="3"/>
        <v>6.6168778765144376E-2</v>
      </c>
      <c r="D36" s="46">
        <f t="shared" si="4"/>
        <v>0.18405783810909029</v>
      </c>
      <c r="E36" s="167">
        <f t="shared" si="0"/>
        <v>36.556559543332924</v>
      </c>
      <c r="F36" s="21" t="s">
        <v>33</v>
      </c>
    </row>
    <row r="37" spans="1:6" ht="14.25">
      <c r="A37" s="37" t="s">
        <v>40</v>
      </c>
      <c r="B37" s="166">
        <f>Estados!B9</f>
        <v>0</v>
      </c>
      <c r="C37" s="46">
        <f t="shared" si="3"/>
        <v>0</v>
      </c>
      <c r="D37" s="46">
        <f t="shared" si="4"/>
        <v>0</v>
      </c>
      <c r="E37" s="167">
        <f t="shared" si="0"/>
        <v>0</v>
      </c>
      <c r="F37" s="21" t="s">
        <v>33</v>
      </c>
    </row>
    <row r="38" spans="1:6" ht="14.25">
      <c r="A38" s="37"/>
      <c r="B38" s="166"/>
      <c r="C38" s="46"/>
      <c r="D38" s="46"/>
      <c r="E38" s="167"/>
    </row>
    <row r="39" spans="1:6" s="36" customFormat="1">
      <c r="A39" s="35" t="s">
        <v>41</v>
      </c>
      <c r="B39" s="163">
        <f>SUM(B40:B47)</f>
        <v>359.7966874583862</v>
      </c>
      <c r="C39" s="164">
        <f>SUM(C40:C47)</f>
        <v>3.0634789457821912</v>
      </c>
      <c r="D39" s="164">
        <f>SUM(D40:D47)</f>
        <v>8.5215009612721975</v>
      </c>
      <c r="E39" s="165">
        <f t="shared" si="0"/>
        <v>1692.4938404670452</v>
      </c>
    </row>
    <row r="40" spans="1:6" ht="14.25">
      <c r="A40" s="37" t="s">
        <v>42</v>
      </c>
      <c r="B40" s="166">
        <f>Municipios!E2+Estados!B10</f>
        <v>142.63379301107994</v>
      </c>
      <c r="C40" s="46">
        <f t="shared" ref="C40:C47" si="5">+B40/B$5*100</f>
        <v>1.2144514862912306</v>
      </c>
      <c r="D40" s="46">
        <f t="shared" ref="D40:D47" si="6">+C40/C$7*100</f>
        <v>3.3781689677017819</v>
      </c>
      <c r="E40" s="167">
        <f t="shared" si="0"/>
        <v>670.95341488274596</v>
      </c>
      <c r="F40" s="21" t="s">
        <v>33</v>
      </c>
    </row>
    <row r="41" spans="1:6" ht="14.25">
      <c r="A41" s="37" t="s">
        <v>43</v>
      </c>
      <c r="B41" s="166">
        <f>Municipios!C2+Estados!B11</f>
        <v>77.634383739106241</v>
      </c>
      <c r="C41" s="46">
        <f t="shared" si="5"/>
        <v>0.6610158134961559</v>
      </c>
      <c r="D41" s="46">
        <f t="shared" si="6"/>
        <v>1.8387091897200531</v>
      </c>
      <c r="E41" s="167">
        <f t="shared" si="0"/>
        <v>365.19434688261094</v>
      </c>
      <c r="F41" s="21" t="s">
        <v>33</v>
      </c>
    </row>
    <row r="42" spans="1:6" ht="14.25">
      <c r="A42" s="37" t="s">
        <v>44</v>
      </c>
      <c r="B42" s="166">
        <f>Municipios!D2+Estados!B12</f>
        <v>25.102511717889996</v>
      </c>
      <c r="C42" s="46">
        <f t="shared" si="5"/>
        <v>0.21373464185353588</v>
      </c>
      <c r="D42" s="46">
        <f t="shared" si="6"/>
        <v>0.59453320497589901</v>
      </c>
      <c r="E42" s="167">
        <f t="shared" si="0"/>
        <v>118.08292834184172</v>
      </c>
      <c r="F42" s="21" t="s">
        <v>33</v>
      </c>
    </row>
    <row r="43" spans="1:6" ht="14.25">
      <c r="A43" s="37" t="s">
        <v>36</v>
      </c>
      <c r="B43" s="166">
        <f>Municipios!B2</f>
        <v>48.838753453650007</v>
      </c>
      <c r="C43" s="46">
        <f t="shared" si="5"/>
        <v>0.41583621572616236</v>
      </c>
      <c r="D43" s="46">
        <f t="shared" si="6"/>
        <v>1.1567073822789138</v>
      </c>
      <c r="E43" s="167">
        <f t="shared" si="0"/>
        <v>229.73888386882822</v>
      </c>
      <c r="F43" s="21" t="s">
        <v>33</v>
      </c>
    </row>
    <row r="44" spans="1:6" ht="14.25">
      <c r="A44" s="37" t="s">
        <v>37</v>
      </c>
      <c r="B44" s="166">
        <f>Municipios!F2</f>
        <v>20.125117873449994</v>
      </c>
      <c r="C44" s="46">
        <f t="shared" si="5"/>
        <v>0.17135475960664495</v>
      </c>
      <c r="D44" s="46">
        <f t="shared" si="6"/>
        <v>0.47664755480595006</v>
      </c>
      <c r="E44" s="167">
        <f t="shared" si="0"/>
        <v>94.669126278231488</v>
      </c>
      <c r="F44" s="21" t="s">
        <v>33</v>
      </c>
    </row>
    <row r="45" spans="1:6" ht="14.25">
      <c r="A45" s="37" t="s">
        <v>45</v>
      </c>
      <c r="B45" s="166">
        <f>Municipios!H2</f>
        <v>29.224977086240003</v>
      </c>
      <c r="C45" s="46">
        <f t="shared" si="5"/>
        <v>0.24883525923239139</v>
      </c>
      <c r="D45" s="46">
        <f t="shared" si="6"/>
        <v>0.692170548019167</v>
      </c>
      <c r="E45" s="167">
        <f t="shared" si="0"/>
        <v>137.47512256341324</v>
      </c>
      <c r="F45" s="21" t="s">
        <v>33</v>
      </c>
    </row>
    <row r="46" spans="1:6" ht="14.25">
      <c r="A46" s="37" t="s">
        <v>39</v>
      </c>
      <c r="B46" s="166">
        <f>Municipios!I2+Municipios!G2+Municipios!J2</f>
        <v>16.237150576969995</v>
      </c>
      <c r="C46" s="46">
        <f t="shared" si="5"/>
        <v>0.13825076957607033</v>
      </c>
      <c r="D46" s="46">
        <f t="shared" si="6"/>
        <v>0.38456411377043154</v>
      </c>
      <c r="E46" s="167">
        <f t="shared" si="0"/>
        <v>76.380017649373457</v>
      </c>
      <c r="F46" s="21" t="s">
        <v>33</v>
      </c>
    </row>
    <row r="47" spans="1:6" ht="14.25">
      <c r="A47" s="43" t="s">
        <v>40</v>
      </c>
      <c r="B47" s="168">
        <v>0</v>
      </c>
      <c r="C47" s="169">
        <f t="shared" si="5"/>
        <v>0</v>
      </c>
      <c r="D47" s="169">
        <f t="shared" si="6"/>
        <v>0</v>
      </c>
      <c r="E47" s="170">
        <f t="shared" si="0"/>
        <v>0</v>
      </c>
      <c r="F47" s="21" t="s">
        <v>33</v>
      </c>
    </row>
    <row r="48" spans="1:6" ht="14.25">
      <c r="A48" s="44" t="s">
        <v>46</v>
      </c>
      <c r="B48" s="45"/>
      <c r="C48" s="38"/>
      <c r="D48" s="39"/>
      <c r="E48" s="46"/>
    </row>
    <row r="49" spans="1:5" s="49" customFormat="1">
      <c r="A49" s="44" t="s">
        <v>47</v>
      </c>
      <c r="B49" s="47"/>
      <c r="C49" s="48"/>
      <c r="D49" s="48"/>
      <c r="E49" s="20"/>
    </row>
    <row r="50" spans="1:5" s="49" customFormat="1">
      <c r="A50" s="44" t="s">
        <v>48</v>
      </c>
      <c r="B50" s="47"/>
      <c r="C50" s="48"/>
      <c r="D50" s="48"/>
      <c r="E50" s="20"/>
    </row>
    <row r="51" spans="1:5" s="49" customFormat="1">
      <c r="A51" s="44" t="s">
        <v>49</v>
      </c>
      <c r="B51" s="47"/>
      <c r="C51" s="48"/>
      <c r="D51" s="48"/>
      <c r="E51" s="20"/>
    </row>
    <row r="52" spans="1:5">
      <c r="A52" s="44" t="s">
        <v>50</v>
      </c>
      <c r="B52" s="47"/>
      <c r="C52" s="48"/>
      <c r="D52" s="48"/>
      <c r="E52" s="20"/>
    </row>
  </sheetData>
  <mergeCells count="2">
    <mergeCell ref="A3:A4"/>
    <mergeCell ref="B3:E3"/>
  </mergeCells>
  <phoneticPr fontId="0" type="noConversion"/>
  <printOptions horizontalCentered="1" verticalCentered="1" gridLines="1"/>
  <pageMargins left="0" right="0" top="0" bottom="0" header="0" footer="0"/>
  <pageSetup paperSize="9" scale="82" orientation="landscape" horizontalDpi="4294967294" verticalDpi="300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5"/>
  <sheetViews>
    <sheetView workbookViewId="0">
      <selection activeCell="Q18" sqref="Q18"/>
    </sheetView>
  </sheetViews>
  <sheetFormatPr defaultColWidth="8.85546875" defaultRowHeight="13.5"/>
  <cols>
    <col min="1" max="1" width="27" style="55" customWidth="1"/>
    <col min="2" max="2" width="13.140625" style="55" bestFit="1" customWidth="1"/>
    <col min="3" max="3" width="8.85546875" style="55"/>
    <col min="4" max="4" width="9.42578125" style="55" customWidth="1"/>
    <col min="5" max="5" width="8.7109375" style="55" bestFit="1" customWidth="1"/>
    <col min="6" max="8" width="8.85546875" style="55"/>
    <col min="9" max="9" width="11.42578125" style="55" customWidth="1"/>
    <col min="10" max="16384" width="8.85546875" style="55"/>
  </cols>
  <sheetData>
    <row r="1" spans="1:10" ht="14.25">
      <c r="A1" s="87" t="s">
        <v>0</v>
      </c>
      <c r="B1" s="88"/>
      <c r="C1" s="54"/>
      <c r="D1" s="54"/>
      <c r="E1" s="54"/>
    </row>
    <row r="2" spans="1:10" ht="15" thickBot="1">
      <c r="A2" s="56"/>
      <c r="B2" s="56"/>
      <c r="C2" s="56"/>
      <c r="D2" s="56"/>
      <c r="E2" s="89"/>
    </row>
    <row r="3" spans="1:10">
      <c r="A3" s="276" t="s">
        <v>1</v>
      </c>
      <c r="B3" s="278">
        <f>byGOVDetalhado!B3</f>
        <v>2024</v>
      </c>
      <c r="C3" s="278"/>
      <c r="D3" s="278"/>
      <c r="E3" s="278"/>
    </row>
    <row r="4" spans="1:10" ht="35.25" customHeight="1">
      <c r="A4" s="277"/>
      <c r="B4" s="90" t="s">
        <v>2</v>
      </c>
      <c r="C4" s="90" t="s">
        <v>51</v>
      </c>
      <c r="D4" s="90" t="s">
        <v>4</v>
      </c>
      <c r="E4" s="90" t="s">
        <v>5</v>
      </c>
    </row>
    <row r="5" spans="1:10" ht="14.25">
      <c r="A5" s="91" t="s">
        <v>6</v>
      </c>
      <c r="B5" s="92">
        <f>byGOVDetalhado!B5</f>
        <v>11744.709000000001</v>
      </c>
      <c r="C5" s="92"/>
      <c r="D5" s="92"/>
      <c r="E5" s="88"/>
    </row>
    <row r="6" spans="1:10" ht="14.25">
      <c r="A6" s="93" t="s">
        <v>7</v>
      </c>
      <c r="B6" s="94">
        <f>byGOVDetalhado!B6</f>
        <v>212583750</v>
      </c>
      <c r="C6" s="92"/>
      <c r="D6" s="92"/>
      <c r="E6" s="88"/>
    </row>
    <row r="7" spans="1:10">
      <c r="A7" s="95" t="s">
        <v>8</v>
      </c>
      <c r="B7" s="96">
        <f>+B9+B16+B21</f>
        <v>4222.2219899236061</v>
      </c>
      <c r="C7" s="97">
        <f>+C9+C16+C21</f>
        <v>35.949992374639557</v>
      </c>
      <c r="D7" s="96">
        <f>+D9+D16+D21</f>
        <v>100</v>
      </c>
      <c r="E7" s="65">
        <f>(B7*1000000000)/$B$6</f>
        <v>19861.452203771954</v>
      </c>
    </row>
    <row r="8" spans="1:10">
      <c r="A8" s="262"/>
      <c r="B8" s="98"/>
      <c r="C8" s="98"/>
      <c r="D8" s="98"/>
      <c r="E8" s="99">
        <f t="shared" ref="E8:E24" si="0">(B8*1000000000)/$B$6</f>
        <v>0</v>
      </c>
    </row>
    <row r="9" spans="1:10" s="74" customFormat="1">
      <c r="A9" s="100" t="s">
        <v>9</v>
      </c>
      <c r="B9" s="98">
        <f>SUM(B10:B14)</f>
        <v>2735.21391600692</v>
      </c>
      <c r="C9" s="101">
        <f>SUM(C10:C14)</f>
        <v>23.288903250024497</v>
      </c>
      <c r="D9" s="98">
        <f>SUM(D10:D14)</f>
        <v>64.781385785364847</v>
      </c>
      <c r="E9" s="99">
        <f t="shared" si="0"/>
        <v>12866.523974701358</v>
      </c>
      <c r="F9" s="55"/>
      <c r="G9" s="55"/>
      <c r="I9" s="74" t="s">
        <v>52</v>
      </c>
      <c r="J9" s="74" t="s">
        <v>53</v>
      </c>
    </row>
    <row r="10" spans="1:10" ht="14.25">
      <c r="A10" s="41" t="s">
        <v>54</v>
      </c>
      <c r="B10" s="102">
        <f>+SUM(byGOVDetalhado!B10:B14)</f>
        <v>994.87939435793999</v>
      </c>
      <c r="C10" s="103">
        <f>+B10/B$5*100</f>
        <v>8.4708730915166974</v>
      </c>
      <c r="D10" s="102">
        <f>+C10/C$7*100</f>
        <v>23.562934320654715</v>
      </c>
      <c r="E10" s="104">
        <f t="shared" si="0"/>
        <v>4679.9409379030149</v>
      </c>
      <c r="H10" s="55" t="s">
        <v>55</v>
      </c>
      <c r="I10" s="55">
        <f>C10+C17+C18+C22+C23+byGOVDetalhado!C32+byGOVDetalhado!C33+byGOVDetalhado!C42+byGOVDetalhado!C43</f>
        <v>19.621032824795201</v>
      </c>
      <c r="J10" s="55">
        <f>C10</f>
        <v>8.4708730915166974</v>
      </c>
    </row>
    <row r="11" spans="1:10" ht="14.25">
      <c r="A11" s="41" t="s">
        <v>56</v>
      </c>
      <c r="B11" s="102">
        <f>SUM(byGOVDetalhado!B17:B22,byGOVDetalhado!B25:B26)</f>
        <v>710.86420611845017</v>
      </c>
      <c r="C11" s="103">
        <f>+B11/B$5*100</f>
        <v>6.0526336252217927</v>
      </c>
      <c r="D11" s="102">
        <f>+C11/C$7*100</f>
        <v>16.836258439630551</v>
      </c>
      <c r="E11" s="104">
        <f t="shared" si="0"/>
        <v>3343.9254228907439</v>
      </c>
      <c r="H11" s="55" t="s">
        <v>57</v>
      </c>
      <c r="I11" s="55">
        <f>C11+C12+C13+byGOVDetalhado!C35+byGOVDetalhado!C36+byGOVDetalhado!C45+byGOVDetalhado!C46+byGOVDetalhado!C24</f>
        <v>15.002731005685881</v>
      </c>
      <c r="J11" s="55">
        <f>C11+byGOVDetalhado!C24+'AD ESFERA'!C12+'AD ESFERA'!C13</f>
        <v>14.078399902648675</v>
      </c>
    </row>
    <row r="12" spans="1:10" ht="14.25">
      <c r="A12" s="41" t="s">
        <v>58</v>
      </c>
      <c r="B12" s="102">
        <f>+byGOVDetalhado!B16</f>
        <v>611.64220833006004</v>
      </c>
      <c r="C12" s="103">
        <f>+B12/B$5*100</f>
        <v>5.2078106688727663</v>
      </c>
      <c r="D12" s="102">
        <f>+C12/C$7*100</f>
        <v>14.486263625876447</v>
      </c>
      <c r="E12" s="104">
        <f t="shared" si="0"/>
        <v>2877.1823261658524</v>
      </c>
      <c r="H12" s="55" t="s">
        <v>59</v>
      </c>
      <c r="I12" s="55">
        <f>byGOVDetalhado!C15+byGOVDetalhado!C34+byGOVDetalhado!C44</f>
        <v>0.66700654201002318</v>
      </c>
      <c r="J12" s="55">
        <f>byGOVDetalhado!C15</f>
        <v>8.0408253710670896E-2</v>
      </c>
    </row>
    <row r="13" spans="1:10" ht="14.25">
      <c r="A13" s="41" t="s">
        <v>24</v>
      </c>
      <c r="B13" s="102">
        <f>+byGOVDetalhado!B23</f>
        <v>191.995</v>
      </c>
      <c r="C13" s="103">
        <f>+B13/B$5*100</f>
        <v>1.6347361181958615</v>
      </c>
      <c r="D13" s="102">
        <f>+C13/C$7*100</f>
        <v>4.5472502501810386</v>
      </c>
      <c r="E13" s="104">
        <f t="shared" si="0"/>
        <v>903.14993502560753</v>
      </c>
      <c r="H13" s="55" t="s">
        <v>60</v>
      </c>
      <c r="I13" s="55">
        <f>I14-SUM(I10:I12)</f>
        <v>0.65922200214845361</v>
      </c>
      <c r="J13" s="55">
        <f>J14-SUM(J10:J12)</f>
        <v>0.65922200214845361</v>
      </c>
    </row>
    <row r="14" spans="1:10" ht="14.25">
      <c r="A14" s="41" t="s">
        <v>61</v>
      </c>
      <c r="B14" s="102">
        <f>+SUM(byGOVDetalhado!B15,byGOVDetalhado!B24,byGOVDetalhado!B27)</f>
        <v>225.83310720046995</v>
      </c>
      <c r="C14" s="103">
        <f>+B14/B$5*100</f>
        <v>1.9228497462173815</v>
      </c>
      <c r="D14" s="102">
        <f>+C14/C$7*100</f>
        <v>5.348679149022102</v>
      </c>
      <c r="E14" s="104">
        <f t="shared" si="0"/>
        <v>1062.325352716141</v>
      </c>
      <c r="I14" s="55">
        <f>C7</f>
        <v>35.949992374639557</v>
      </c>
      <c r="J14" s="55">
        <f>C9</f>
        <v>23.288903250024497</v>
      </c>
    </row>
    <row r="15" spans="1:10" ht="14.25">
      <c r="A15" s="41"/>
      <c r="B15" s="102"/>
      <c r="C15" s="103"/>
      <c r="D15" s="102"/>
      <c r="E15" s="104">
        <f t="shared" si="0"/>
        <v>0</v>
      </c>
    </row>
    <row r="16" spans="1:10" s="74" customFormat="1">
      <c r="A16" s="100" t="s">
        <v>31</v>
      </c>
      <c r="B16" s="98">
        <f>SUM(B17:B20)</f>
        <v>1127.2113864583002</v>
      </c>
      <c r="C16" s="101">
        <f>SUM(C17:C20)</f>
        <v>9.597610178832868</v>
      </c>
      <c r="D16" s="98">
        <f>SUM(D17:D20)</f>
        <v>26.697113253362954</v>
      </c>
      <c r="E16" s="99">
        <f t="shared" si="0"/>
        <v>5302.4343886035522</v>
      </c>
      <c r="F16" s="55"/>
      <c r="G16" s="55"/>
    </row>
    <row r="17" spans="1:5" ht="14.25">
      <c r="A17" s="41" t="s">
        <v>32</v>
      </c>
      <c r="B17" s="102">
        <f>+byGOVDetalhado!B30</f>
        <v>828.14596788186009</v>
      </c>
      <c r="C17" s="103">
        <f>+B17/B$5*100</f>
        <v>7.0512259425232244</v>
      </c>
      <c r="D17" s="102">
        <f>+C17/C$7*100</f>
        <v>19.613984528957559</v>
      </c>
      <c r="E17" s="104">
        <f t="shared" si="0"/>
        <v>3895.6221624741311</v>
      </c>
    </row>
    <row r="18" spans="1:5" ht="14.25">
      <c r="A18" s="41" t="s">
        <v>34</v>
      </c>
      <c r="B18" s="102">
        <f>+byGOVDetalhado!B31</f>
        <v>87.533121672609994</v>
      </c>
      <c r="C18" s="103">
        <f>+B18/B$5*100</f>
        <v>0.74529834389774996</v>
      </c>
      <c r="D18" s="102">
        <f>+C18/C$7*100</f>
        <v>2.0731529957806352</v>
      </c>
      <c r="E18" s="104">
        <f t="shared" si="0"/>
        <v>411.75829136803731</v>
      </c>
    </row>
    <row r="19" spans="1:5" ht="14.25">
      <c r="A19" s="41" t="s">
        <v>61</v>
      </c>
      <c r="B19" s="102">
        <f>+SUM(byGOVDetalhado!B32:B37)</f>
        <v>211.53229690383003</v>
      </c>
      <c r="C19" s="103">
        <f>+B19/B$5*100</f>
        <v>1.8010858924118938</v>
      </c>
      <c r="D19" s="102">
        <f>+C19/C$7*100</f>
        <v>5.0099757286247595</v>
      </c>
      <c r="E19" s="104">
        <f t="shared" si="0"/>
        <v>995.05393476138238</v>
      </c>
    </row>
    <row r="20" spans="1:5" ht="14.25">
      <c r="A20" s="41"/>
      <c r="B20" s="102"/>
      <c r="C20" s="103"/>
      <c r="D20" s="102"/>
      <c r="E20" s="104">
        <f t="shared" si="0"/>
        <v>0</v>
      </c>
    </row>
    <row r="21" spans="1:5" s="74" customFormat="1">
      <c r="A21" s="100" t="s">
        <v>41</v>
      </c>
      <c r="B21" s="98">
        <f>SUM(B22:B24)</f>
        <v>359.79668745838615</v>
      </c>
      <c r="C21" s="101">
        <f>SUM(C22:C24)</f>
        <v>3.0634789457821912</v>
      </c>
      <c r="D21" s="98">
        <f>SUM(D22:D24)</f>
        <v>8.5215009612721957</v>
      </c>
      <c r="E21" s="99">
        <f t="shared" si="0"/>
        <v>1692.4938404670449</v>
      </c>
    </row>
    <row r="22" spans="1:5" ht="14.25">
      <c r="A22" s="41" t="s">
        <v>42</v>
      </c>
      <c r="B22" s="102">
        <f>+byGOVDetalhado!B40</f>
        <v>142.63379301107994</v>
      </c>
      <c r="C22" s="103">
        <f>+B22/B$5*100</f>
        <v>1.2144514862912306</v>
      </c>
      <c r="D22" s="102">
        <f>+C22/C$7*100</f>
        <v>3.3781689677017819</v>
      </c>
      <c r="E22" s="104">
        <f t="shared" si="0"/>
        <v>670.95341488274596</v>
      </c>
    </row>
    <row r="23" spans="1:5" ht="14.25">
      <c r="A23" s="41" t="s">
        <v>43</v>
      </c>
      <c r="B23" s="102">
        <f>+byGOVDetalhado!B41</f>
        <v>77.634383739106241</v>
      </c>
      <c r="C23" s="103">
        <f>+B23/B$5*100</f>
        <v>0.6610158134961559</v>
      </c>
      <c r="D23" s="102">
        <f>+C23/C$7*100</f>
        <v>1.8387091897200531</v>
      </c>
      <c r="E23" s="104">
        <f t="shared" si="0"/>
        <v>365.19434688261094</v>
      </c>
    </row>
    <row r="24" spans="1:5" ht="15" thickBot="1">
      <c r="A24" s="105" t="s">
        <v>61</v>
      </c>
      <c r="B24" s="106">
        <f>+SUM(byGOVDetalhado!B42:B47)</f>
        <v>139.5285107082</v>
      </c>
      <c r="C24" s="107">
        <f>+B24/B$5*100</f>
        <v>1.1880116459948049</v>
      </c>
      <c r="D24" s="106">
        <f>+C24/C$7*100</f>
        <v>3.3046228038503616</v>
      </c>
      <c r="E24" s="108">
        <f t="shared" si="0"/>
        <v>656.34607870168827</v>
      </c>
    </row>
    <row r="25" spans="1:5">
      <c r="A25" s="50" t="s">
        <v>62</v>
      </c>
    </row>
  </sheetData>
  <mergeCells count="2">
    <mergeCell ref="A3:A4"/>
    <mergeCell ref="B3:E3"/>
  </mergeCells>
  <phoneticPr fontId="0" type="noConversion"/>
  <printOptions horizontalCentered="1" verticalCentered="1" gridLines="1"/>
  <pageMargins left="0" right="0" top="0" bottom="0" header="0" footer="0"/>
  <pageSetup paperSize="9" orientation="landscape" horizontalDpi="4294967294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8"/>
  <sheetViews>
    <sheetView workbookViewId="0"/>
  </sheetViews>
  <sheetFormatPr defaultColWidth="8.85546875" defaultRowHeight="13.5"/>
  <cols>
    <col min="1" max="1" width="33.140625" style="55" customWidth="1"/>
    <col min="2" max="2" width="11.5703125" style="55" customWidth="1"/>
    <col min="3" max="3" width="5.7109375" style="55" bestFit="1" customWidth="1"/>
    <col min="4" max="4" width="7" style="55" bestFit="1" customWidth="1"/>
    <col min="5" max="5" width="10" style="55" customWidth="1"/>
    <col min="6" max="16384" width="8.85546875" style="55"/>
  </cols>
  <sheetData>
    <row r="1" spans="1:10" ht="14.25">
      <c r="A1" s="87" t="s">
        <v>63</v>
      </c>
      <c r="B1" s="88"/>
      <c r="C1" s="88"/>
      <c r="D1" s="88"/>
      <c r="E1" s="54"/>
    </row>
    <row r="2" spans="1:10" ht="15" thickBot="1">
      <c r="A2" s="56"/>
      <c r="B2" s="56"/>
      <c r="C2" s="56"/>
      <c r="D2" s="56"/>
      <c r="E2" s="56"/>
    </row>
    <row r="3" spans="1:10">
      <c r="A3" s="279" t="s">
        <v>64</v>
      </c>
      <c r="B3" s="281">
        <f>byGOVDetalhado!B3</f>
        <v>2024</v>
      </c>
      <c r="C3" s="281"/>
      <c r="D3" s="281"/>
      <c r="E3" s="281"/>
    </row>
    <row r="4" spans="1:10" ht="35.25" customHeight="1">
      <c r="A4" s="280"/>
      <c r="B4" s="90" t="s">
        <v>2</v>
      </c>
      <c r="C4" s="90" t="s">
        <v>51</v>
      </c>
      <c r="D4" s="90" t="s">
        <v>4</v>
      </c>
      <c r="E4" s="109" t="s">
        <v>5</v>
      </c>
    </row>
    <row r="5" spans="1:10">
      <c r="A5" s="110" t="s">
        <v>6</v>
      </c>
      <c r="B5" s="92">
        <f>byGOVDetalhado!B5</f>
        <v>11744.709000000001</v>
      </c>
      <c r="C5" s="92"/>
      <c r="D5" s="92"/>
      <c r="E5" s="111"/>
    </row>
    <row r="6" spans="1:10" ht="14.25">
      <c r="A6" s="110" t="s">
        <v>7</v>
      </c>
      <c r="B6" s="94">
        <f>byGOVDetalhado!B6</f>
        <v>212583750</v>
      </c>
      <c r="C6" s="92"/>
      <c r="D6" s="92"/>
      <c r="E6" s="99"/>
    </row>
    <row r="7" spans="1:10">
      <c r="A7" s="110" t="s">
        <v>8</v>
      </c>
      <c r="B7" s="98">
        <f>'AD ESFERA'!B7</f>
        <v>4222.2219899236061</v>
      </c>
      <c r="C7" s="101">
        <f>B7/B5*100</f>
        <v>35.949992374639557</v>
      </c>
      <c r="D7" s="98">
        <f>SUM(D9:D26)</f>
        <v>99.999468448478922</v>
      </c>
      <c r="E7" s="99">
        <f>(B7*1000000000)/$B$6</f>
        <v>19861.452203771954</v>
      </c>
    </row>
    <row r="8" spans="1:10">
      <c r="A8" s="110"/>
      <c r="B8" s="98"/>
      <c r="C8" s="101"/>
      <c r="D8" s="98"/>
      <c r="E8" s="99">
        <f t="shared" ref="E8:E26" si="0">(B8*1000000000)/$B$6</f>
        <v>0</v>
      </c>
    </row>
    <row r="9" spans="1:10" ht="14.25">
      <c r="A9" s="112" t="s">
        <v>65</v>
      </c>
      <c r="B9" s="102">
        <f>byGOVDetalhado!B30</f>
        <v>828.14596788186009</v>
      </c>
      <c r="C9" s="103">
        <f t="shared" ref="C9:C26" si="1">+B9/B$5*100</f>
        <v>7.0512259425232244</v>
      </c>
      <c r="D9" s="102">
        <f t="shared" ref="D9:D26" si="2">+C9/C$7*100</f>
        <v>19.613984528957559</v>
      </c>
      <c r="E9" s="104">
        <f t="shared" si="0"/>
        <v>3895.6221624741311</v>
      </c>
      <c r="F9" s="55">
        <f>C9</f>
        <v>7.0512259425232244</v>
      </c>
      <c r="G9" s="55">
        <f>D9</f>
        <v>19.613984528957559</v>
      </c>
      <c r="I9" s="55" t="s">
        <v>66</v>
      </c>
      <c r="J9" s="113">
        <f>D9</f>
        <v>19.613984528957559</v>
      </c>
    </row>
    <row r="10" spans="1:10" ht="14.25">
      <c r="A10" s="112" t="s">
        <v>67</v>
      </c>
      <c r="B10" s="102">
        <f>byGOVDetalhado!B16+byGOVDetalhado!B25+byGOVDetalhado!B26</f>
        <v>673.08268854619007</v>
      </c>
      <c r="C10" s="103">
        <f t="shared" si="1"/>
        <v>5.7309439386381564</v>
      </c>
      <c r="D10" s="102">
        <f t="shared" si="2"/>
        <v>15.941432974213853</v>
      </c>
      <c r="E10" s="104">
        <f t="shared" si="0"/>
        <v>3166.2000907698261</v>
      </c>
      <c r="F10" s="55">
        <f>F9+C10</f>
        <v>12.78216988116138</v>
      </c>
      <c r="G10" s="55">
        <f>G9+D10</f>
        <v>35.555417503171412</v>
      </c>
      <c r="I10" s="55" t="s">
        <v>68</v>
      </c>
      <c r="J10" s="113">
        <f>D11+D15</f>
        <v>24.988876730970276</v>
      </c>
    </row>
    <row r="11" spans="1:10" s="74" customFormat="1" ht="14.25">
      <c r="A11" s="88" t="s">
        <v>69</v>
      </c>
      <c r="B11" s="102">
        <f>byGOVDetalhado!B10+byGOVDetalhado!B33+byGOVDetalhado!B43</f>
        <v>894.47914808829</v>
      </c>
      <c r="C11" s="103">
        <f t="shared" si="1"/>
        <v>7.6160179710564977</v>
      </c>
      <c r="D11" s="102">
        <f t="shared" si="2"/>
        <v>21.185033620282816</v>
      </c>
      <c r="E11" s="104">
        <f t="shared" si="0"/>
        <v>4207.6553268454909</v>
      </c>
      <c r="F11" s="55">
        <f t="shared" ref="F11:G18" si="3">F10+C11</f>
        <v>20.398187852217877</v>
      </c>
      <c r="G11" s="55">
        <f t="shared" si="3"/>
        <v>56.740451123454228</v>
      </c>
      <c r="I11" s="55" t="s">
        <v>70</v>
      </c>
      <c r="J11" s="113">
        <f>D10+D13</f>
        <v>20.48868322439489</v>
      </c>
    </row>
    <row r="12" spans="1:10" ht="14.25">
      <c r="A12" s="88" t="s">
        <v>71</v>
      </c>
      <c r="B12" s="102">
        <f>byGOVDetalhado!B17</f>
        <v>353.79252403217998</v>
      </c>
      <c r="C12" s="103">
        <f t="shared" si="1"/>
        <v>3.0123566623249665</v>
      </c>
      <c r="D12" s="102">
        <f t="shared" si="2"/>
        <v>8.3792970828277369</v>
      </c>
      <c r="E12" s="104">
        <f t="shared" si="0"/>
        <v>1664.2500851178888</v>
      </c>
      <c r="F12" s="55">
        <f t="shared" si="3"/>
        <v>23.410544514542842</v>
      </c>
      <c r="G12" s="55">
        <f t="shared" si="3"/>
        <v>65.119748206281969</v>
      </c>
      <c r="I12" s="55" t="s">
        <v>72</v>
      </c>
      <c r="J12" s="113">
        <f>D12+D16</f>
        <v>10.744008995805494</v>
      </c>
    </row>
    <row r="13" spans="1:10" ht="14.25">
      <c r="A13" s="88" t="s">
        <v>73</v>
      </c>
      <c r="B13" s="102">
        <f>byGOVDetalhado!B23</f>
        <v>191.995</v>
      </c>
      <c r="C13" s="103">
        <f t="shared" si="1"/>
        <v>1.6347361181958615</v>
      </c>
      <c r="D13" s="102">
        <f t="shared" si="2"/>
        <v>4.5472502501810386</v>
      </c>
      <c r="E13" s="104">
        <f t="shared" si="0"/>
        <v>903.14993502560753</v>
      </c>
      <c r="F13" s="55">
        <f t="shared" si="3"/>
        <v>25.045280632738702</v>
      </c>
      <c r="G13" s="55">
        <f t="shared" si="3"/>
        <v>69.666998456463006</v>
      </c>
      <c r="I13" s="55" t="s">
        <v>74</v>
      </c>
      <c r="J13" s="113">
        <f>D17</f>
        <v>3.3781689677017819</v>
      </c>
    </row>
    <row r="14" spans="1:10" ht="14.25">
      <c r="A14" s="88" t="s">
        <v>75</v>
      </c>
      <c r="B14" s="102">
        <f>byGOVDetalhado!B11</f>
        <v>82.173979121600013</v>
      </c>
      <c r="C14" s="103">
        <f t="shared" si="1"/>
        <v>0.69966807284539789</v>
      </c>
      <c r="D14" s="102">
        <f t="shared" si="2"/>
        <v>1.9462259283786927</v>
      </c>
      <c r="E14" s="104">
        <f t="shared" si="0"/>
        <v>386.54873254235099</v>
      </c>
      <c r="F14" s="55">
        <f t="shared" si="3"/>
        <v>25.7449487055841</v>
      </c>
      <c r="G14" s="55">
        <f t="shared" si="3"/>
        <v>71.6132243848417</v>
      </c>
      <c r="I14" s="55" t="s">
        <v>60</v>
      </c>
      <c r="J14" s="113">
        <f>SUM(D14,D18:D26)</f>
        <v>20.785746000648924</v>
      </c>
    </row>
    <row r="15" spans="1:10" ht="14.25">
      <c r="A15" s="88" t="s">
        <v>76</v>
      </c>
      <c r="B15" s="102">
        <f>byGOVDetalhado!B19</f>
        <v>160.60670028164003</v>
      </c>
      <c r="C15" s="103">
        <f t="shared" si="1"/>
        <v>1.3674813082353938</v>
      </c>
      <c r="D15" s="102">
        <f t="shared" si="2"/>
        <v>3.8038431106874597</v>
      </c>
      <c r="E15" s="104">
        <f t="shared" si="0"/>
        <v>755.49848133566206</v>
      </c>
      <c r="F15" s="55">
        <f t="shared" si="3"/>
        <v>27.112430013819495</v>
      </c>
      <c r="G15" s="55">
        <f t="shared" si="3"/>
        <v>75.417067495529153</v>
      </c>
    </row>
    <row r="16" spans="1:10" ht="14.25">
      <c r="A16" s="88" t="s">
        <v>77</v>
      </c>
      <c r="B16" s="102">
        <f>byGOVDetalhado!B20</f>
        <v>99.843386388089996</v>
      </c>
      <c r="C16" s="103">
        <f t="shared" si="1"/>
        <v>0.85011375239769671</v>
      </c>
      <c r="D16" s="102">
        <f t="shared" si="2"/>
        <v>2.3647119129777567</v>
      </c>
      <c r="E16" s="104">
        <f t="shared" si="0"/>
        <v>469.66612635297849</v>
      </c>
      <c r="F16" s="55">
        <f t="shared" si="3"/>
        <v>27.962543766217191</v>
      </c>
      <c r="G16" s="55">
        <f t="shared" si="3"/>
        <v>77.781779408506907</v>
      </c>
    </row>
    <row r="17" spans="1:7" ht="14.25">
      <c r="A17" s="88" t="s">
        <v>78</v>
      </c>
      <c r="B17" s="102">
        <f>byGOVDetalhado!B40</f>
        <v>142.63379301107994</v>
      </c>
      <c r="C17" s="103">
        <f t="shared" si="1"/>
        <v>1.2144514862912306</v>
      </c>
      <c r="D17" s="102">
        <f t="shared" si="2"/>
        <v>3.3781689677017819</v>
      </c>
      <c r="E17" s="104">
        <f t="shared" si="0"/>
        <v>670.95341488274596</v>
      </c>
      <c r="F17" s="55">
        <f t="shared" si="3"/>
        <v>29.176995252508423</v>
      </c>
      <c r="G17" s="55">
        <f t="shared" si="3"/>
        <v>81.159948376208689</v>
      </c>
    </row>
    <row r="18" spans="1:7" ht="14.25">
      <c r="A18" s="88" t="s">
        <v>79</v>
      </c>
      <c r="B18" s="102">
        <f>byGOVDetalhado!B13</f>
        <v>77.507333275820002</v>
      </c>
      <c r="C18" s="103">
        <f t="shared" si="1"/>
        <v>0.65993404583987558</v>
      </c>
      <c r="D18" s="102">
        <f t="shared" si="2"/>
        <v>1.8357000996345616</v>
      </c>
      <c r="E18" s="104">
        <f t="shared" si="0"/>
        <v>364.59669789351261</v>
      </c>
      <c r="F18" s="55">
        <f t="shared" si="3"/>
        <v>29.836929298348299</v>
      </c>
      <c r="G18" s="55">
        <f t="shared" si="3"/>
        <v>82.995648475843254</v>
      </c>
    </row>
    <row r="19" spans="1:7" s="74" customFormat="1" ht="14.25">
      <c r="A19" s="88" t="s">
        <v>80</v>
      </c>
      <c r="B19" s="102">
        <f>byGOVDetalhado!B31</f>
        <v>87.533121672609994</v>
      </c>
      <c r="C19" s="103">
        <f t="shared" si="1"/>
        <v>0.74529834389774996</v>
      </c>
      <c r="D19" s="102">
        <f t="shared" si="2"/>
        <v>2.0731529957806352</v>
      </c>
      <c r="E19" s="104">
        <f t="shared" si="0"/>
        <v>411.75829136803731</v>
      </c>
    </row>
    <row r="20" spans="1:7" ht="14.25">
      <c r="A20" s="88" t="s">
        <v>81</v>
      </c>
      <c r="B20" s="102">
        <f>byGOVDetalhado!B41</f>
        <v>77.634383739106241</v>
      </c>
      <c r="C20" s="103">
        <f t="shared" si="1"/>
        <v>0.6610158134961559</v>
      </c>
      <c r="D20" s="102">
        <f t="shared" si="2"/>
        <v>1.8387091897200531</v>
      </c>
      <c r="E20" s="104">
        <f t="shared" si="0"/>
        <v>365.19434688261094</v>
      </c>
    </row>
    <row r="21" spans="1:7" ht="14.25">
      <c r="A21" s="88" t="s">
        <v>82</v>
      </c>
      <c r="B21" s="102">
        <f>byGOVDetalhado!B12</f>
        <v>67.402229597279984</v>
      </c>
      <c r="C21" s="103">
        <f t="shared" si="1"/>
        <v>0.57389442000887358</v>
      </c>
      <c r="D21" s="102">
        <f t="shared" si="2"/>
        <v>1.5963686835542132</v>
      </c>
      <c r="E21" s="104">
        <f t="shared" si="0"/>
        <v>317.06200308010364</v>
      </c>
    </row>
    <row r="22" spans="1:7" ht="14.25">
      <c r="A22" s="88" t="s">
        <v>83</v>
      </c>
      <c r="B22" s="102">
        <f>byGOVDetalhado!B42</f>
        <v>25.102511717889996</v>
      </c>
      <c r="C22" s="103">
        <f t="shared" si="1"/>
        <v>0.21373464185353588</v>
      </c>
      <c r="D22" s="102">
        <f t="shared" si="2"/>
        <v>0.59453320497589901</v>
      </c>
      <c r="E22" s="104">
        <f t="shared" si="0"/>
        <v>118.08292834184172</v>
      </c>
    </row>
    <row r="23" spans="1:7" ht="14.25">
      <c r="A23" s="88" t="s">
        <v>84</v>
      </c>
      <c r="B23" s="102">
        <f>byGOVDetalhado!B32</f>
        <v>18.575220552490002</v>
      </c>
      <c r="C23" s="103">
        <f t="shared" si="1"/>
        <v>0.15815820172717776</v>
      </c>
      <c r="D23" s="102">
        <f t="shared" si="2"/>
        <v>0.43993945834255127</v>
      </c>
      <c r="E23" s="104">
        <f t="shared" si="0"/>
        <v>87.378365244239049</v>
      </c>
    </row>
    <row r="24" spans="1:7" ht="14.25">
      <c r="A24" s="88" t="s">
        <v>85</v>
      </c>
      <c r="B24" s="102">
        <f>byGOVDetalhado!B14</f>
        <v>3.2455194086500008</v>
      </c>
      <c r="C24" s="103">
        <f t="shared" si="1"/>
        <v>2.7633885255479725E-2</v>
      </c>
      <c r="D24" s="102">
        <f t="shared" si="2"/>
        <v>7.6867569170817635E-2</v>
      </c>
      <c r="E24" s="104">
        <f t="shared" si="0"/>
        <v>15.26701551106329</v>
      </c>
    </row>
    <row r="25" spans="1:7" s="74" customFormat="1" ht="14.25">
      <c r="A25" s="88" t="s">
        <v>86</v>
      </c>
      <c r="B25" s="102">
        <f>byGOVDetalhado!B18</f>
        <v>-2.244328521E-2</v>
      </c>
      <c r="C25" s="103">
        <f>+B25/B$5*100</f>
        <v>-1.9109273128861687E-4</v>
      </c>
      <c r="D25" s="102">
        <f>+C25/C$7*100</f>
        <v>-5.3155152106074079E-4</v>
      </c>
      <c r="E25" s="104">
        <f>(B25*1000000000)/$B$6</f>
        <v>-0.10557385129390182</v>
      </c>
    </row>
    <row r="26" spans="1:7" s="74" customFormat="1" ht="15" thickBot="1">
      <c r="A26" s="89" t="s">
        <v>87</v>
      </c>
      <c r="B26" s="106">
        <f>B7-SUM(B9:B24)</f>
        <v>438.46848260882916</v>
      </c>
      <c r="C26" s="107">
        <f t="shared" si="1"/>
        <v>3.7333277700522776</v>
      </c>
      <c r="D26" s="106">
        <f t="shared" si="2"/>
        <v>10.384780422612563</v>
      </c>
      <c r="E26" s="108">
        <f t="shared" si="0"/>
        <v>2062.5682001038608</v>
      </c>
    </row>
    <row r="27" spans="1:7">
      <c r="A27" s="50" t="s">
        <v>62</v>
      </c>
      <c r="B27" s="114"/>
      <c r="C27" s="115"/>
      <c r="D27" s="114"/>
      <c r="E27" s="116"/>
    </row>
    <row r="28" spans="1:7">
      <c r="A28" s="50" t="s">
        <v>88</v>
      </c>
      <c r="B28" s="84"/>
      <c r="C28" s="84"/>
      <c r="D28" s="84"/>
      <c r="E28" s="84"/>
    </row>
  </sheetData>
  <mergeCells count="2">
    <mergeCell ref="A3:A4"/>
    <mergeCell ref="B3:E3"/>
  </mergeCells>
  <phoneticPr fontId="0" type="noConversion"/>
  <printOptions horizontalCentered="1" verticalCentered="1" gridLines="1"/>
  <pageMargins left="0" right="0" top="0" bottom="0" header="0" footer="0"/>
  <pageSetup paperSize="9" orientation="landscape" horizontalDpi="4294967294" verticalDpi="0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30"/>
  <sheetViews>
    <sheetView workbookViewId="0">
      <selection activeCell="B17" sqref="B17"/>
    </sheetView>
  </sheetViews>
  <sheetFormatPr defaultColWidth="8.85546875" defaultRowHeight="13.5"/>
  <cols>
    <col min="1" max="1" width="28.85546875" style="84" customWidth="1"/>
    <col min="2" max="2" width="20.42578125" style="84" customWidth="1"/>
    <col min="3" max="3" width="16.140625" style="84" customWidth="1"/>
    <col min="4" max="4" width="14.7109375" style="84" customWidth="1"/>
    <col min="5" max="5" width="15.85546875" style="84" customWidth="1"/>
    <col min="6" max="16384" width="8.85546875" style="84"/>
  </cols>
  <sheetData>
    <row r="1" spans="1:5" ht="14.25">
      <c r="A1" s="68" t="s">
        <v>89</v>
      </c>
      <c r="B1" s="54"/>
      <c r="C1" s="54"/>
      <c r="D1" s="54"/>
      <c r="E1" s="54"/>
    </row>
    <row r="2" spans="1:5" ht="15" thickBot="1">
      <c r="A2" s="56"/>
      <c r="B2" s="56"/>
      <c r="C2" s="56"/>
      <c r="D2" s="56"/>
      <c r="E2" s="56"/>
    </row>
    <row r="3" spans="1:5">
      <c r="A3" s="268" t="s">
        <v>90</v>
      </c>
      <c r="B3" s="270">
        <f>byGOVDetalhado!B3</f>
        <v>2024</v>
      </c>
      <c r="C3" s="270"/>
      <c r="D3" s="270"/>
      <c r="E3" s="270"/>
    </row>
    <row r="4" spans="1:5" ht="18" customHeight="1" thickBot="1">
      <c r="A4" s="269"/>
      <c r="B4" s="117" t="s">
        <v>91</v>
      </c>
      <c r="C4" s="117" t="s">
        <v>3</v>
      </c>
      <c r="D4" s="117" t="s">
        <v>4</v>
      </c>
      <c r="E4" s="117" t="s">
        <v>5</v>
      </c>
    </row>
    <row r="5" spans="1:5" ht="15" thickBot="1">
      <c r="A5" s="118" t="s">
        <v>6</v>
      </c>
      <c r="B5" s="119">
        <f>byGOVDetalhado!B5</f>
        <v>11744.709000000001</v>
      </c>
      <c r="C5" s="119"/>
      <c r="D5" s="119"/>
      <c r="E5" s="120"/>
    </row>
    <row r="6" spans="1:5" ht="14.25">
      <c r="A6" s="121" t="s">
        <v>7</v>
      </c>
      <c r="B6" s="61">
        <f>byGOVDetalhado!B6</f>
        <v>212583750</v>
      </c>
      <c r="C6" s="60"/>
      <c r="D6" s="60"/>
      <c r="E6" s="54"/>
    </row>
    <row r="7" spans="1:5" ht="14.25" thickBot="1">
      <c r="A7" s="122" t="s">
        <v>8</v>
      </c>
      <c r="B7" s="123">
        <f>SUM(B9:B16)</f>
        <v>4222.2219899236061</v>
      </c>
      <c r="C7" s="124">
        <f>SUM(C9:C16)</f>
        <v>35.949992374639557</v>
      </c>
      <c r="D7" s="123">
        <f>SUM(D9:D16)</f>
        <v>100</v>
      </c>
      <c r="E7" s="125">
        <f>(B7*1000000000)/$B$6</f>
        <v>19861.452203771954</v>
      </c>
    </row>
    <row r="8" spans="1:5" ht="14.25">
      <c r="A8" s="126"/>
      <c r="B8" s="60"/>
      <c r="C8" s="66"/>
      <c r="D8" s="60"/>
      <c r="E8" s="67"/>
    </row>
    <row r="9" spans="1:5" ht="14.25">
      <c r="A9" s="121" t="s">
        <v>92</v>
      </c>
      <c r="B9" s="127">
        <f>byGOVDetalhado!B11+byGOVDetalhado!B30+byGOVDetalhado!B40+byGOVDetalhado!B17+byGOVDetalhado!B20+byGOVDetalhado!B24+byGOVDetalhado!B36+byGOVDetalhado!B46</f>
        <v>1669.5638175004599</v>
      </c>
      <c r="C9" s="76">
        <f>(B9/$B$5)*100</f>
        <v>14.215454955081984</v>
      </c>
      <c r="D9" s="127">
        <f>(B9/$B$7)*100</f>
        <v>39.542303116342488</v>
      </c>
      <c r="E9" s="77">
        <f t="shared" ref="E9:E16" si="0">(B9*1000000000)/$B$6</f>
        <v>7853.6756337229917</v>
      </c>
    </row>
    <row r="10" spans="1:5" ht="14.25">
      <c r="A10" s="121" t="s">
        <v>93</v>
      </c>
      <c r="B10" s="127">
        <f>byGOVDetalhado!B16+byGOVDetalhado!B26+byGOVDetalhado!B25+byGOVDetalhado!B23+byGOVDetalhado!B21+byGOVDetalhado!B35+byGOVDetalhado!B45+SUM(Contribuições!D14)</f>
        <v>978.14269942836006</v>
      </c>
      <c r="C10" s="76">
        <f t="shared" ref="C10:C16" si="1">(B10/$B$5)*100</f>
        <v>8.3283689653644029</v>
      </c>
      <c r="D10" s="127">
        <f t="shared" ref="D10:D16" si="2">(B10/$B$7)*100</f>
        <v>23.166538892618902</v>
      </c>
      <c r="E10" s="77">
        <f t="shared" si="0"/>
        <v>4601.211049425744</v>
      </c>
    </row>
    <row r="11" spans="1:5" s="128" customFormat="1" ht="14.25">
      <c r="A11" s="121" t="s">
        <v>94</v>
      </c>
      <c r="B11" s="127">
        <f>byGOVDetalhado!B10+byGOVDetalhado!B33+byGOVDetalhado!B43+byGOVDetalhado!B19+SUM(Contribuições!D15:D21)</f>
        <v>1059.4861025815901</v>
      </c>
      <c r="C11" s="76">
        <f t="shared" si="1"/>
        <v>9.0209651220953209</v>
      </c>
      <c r="D11" s="127">
        <f t="shared" si="2"/>
        <v>25.093093283822331</v>
      </c>
      <c r="E11" s="77">
        <f t="shared" si="0"/>
        <v>4983.8527290142829</v>
      </c>
    </row>
    <row r="12" spans="1:5" ht="14.25">
      <c r="A12" s="121" t="s">
        <v>95</v>
      </c>
      <c r="B12" s="127">
        <f>byGOVDetalhado!B14+byGOVDetalhado!B31+byGOVDetalhado!B32+byGOVDetalhado!B41+byGOVDetalhado!B42</f>
        <v>212.09075709074622</v>
      </c>
      <c r="C12" s="76">
        <f t="shared" si="1"/>
        <v>1.8058408862300992</v>
      </c>
      <c r="D12" s="127">
        <f t="shared" si="2"/>
        <v>5.0232024179899559</v>
      </c>
      <c r="E12" s="77">
        <f t="shared" si="0"/>
        <v>997.6809473477922</v>
      </c>
    </row>
    <row r="13" spans="1:5" ht="14.25">
      <c r="A13" s="121" t="s">
        <v>96</v>
      </c>
      <c r="B13" s="127">
        <f>byGOVDetalhado!B13</f>
        <v>77.507333275820002</v>
      </c>
      <c r="C13" s="76">
        <f t="shared" si="1"/>
        <v>0.65993404583987558</v>
      </c>
      <c r="D13" s="127">
        <f t="shared" si="2"/>
        <v>1.8357000996345616</v>
      </c>
      <c r="E13" s="77">
        <f t="shared" si="0"/>
        <v>364.59669789351261</v>
      </c>
    </row>
    <row r="14" spans="1:5" ht="14.25">
      <c r="A14" s="121" t="s">
        <v>97</v>
      </c>
      <c r="B14" s="129">
        <f>byGOVDetalhado!B15+byGOVDetalhado!B34+byGOVDetalhado!B44</f>
        <v>78.337977370039994</v>
      </c>
      <c r="C14" s="76">
        <f t="shared" si="1"/>
        <v>0.6670065420100233</v>
      </c>
      <c r="D14" s="127">
        <f t="shared" si="2"/>
        <v>1.8553732503168878</v>
      </c>
      <c r="E14" s="77">
        <f t="shared" si="0"/>
        <v>368.50407131325886</v>
      </c>
    </row>
    <row r="15" spans="1:5" ht="14.25">
      <c r="A15" s="121" t="s">
        <v>98</v>
      </c>
      <c r="B15" s="127">
        <f>byGOVDetalhado!B12+byGOVDetalhado!B18</f>
        <v>67.379786312069982</v>
      </c>
      <c r="C15" s="76">
        <f t="shared" si="1"/>
        <v>0.573703327277585</v>
      </c>
      <c r="D15" s="127">
        <f t="shared" si="2"/>
        <v>1.5958371320331528</v>
      </c>
      <c r="E15" s="77">
        <f t="shared" si="0"/>
        <v>316.95642922880972</v>
      </c>
    </row>
    <row r="16" spans="1:5" ht="15" thickBot="1">
      <c r="A16" s="122" t="s">
        <v>99</v>
      </c>
      <c r="B16" s="130">
        <f>byGOVDetalhado!B22-SUM(Contribuições!D14:D21)+byGOVDetalhado!B27+byGOVDetalhado!B37+byGOVDetalhado!B47</f>
        <v>79.713516364519947</v>
      </c>
      <c r="C16" s="82">
        <f t="shared" si="1"/>
        <v>0.67871853074026733</v>
      </c>
      <c r="D16" s="130">
        <f t="shared" si="2"/>
        <v>1.8879518072417178</v>
      </c>
      <c r="E16" s="83">
        <f t="shared" si="0"/>
        <v>374.97464582556262</v>
      </c>
    </row>
    <row r="17" spans="1:5">
      <c r="A17" s="50" t="s">
        <v>62</v>
      </c>
      <c r="B17" s="131"/>
      <c r="C17" s="132"/>
      <c r="D17" s="133"/>
      <c r="E17" s="116"/>
    </row>
    <row r="18" spans="1:5">
      <c r="A18" s="50" t="s">
        <v>100</v>
      </c>
    </row>
    <row r="19" spans="1:5">
      <c r="A19" s="50" t="s">
        <v>101</v>
      </c>
    </row>
    <row r="20" spans="1:5">
      <c r="A20" s="50" t="s">
        <v>102</v>
      </c>
    </row>
    <row r="21" spans="1:5">
      <c r="A21" s="50" t="s">
        <v>103</v>
      </c>
    </row>
    <row r="22" spans="1:5">
      <c r="A22" s="50" t="s">
        <v>104</v>
      </c>
    </row>
    <row r="23" spans="1:5">
      <c r="A23" s="50" t="s">
        <v>105</v>
      </c>
    </row>
    <row r="24" spans="1:5">
      <c r="A24" s="50" t="s">
        <v>106</v>
      </c>
    </row>
    <row r="25" spans="1:5">
      <c r="A25" s="50" t="s">
        <v>107</v>
      </c>
    </row>
    <row r="26" spans="1:5">
      <c r="A26" s="50" t="s">
        <v>108</v>
      </c>
    </row>
    <row r="27" spans="1:5">
      <c r="A27" s="50" t="s">
        <v>109</v>
      </c>
    </row>
    <row r="28" spans="1:5">
      <c r="A28" s="50" t="s">
        <v>110</v>
      </c>
    </row>
    <row r="29" spans="1:5">
      <c r="C29" s="84">
        <f>B12+B13+B15+B16</f>
        <v>436.69139304315615</v>
      </c>
      <c r="D29" s="84">
        <f>D9+D13+D15+D14</f>
        <v>44.829213598327094</v>
      </c>
    </row>
    <row r="30" spans="1:5">
      <c r="D30" s="84">
        <f>D11+D12</f>
        <v>30.116295701812287</v>
      </c>
    </row>
  </sheetData>
  <mergeCells count="2">
    <mergeCell ref="A3:A4"/>
    <mergeCell ref="B3:E3"/>
  </mergeCells>
  <phoneticPr fontId="0" type="noConversion"/>
  <printOptions horizontalCentered="1" verticalCentered="1" gridLines="1"/>
  <pageMargins left="0" right="0" top="0" bottom="0" header="0" footer="0"/>
  <pageSetup paperSize="9" orientation="landscape" horizontalDpi="4294967294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0"/>
  <sheetViews>
    <sheetView zoomScale="90" zoomScaleNormal="90" workbookViewId="0">
      <selection activeCell="I10" sqref="I10"/>
    </sheetView>
  </sheetViews>
  <sheetFormatPr defaultColWidth="8.85546875" defaultRowHeight="13.5"/>
  <cols>
    <col min="1" max="1" width="32.140625" style="55" customWidth="1"/>
    <col min="2" max="2" width="12.7109375" style="55" customWidth="1"/>
    <col min="3" max="4" width="8.85546875" style="55"/>
    <col min="5" max="5" width="12.140625" style="55" customWidth="1"/>
    <col min="6" max="16384" width="8.85546875" style="55"/>
  </cols>
  <sheetData>
    <row r="1" spans="1:5" ht="15">
      <c r="A1" s="53" t="s">
        <v>111</v>
      </c>
      <c r="B1" s="54"/>
      <c r="C1" s="54"/>
      <c r="D1" s="54"/>
      <c r="E1" s="54"/>
    </row>
    <row r="2" spans="1:5" ht="15" thickBot="1">
      <c r="A2" s="56"/>
      <c r="B2" s="56"/>
      <c r="C2" s="56"/>
      <c r="D2" s="56"/>
      <c r="E2" s="56"/>
    </row>
    <row r="3" spans="1:5">
      <c r="A3" s="268" t="s">
        <v>112</v>
      </c>
      <c r="B3" s="270">
        <f>byGOVDetalhado!B3</f>
        <v>2024</v>
      </c>
      <c r="C3" s="270"/>
      <c r="D3" s="270"/>
      <c r="E3" s="270"/>
    </row>
    <row r="4" spans="1:5" ht="29.25" customHeight="1">
      <c r="A4" s="282"/>
      <c r="B4" s="57" t="s">
        <v>2</v>
      </c>
      <c r="C4" s="57" t="s">
        <v>3</v>
      </c>
      <c r="D4" s="57" t="s">
        <v>4</v>
      </c>
      <c r="E4" s="57" t="s">
        <v>5</v>
      </c>
    </row>
    <row r="5" spans="1:5" ht="14.25">
      <c r="A5" s="58" t="s">
        <v>6</v>
      </c>
      <c r="B5" s="59">
        <f>byGOVDetalhado!B5</f>
        <v>11744.709000000001</v>
      </c>
      <c r="C5" s="60"/>
      <c r="D5" s="60"/>
      <c r="E5" s="54"/>
    </row>
    <row r="6" spans="1:5" ht="14.25">
      <c r="A6" s="58" t="s">
        <v>7</v>
      </c>
      <c r="B6" s="61">
        <f>byGOVDetalhado!B6</f>
        <v>212583750</v>
      </c>
      <c r="C6" s="60"/>
      <c r="D6" s="60"/>
      <c r="E6" s="54"/>
    </row>
    <row r="7" spans="1:5">
      <c r="A7" s="62" t="s">
        <v>113</v>
      </c>
      <c r="B7" s="63">
        <f>SUM(B9,B11,B13)</f>
        <v>4222.221989923607</v>
      </c>
      <c r="C7" s="64">
        <f>SUM(C9,C11,C13)</f>
        <v>35.949992374639564</v>
      </c>
      <c r="D7" s="63">
        <f>SUM(D9,D11,D13)</f>
        <v>99.999999999999986</v>
      </c>
      <c r="E7" s="65">
        <f>(B7*1000000000)/$B$6</f>
        <v>19861.452203771958</v>
      </c>
    </row>
    <row r="8" spans="1:5">
      <c r="A8" s="58"/>
      <c r="B8" s="60"/>
      <c r="C8" s="66"/>
      <c r="D8" s="60"/>
      <c r="E8" s="67"/>
    </row>
    <row r="9" spans="1:5">
      <c r="A9" s="68" t="s">
        <v>114</v>
      </c>
      <c r="B9" s="60">
        <f>+'AD ESFERA'!B9-'RD ESFERA'!B17-'RD ESFERA'!B30</f>
        <v>2176.5729523842338</v>
      </c>
      <c r="C9" s="66">
        <f>+B9/B$5*100</f>
        <v>18.532370213550916</v>
      </c>
      <c r="D9" s="60">
        <f>+C9/C$7*100</f>
        <v>51.55041486635843</v>
      </c>
      <c r="E9" s="67">
        <f t="shared" ref="E9:E45" si="0">(B9*1000000000)/$B$6</f>
        <v>10238.661009527932</v>
      </c>
    </row>
    <row r="10" spans="1:5">
      <c r="A10" s="58"/>
      <c r="B10" s="60"/>
      <c r="C10" s="66"/>
      <c r="D10" s="60"/>
      <c r="E10" s="67"/>
    </row>
    <row r="11" spans="1:5">
      <c r="A11" s="68" t="s">
        <v>31</v>
      </c>
      <c r="B11" s="60">
        <f>+'AD ESFERA'!B16-'RD ESFERA'!B41+'RD ESFERA'!B17</f>
        <v>1063.1728700254369</v>
      </c>
      <c r="C11" s="66">
        <f>+B11/B$5*100</f>
        <v>9.0523560015444975</v>
      </c>
      <c r="D11" s="60">
        <f>+C11/C$7*100</f>
        <v>25.180411464928042</v>
      </c>
      <c r="E11" s="67">
        <f t="shared" si="0"/>
        <v>5001.1953878197974</v>
      </c>
    </row>
    <row r="12" spans="1:5">
      <c r="A12" s="69"/>
      <c r="B12" s="60"/>
      <c r="C12" s="66"/>
      <c r="D12" s="60"/>
      <c r="E12" s="67"/>
    </row>
    <row r="13" spans="1:5">
      <c r="A13" s="70" t="s">
        <v>41</v>
      </c>
      <c r="B13" s="71">
        <f>+'AD ESFERA'!B21+'RD ESFERA'!B30+'RD ESFERA'!B41</f>
        <v>982.47616751393616</v>
      </c>
      <c r="C13" s="72">
        <f>+B13/B$5*100</f>
        <v>8.3652661595441486</v>
      </c>
      <c r="D13" s="71">
        <f>+C13/C$7*100</f>
        <v>23.26917366871352</v>
      </c>
      <c r="E13" s="73">
        <f t="shared" si="0"/>
        <v>4621.5958064242268</v>
      </c>
    </row>
    <row r="14" spans="1:5">
      <c r="A14" s="58"/>
      <c r="B14" s="60"/>
      <c r="C14" s="60"/>
      <c r="D14" s="60"/>
      <c r="E14" s="67"/>
    </row>
    <row r="15" spans="1:5">
      <c r="A15" s="58" t="s">
        <v>115</v>
      </c>
      <c r="B15" s="60"/>
      <c r="C15" s="60"/>
      <c r="D15" s="60"/>
      <c r="E15" s="67"/>
    </row>
    <row r="16" spans="1:5">
      <c r="A16" s="58"/>
      <c r="B16" s="60"/>
      <c r="C16" s="60"/>
      <c r="D16" s="60"/>
      <c r="E16" s="67"/>
    </row>
    <row r="17" spans="1:8" s="74" customFormat="1">
      <c r="A17" s="68" t="s">
        <v>116</v>
      </c>
      <c r="B17" s="60">
        <f>SUM(B18:B28)</f>
        <v>252.50395722165669</v>
      </c>
      <c r="C17" s="66">
        <f>SUM(C18:C28)</f>
        <v>2.149937961184536</v>
      </c>
      <c r="D17" s="60">
        <f>SUM(D18:D28)</f>
        <v>5.980357210593402</v>
      </c>
      <c r="E17" s="67">
        <f t="shared" si="0"/>
        <v>1187.7857889968386</v>
      </c>
    </row>
    <row r="18" spans="1:8" ht="14.25">
      <c r="A18" s="54" t="s">
        <v>117</v>
      </c>
      <c r="B18" s="75">
        <f>Transferencias!C4</f>
        <v>149.83112801600001</v>
      </c>
      <c r="C18" s="76">
        <f t="shared" ref="C18:C28" si="1">+B18/B$5*100</f>
        <v>1.2757329961602284</v>
      </c>
      <c r="D18" s="75">
        <f t="shared" ref="D18:D28" si="2">+C18/C$7*100</f>
        <v>3.5486321745652916</v>
      </c>
      <c r="E18" s="77">
        <f t="shared" si="0"/>
        <v>704.80988323895872</v>
      </c>
    </row>
    <row r="19" spans="1:8" ht="14.25">
      <c r="A19" s="54" t="s">
        <v>118</v>
      </c>
      <c r="B19" s="75">
        <f>Transferencias!C5</f>
        <v>6.7654935690000002</v>
      </c>
      <c r="C19" s="76">
        <f t="shared" si="1"/>
        <v>5.7604607904716915E-2</v>
      </c>
      <c r="D19" s="75">
        <f t="shared" si="2"/>
        <v>0.16023538281847677</v>
      </c>
      <c r="E19" s="77">
        <f t="shared" si="0"/>
        <v>31.825073972022793</v>
      </c>
    </row>
    <row r="20" spans="1:8" ht="14.25">
      <c r="A20" s="54" t="s">
        <v>119</v>
      </c>
      <c r="B20" s="75">
        <f>Transferencias!C6</f>
        <v>3.6919629999999999E-3</v>
      </c>
      <c r="C20" s="76">
        <f t="shared" si="1"/>
        <v>3.1435116868370253E-5</v>
      </c>
      <c r="D20" s="75">
        <f t="shared" si="2"/>
        <v>8.7441233758218354E-5</v>
      </c>
      <c r="E20" s="77">
        <f t="shared" si="0"/>
        <v>1.7367098849277049E-2</v>
      </c>
    </row>
    <row r="21" spans="1:8" ht="14.25">
      <c r="A21" s="54" t="s">
        <v>120</v>
      </c>
      <c r="B21" s="75">
        <f>Transferencias!C7</f>
        <v>3</v>
      </c>
      <c r="C21" s="76">
        <f t="shared" si="1"/>
        <v>2.5543417039962418E-2</v>
      </c>
      <c r="D21" s="75">
        <f t="shared" si="2"/>
        <v>7.1052635488127888E-2</v>
      </c>
      <c r="E21" s="77">
        <f t="shared" si="0"/>
        <v>14.112085236994831</v>
      </c>
    </row>
    <row r="22" spans="1:8" ht="14.25">
      <c r="A22" s="54" t="s">
        <v>121</v>
      </c>
      <c r="B22" s="75">
        <f>Transferencias!C8</f>
        <v>36.667704139649992</v>
      </c>
      <c r="C22" s="76">
        <f t="shared" si="1"/>
        <v>0.31220615291234538</v>
      </c>
      <c r="D22" s="75">
        <f t="shared" si="2"/>
        <v>0.86844567214035617</v>
      </c>
      <c r="E22" s="77">
        <f t="shared" si="0"/>
        <v>172.48592208788298</v>
      </c>
    </row>
    <row r="23" spans="1:8" ht="14.25">
      <c r="A23" s="54" t="s">
        <v>122</v>
      </c>
      <c r="B23" s="75">
        <f>0.666666666666667*byGOVDetalhado!B25</f>
        <v>21.413814335006677</v>
      </c>
      <c r="C23" s="76">
        <f t="shared" si="1"/>
        <v>0.18232732999180035</v>
      </c>
      <c r="D23" s="75">
        <f t="shared" si="2"/>
        <v>0.50716931478522564</v>
      </c>
      <c r="E23" s="77">
        <f t="shared" si="0"/>
        <v>100.73119104826533</v>
      </c>
    </row>
    <row r="24" spans="1:8" ht="14.25">
      <c r="A24" s="54" t="s">
        <v>123</v>
      </c>
      <c r="B24" s="75">
        <f>Transferencias!C10</f>
        <v>0</v>
      </c>
      <c r="C24" s="76">
        <f t="shared" si="1"/>
        <v>0</v>
      </c>
      <c r="D24" s="75">
        <f t="shared" si="2"/>
        <v>0</v>
      </c>
      <c r="E24" s="77">
        <f t="shared" si="0"/>
        <v>0</v>
      </c>
    </row>
    <row r="25" spans="1:8" ht="14.25">
      <c r="A25" s="54" t="s">
        <v>124</v>
      </c>
      <c r="B25" s="75">
        <f>Transferencias!C11</f>
        <v>0.73765312999999999</v>
      </c>
      <c r="C25" s="76">
        <f t="shared" si="1"/>
        <v>6.2807271768078711E-3</v>
      </c>
      <c r="D25" s="75">
        <f t="shared" si="2"/>
        <v>1.7470732987522206E-2</v>
      </c>
      <c r="E25" s="77">
        <f t="shared" si="0"/>
        <v>3.469941281965343</v>
      </c>
    </row>
    <row r="26" spans="1:8" ht="14.25">
      <c r="A26" s="54" t="s">
        <v>125</v>
      </c>
      <c r="B26" s="75">
        <f>Transferencias!C12</f>
        <v>0</v>
      </c>
      <c r="C26" s="76">
        <f t="shared" ref="C26:C27" si="3">+B26/B$5*100</f>
        <v>0</v>
      </c>
      <c r="D26" s="75">
        <f t="shared" ref="D26:D27" si="4">+C26/C$7*100</f>
        <v>0</v>
      </c>
      <c r="E26" s="77">
        <f t="shared" ref="E26:E27" si="5">(B26*1000000000)/$B$6</f>
        <v>0</v>
      </c>
    </row>
    <row r="27" spans="1:8" ht="14.25">
      <c r="A27" s="54" t="s">
        <v>126</v>
      </c>
      <c r="B27" s="75">
        <f>Transferencias!C13</f>
        <v>0.67447999999999997</v>
      </c>
      <c r="C27" s="76">
        <f t="shared" si="3"/>
        <v>5.7428413083712836E-3</v>
      </c>
      <c r="D27" s="75">
        <f t="shared" si="4"/>
        <v>1.5974527194677499E-2</v>
      </c>
      <c r="E27" s="77">
        <f t="shared" si="5"/>
        <v>3.1727730835494246</v>
      </c>
    </row>
    <row r="28" spans="1:8" ht="14.25">
      <c r="A28" s="78" t="s">
        <v>127</v>
      </c>
      <c r="B28" s="75">
        <f>Transferencias!C14</f>
        <v>33.409992068999998</v>
      </c>
      <c r="C28" s="76">
        <f t="shared" si="1"/>
        <v>0.28446845357343459</v>
      </c>
      <c r="D28" s="75">
        <f t="shared" si="2"/>
        <v>0.79128932937996677</v>
      </c>
      <c r="E28" s="77">
        <f t="shared" si="0"/>
        <v>157.16155194834974</v>
      </c>
    </row>
    <row r="29" spans="1:8" ht="14.25">
      <c r="A29" s="54"/>
      <c r="B29" s="75"/>
      <c r="C29" s="76"/>
      <c r="D29" s="75"/>
      <c r="E29" s="77"/>
    </row>
    <row r="30" spans="1:8" s="74" customFormat="1">
      <c r="A30" s="182" t="s">
        <v>128</v>
      </c>
      <c r="B30" s="30">
        <f>SUM(B31:B39)</f>
        <v>306.13700640103002</v>
      </c>
      <c r="C30" s="66">
        <f>SUM(C31:C39)</f>
        <v>2.606595075289051</v>
      </c>
      <c r="D30" s="60">
        <f>SUM(D31:D39)</f>
        <v>7.2506137084130184</v>
      </c>
      <c r="E30" s="67">
        <f t="shared" si="0"/>
        <v>1440.0771761765893</v>
      </c>
      <c r="H30" s="261">
        <f>(C30+C41)/C13</f>
        <v>0.63378583689330814</v>
      </c>
    </row>
    <row r="31" spans="1:8" ht="14.25">
      <c r="A31" s="183" t="s">
        <v>129</v>
      </c>
      <c r="B31" s="39">
        <f>Transferencias!C17</f>
        <v>177.03413749000001</v>
      </c>
      <c r="C31" s="76">
        <f t="shared" ref="C31:C39" si="6">+B31/B$5*100</f>
        <v>1.5073522680723719</v>
      </c>
      <c r="D31" s="75">
        <f t="shared" ref="D31:D39" si="7">+C31/C$7*100</f>
        <v>4.1929140133440281</v>
      </c>
      <c r="E31" s="77">
        <f t="shared" si="0"/>
        <v>832.77361270558072</v>
      </c>
    </row>
    <row r="32" spans="1:8" ht="14.25">
      <c r="A32" s="183" t="s">
        <v>130</v>
      </c>
      <c r="B32" s="39">
        <f>Transferencias!C18</f>
        <v>2.5175990690000001</v>
      </c>
      <c r="C32" s="76">
        <f t="shared" si="6"/>
        <v>2.1436027652962708E-2</v>
      </c>
      <c r="D32" s="75">
        <f t="shared" si="7"/>
        <v>5.9627349651635714E-2</v>
      </c>
      <c r="E32" s="77">
        <f t="shared" si="0"/>
        <v>11.84285755143561</v>
      </c>
    </row>
    <row r="33" spans="1:5" ht="14.25">
      <c r="A33" s="183" t="s">
        <v>119</v>
      </c>
      <c r="B33" s="39">
        <f>Transferencias!C19</f>
        <v>8.6145690000000007E-3</v>
      </c>
      <c r="C33" s="76">
        <f t="shared" si="6"/>
        <v>7.3348509528844006E-5</v>
      </c>
      <c r="D33" s="75">
        <f t="shared" si="7"/>
        <v>2.0402927701477542E-4</v>
      </c>
      <c r="E33" s="77">
        <f t="shared" si="0"/>
        <v>4.052317733599111E-2</v>
      </c>
    </row>
    <row r="34" spans="1:5" ht="14.25">
      <c r="A34" s="183" t="s">
        <v>120</v>
      </c>
      <c r="B34" s="39">
        <f>Transferencias!C20</f>
        <v>0.98556337599999999</v>
      </c>
      <c r="C34" s="76">
        <f t="shared" si="6"/>
        <v>8.3915521108270975E-3</v>
      </c>
      <c r="D34" s="75">
        <f t="shared" si="7"/>
        <v>2.3342291768458912E-2</v>
      </c>
      <c r="E34" s="77">
        <f t="shared" si="0"/>
        <v>4.6361181228574617</v>
      </c>
    </row>
    <row r="35" spans="1:5" ht="14.25">
      <c r="A35" s="183" t="s">
        <v>121</v>
      </c>
      <c r="B35" s="39">
        <f>Transferencias!C21</f>
        <v>89.855047377030004</v>
      </c>
      <c r="C35" s="76">
        <f t="shared" si="6"/>
        <v>0.76506831609901949</v>
      </c>
      <c r="D35" s="75">
        <f t="shared" si="7"/>
        <v>2.1281459760161914</v>
      </c>
      <c r="E35" s="77">
        <f t="shared" si="0"/>
        <v>422.68069585295206</v>
      </c>
    </row>
    <row r="36" spans="1:5" ht="14.25">
      <c r="A36" s="183" t="s">
        <v>123</v>
      </c>
      <c r="B36" s="39">
        <f>Transferencias!C22</f>
        <v>0</v>
      </c>
      <c r="C36" s="76">
        <f t="shared" si="6"/>
        <v>0</v>
      </c>
      <c r="D36" s="75">
        <f t="shared" si="7"/>
        <v>0</v>
      </c>
      <c r="E36" s="77">
        <f t="shared" si="0"/>
        <v>0</v>
      </c>
    </row>
    <row r="37" spans="1:5" ht="14.25">
      <c r="A37" s="183" t="s">
        <v>124</v>
      </c>
      <c r="B37" s="39">
        <f>Transferencias!C23</f>
        <v>0.24155149200000001</v>
      </c>
      <c r="C37" s="76">
        <f t="shared" si="6"/>
        <v>2.0566834989270487E-3</v>
      </c>
      <c r="D37" s="75">
        <f t="shared" si="7"/>
        <v>5.7209567042298126E-3</v>
      </c>
      <c r="E37" s="77">
        <f t="shared" si="0"/>
        <v>1.1362650814090918</v>
      </c>
    </row>
    <row r="38" spans="1:5" ht="14.25">
      <c r="A38" s="183" t="s">
        <v>131</v>
      </c>
      <c r="B38" s="39">
        <f>Transferencias!C24</f>
        <v>0.31391649999999999</v>
      </c>
      <c r="C38" s="76">
        <f t="shared" ref="C38" si="8">+B38/B$5*100</f>
        <v>2.6728333584084543E-3</v>
      </c>
      <c r="D38" s="75">
        <f t="shared" ref="D38" si="9">+C38/C$7*100</f>
        <v>7.4348648827362983E-3</v>
      </c>
      <c r="E38" s="77">
        <f t="shared" ref="E38" si="10">(B38*1000000000)/$B$6</f>
        <v>1.4766721350996961</v>
      </c>
    </row>
    <row r="39" spans="1:5" ht="14.25">
      <c r="A39" s="184" t="s">
        <v>132</v>
      </c>
      <c r="B39" s="39">
        <f>Transferencias!C25</f>
        <v>35.180576528000003</v>
      </c>
      <c r="C39" s="76">
        <f t="shared" si="6"/>
        <v>0.29954404598700574</v>
      </c>
      <c r="D39" s="75">
        <f t="shared" si="7"/>
        <v>0.8332242267687241</v>
      </c>
      <c r="E39" s="77">
        <f t="shared" si="0"/>
        <v>165.49043154991855</v>
      </c>
    </row>
    <row r="40" spans="1:5" ht="14.25">
      <c r="A40" s="183"/>
      <c r="B40" s="185"/>
      <c r="C40" s="80"/>
      <c r="D40" s="79"/>
      <c r="E40" s="77"/>
    </row>
    <row r="41" spans="1:5" s="74" customFormat="1">
      <c r="A41" s="182" t="s">
        <v>133</v>
      </c>
      <c r="B41" s="30">
        <f>SUM(B42:B46)</f>
        <v>316.54247365451999</v>
      </c>
      <c r="C41" s="30">
        <f t="shared" ref="C41:D41" si="11">SUM(C42:C46)</f>
        <v>2.6951921384729074</v>
      </c>
      <c r="D41" s="30">
        <f t="shared" si="11"/>
        <v>7.4970589990283116</v>
      </c>
      <c r="E41" s="67">
        <f t="shared" si="0"/>
        <v>1489.0247897805925</v>
      </c>
    </row>
    <row r="42" spans="1:5" ht="14.25">
      <c r="A42" s="183" t="s">
        <v>134</v>
      </c>
      <c r="B42" s="39">
        <f>0.25*(byGOVDetalhado!B30-Transferencias!C31-Transferencias!C35)</f>
        <v>161.08285906801501</v>
      </c>
      <c r="C42" s="76">
        <f>+B42/B$5*100</f>
        <v>1.3715355490545997</v>
      </c>
      <c r="D42" s="75">
        <f>+C42/C$7*100</f>
        <v>3.8151205562483819</v>
      </c>
      <c r="E42" s="77">
        <f t="shared" si="0"/>
        <v>757.73834579555125</v>
      </c>
    </row>
    <row r="43" spans="1:5" ht="14.25">
      <c r="A43" s="183" t="s">
        <v>135</v>
      </c>
      <c r="B43" s="39">
        <f>0.5*byGOVDetalhado!B31</f>
        <v>43.766560836304997</v>
      </c>
      <c r="C43" s="76">
        <f>+B43/B$5*100</f>
        <v>0.37264917194887498</v>
      </c>
      <c r="D43" s="75">
        <f>+C43/C$7*100</f>
        <v>1.0365764978903176</v>
      </c>
      <c r="E43" s="77">
        <f t="shared" si="0"/>
        <v>205.87914568401865</v>
      </c>
    </row>
    <row r="44" spans="1:5" ht="14.25">
      <c r="A44" s="183" t="s">
        <v>136</v>
      </c>
      <c r="B44" s="39">
        <f>Transferencias!C30</f>
        <v>1.6913733922500001</v>
      </c>
      <c r="C44" s="76">
        <f>+B44/B$5*100</f>
        <v>1.4401151976179229E-2</v>
      </c>
      <c r="D44" s="75">
        <f>+C44/C$7*100</f>
        <v>4.0058845704619192E-2</v>
      </c>
      <c r="E44" s="77">
        <f t="shared" si="0"/>
        <v>7.9562684930056982</v>
      </c>
    </row>
    <row r="45" spans="1:5" ht="14.25">
      <c r="A45" s="183" t="s">
        <v>121</v>
      </c>
      <c r="B45" s="39">
        <f>Transferencias!C31</f>
        <v>109.83306035795</v>
      </c>
      <c r="C45" s="76">
        <f>+B45/B$5*100</f>
        <v>0.93517055516616032</v>
      </c>
      <c r="D45" s="75">
        <f>+C45/C$7*100</f>
        <v>2.6013094673863235</v>
      </c>
      <c r="E45" s="77">
        <f t="shared" si="0"/>
        <v>516.65783653712947</v>
      </c>
    </row>
    <row r="46" spans="1:5" ht="15" thickBot="1">
      <c r="A46" s="186" t="s">
        <v>126</v>
      </c>
      <c r="B46" s="187">
        <f>Transferencias!C32</f>
        <v>0.16861999999999999</v>
      </c>
      <c r="C46" s="82">
        <f>+B46/B$5*100</f>
        <v>1.4357103270928209E-3</v>
      </c>
      <c r="D46" s="81">
        <f>+C46/C$7*100</f>
        <v>3.9936317986693746E-3</v>
      </c>
      <c r="E46" s="83">
        <f t="shared" ref="E46" si="12">(B46*1000000000)/$B$6</f>
        <v>0.79319327088735614</v>
      </c>
    </row>
    <row r="47" spans="1:5">
      <c r="A47" s="50" t="s">
        <v>137</v>
      </c>
      <c r="B47" s="84"/>
      <c r="C47" s="84"/>
      <c r="D47" s="84"/>
      <c r="E47" s="84"/>
    </row>
    <row r="48" spans="1:5">
      <c r="A48" s="50" t="s">
        <v>138</v>
      </c>
      <c r="B48" s="84"/>
      <c r="C48" s="84"/>
      <c r="D48" s="84"/>
      <c r="E48" s="84"/>
    </row>
    <row r="49" spans="1:5">
      <c r="A49" s="283" t="s">
        <v>139</v>
      </c>
      <c r="B49" s="283"/>
      <c r="C49" s="283"/>
      <c r="D49" s="283"/>
      <c r="E49" s="283"/>
    </row>
    <row r="50" spans="1:5">
      <c r="A50" s="283"/>
      <c r="B50" s="283"/>
      <c r="C50" s="283"/>
      <c r="D50" s="283"/>
      <c r="E50" s="283"/>
    </row>
  </sheetData>
  <mergeCells count="3">
    <mergeCell ref="A3:A4"/>
    <mergeCell ref="B3:E3"/>
    <mergeCell ref="A49:E50"/>
  </mergeCells>
  <phoneticPr fontId="0" type="noConversion"/>
  <printOptions horizontalCentered="1" verticalCentered="1" gridLines="1"/>
  <pageMargins left="0" right="0" top="0" bottom="0" header="0" footer="0"/>
  <pageSetup paperSize="9" scale="96" orientation="landscape" horizontalDpi="429496729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6"/>
  <sheetViews>
    <sheetView tabSelected="1" topLeftCell="A5" workbookViewId="0">
      <selection activeCell="G16" sqref="G16"/>
    </sheetView>
  </sheetViews>
  <sheetFormatPr defaultColWidth="8.85546875" defaultRowHeight="13.5"/>
  <cols>
    <col min="1" max="1" width="45.140625" style="55" customWidth="1"/>
    <col min="2" max="2" width="12.7109375" style="55" customWidth="1"/>
    <col min="3" max="4" width="8.85546875" style="55"/>
    <col min="5" max="5" width="12.140625" style="55" customWidth="1"/>
    <col min="6" max="16384" width="8.85546875" style="55"/>
  </cols>
  <sheetData>
    <row r="1" spans="1:5" ht="14.25">
      <c r="A1" s="87" t="s">
        <v>111</v>
      </c>
      <c r="B1" s="54"/>
      <c r="C1" s="54"/>
      <c r="D1" s="54"/>
      <c r="E1" s="54"/>
    </row>
    <row r="2" spans="1:5" ht="15" thickBot="1">
      <c r="A2" s="56"/>
      <c r="B2" s="56"/>
      <c r="C2" s="56"/>
      <c r="D2" s="56"/>
      <c r="E2" s="56"/>
    </row>
    <row r="3" spans="1:5">
      <c r="A3" s="284" t="s">
        <v>112</v>
      </c>
      <c r="B3" s="278">
        <f>byGOVDetalhado!B3</f>
        <v>2024</v>
      </c>
      <c r="C3" s="278"/>
      <c r="D3" s="278"/>
      <c r="E3" s="278"/>
    </row>
    <row r="4" spans="1:5" ht="29.25" customHeight="1">
      <c r="A4" s="285"/>
      <c r="B4" s="90" t="s">
        <v>2</v>
      </c>
      <c r="C4" s="90" t="s">
        <v>3</v>
      </c>
      <c r="D4" s="90" t="s">
        <v>4</v>
      </c>
      <c r="E4" s="90" t="s">
        <v>5</v>
      </c>
    </row>
    <row r="5" spans="1:5" ht="14.25">
      <c r="A5" s="134" t="s">
        <v>6</v>
      </c>
      <c r="B5" s="135">
        <f>byGOVDetalhado!B5</f>
        <v>11744.709000000001</v>
      </c>
      <c r="C5" s="92"/>
      <c r="D5" s="92"/>
      <c r="E5" s="88"/>
    </row>
    <row r="6" spans="1:5" ht="14.25">
      <c r="A6" s="91" t="s">
        <v>7</v>
      </c>
      <c r="B6" s="136">
        <f>byGOVDetalhado!B6</f>
        <v>212583750</v>
      </c>
      <c r="C6" s="92"/>
      <c r="D6" s="92"/>
      <c r="E6" s="88"/>
    </row>
    <row r="7" spans="1:5">
      <c r="A7" s="137" t="s">
        <v>113</v>
      </c>
      <c r="B7" s="138">
        <f>SUM(B9,B14,B16)</f>
        <v>4222.221989923607</v>
      </c>
      <c r="C7" s="64">
        <f>SUM(C9,C14,C16)</f>
        <v>35.949992374639564</v>
      </c>
      <c r="D7" s="63">
        <f>SUM(D9,D14,D16)</f>
        <v>100</v>
      </c>
      <c r="E7" s="65">
        <f>(B7*1000000000)/$B$6</f>
        <v>19861.452203771958</v>
      </c>
    </row>
    <row r="8" spans="1:5">
      <c r="A8" s="134"/>
      <c r="B8" s="135"/>
      <c r="C8" s="139"/>
      <c r="D8" s="92"/>
      <c r="E8" s="99"/>
    </row>
    <row r="9" spans="1:5">
      <c r="A9" s="140" t="s">
        <v>114</v>
      </c>
      <c r="B9" s="135">
        <f>'AD ESFERA'!B9-'RD ESFERA DETALHADA'!B20-'RD ESFERA DETALHADA'!B33</f>
        <v>2176.5729523842338</v>
      </c>
      <c r="C9" s="139">
        <f>+B9/B$5*100</f>
        <v>18.532370213550916</v>
      </c>
      <c r="D9" s="92">
        <f>+C9/C$7*100</f>
        <v>51.55041486635843</v>
      </c>
      <c r="E9" s="99">
        <f>(B9*1000000000)/$B$6</f>
        <v>10238.661009527932</v>
      </c>
    </row>
    <row r="10" spans="1:5" ht="14.25">
      <c r="A10" s="141" t="s">
        <v>140</v>
      </c>
      <c r="B10" s="142">
        <f>byGOVDetalhado!B23+byGOVDetalhado!B26+(0.4*byGOVDetalhado!B20)</f>
        <v>261.25211326885596</v>
      </c>
      <c r="C10" s="143">
        <f>+B10/B$5*100</f>
        <v>2.2244238939326291</v>
      </c>
      <c r="D10" s="144">
        <f>+C10/C$7*100</f>
        <v>6.1875503915317074</v>
      </c>
      <c r="E10" s="104">
        <f>(B10*1000000000)/$B$6</f>
        <v>1228.9373635983745</v>
      </c>
    </row>
    <row r="11" spans="1:5" ht="14.25">
      <c r="A11" s="141" t="s">
        <v>141</v>
      </c>
      <c r="B11" s="142">
        <f>byGOVDetalhado!B16+byGOVDetalhado!B17+byGOVDetalhado!B18+byGOVDetalhado!B19+(0.6*byGOVDetalhado!B20)+byGOVDetalhado!B21+byGOVDetalhado!B22</f>
        <v>1221.128579677144</v>
      </c>
      <c r="C11" s="143">
        <f>+B11/B$5*100</f>
        <v>10.397265523370089</v>
      </c>
      <c r="D11" s="144">
        <f>+C11/C$7*100</f>
        <v>28.921467951978482</v>
      </c>
      <c r="E11" s="104">
        <f>(B11*1000000000)/$B$6</f>
        <v>5744.2235339114304</v>
      </c>
    </row>
    <row r="12" spans="1:5" ht="14.25">
      <c r="A12" s="141" t="s">
        <v>142</v>
      </c>
      <c r="B12" s="142">
        <f>B9-B10-B11</f>
        <v>694.1922594382338</v>
      </c>
      <c r="C12" s="143">
        <f>+B12/B$5*100</f>
        <v>5.9106807962481982</v>
      </c>
      <c r="D12" s="144">
        <f>+C12/C$7*100</f>
        <v>16.441396522848244</v>
      </c>
      <c r="E12" s="104">
        <f>(B12*1000000000)/$B$6</f>
        <v>3265.5001120181282</v>
      </c>
    </row>
    <row r="13" spans="1:5">
      <c r="A13" s="134"/>
      <c r="B13" s="135"/>
      <c r="C13" s="139"/>
      <c r="D13" s="92"/>
      <c r="E13" s="99"/>
    </row>
    <row r="14" spans="1:5">
      <c r="A14" s="140" t="s">
        <v>31</v>
      </c>
      <c r="B14" s="135">
        <f>'AD ESFERA'!B16-'RD ESFERA DETALHADA'!B44+'RD ESFERA DETALHADA'!B20</f>
        <v>1063.341490025437</v>
      </c>
      <c r="C14" s="139">
        <f>+B14/B$5*100</f>
        <v>9.0537917118715914</v>
      </c>
      <c r="D14" s="92">
        <f>+C14/C$7*100</f>
        <v>25.184405096726714</v>
      </c>
      <c r="E14" s="99">
        <f>(B14*1000000000)/$B$6</f>
        <v>5001.9885810906853</v>
      </c>
    </row>
    <row r="15" spans="1:5">
      <c r="A15" s="145"/>
      <c r="B15" s="135"/>
      <c r="C15" s="139"/>
      <c r="D15" s="92"/>
      <c r="E15" s="99"/>
    </row>
    <row r="16" spans="1:5">
      <c r="A16" s="146" t="s">
        <v>41</v>
      </c>
      <c r="B16" s="147">
        <f>'AD ESFERA'!B21+'RD ESFERA DETALHADA'!B33+'RD ESFERA DETALHADA'!B44</f>
        <v>982.30754751393624</v>
      </c>
      <c r="C16" s="148">
        <f>+B16/B$5*100</f>
        <v>8.3638304492170583</v>
      </c>
      <c r="D16" s="149">
        <f>+C16/C$7*100</f>
        <v>23.26518003691486</v>
      </c>
      <c r="E16" s="150">
        <f>(B16*1000000000)/$B$6</f>
        <v>4620.8026131533397</v>
      </c>
    </row>
    <row r="18" spans="1:5">
      <c r="A18" s="134" t="s">
        <v>115</v>
      </c>
      <c r="B18" s="135"/>
      <c r="C18" s="92"/>
      <c r="D18" s="92"/>
      <c r="E18" s="99"/>
    </row>
    <row r="19" spans="1:5">
      <c r="A19" s="134"/>
      <c r="B19" s="135"/>
      <c r="C19" s="92"/>
      <c r="D19" s="92"/>
      <c r="E19" s="99"/>
    </row>
    <row r="20" spans="1:5" s="74" customFormat="1">
      <c r="A20" s="140" t="s">
        <v>116</v>
      </c>
      <c r="B20" s="135">
        <f>SUM(B21:B31)</f>
        <v>252.50395722165669</v>
      </c>
      <c r="C20" s="139">
        <f>SUM(C21:C31)</f>
        <v>2.149937961184536</v>
      </c>
      <c r="D20" s="92">
        <f>SUM(D21:D31)</f>
        <v>5.980357210593402</v>
      </c>
      <c r="E20" s="99">
        <f t="shared" ref="E20:E28" si="0">(B20*1000000000)/$B$6</f>
        <v>1187.7857889968386</v>
      </c>
    </row>
    <row r="21" spans="1:5" ht="14.25">
      <c r="A21" s="151" t="s">
        <v>117</v>
      </c>
      <c r="B21" s="142">
        <f>'RD ESFERA'!B18</f>
        <v>149.83112801600001</v>
      </c>
      <c r="C21" s="143">
        <f t="shared" ref="C21:C28" si="1">+B21/B$5*100</f>
        <v>1.2757329961602284</v>
      </c>
      <c r="D21" s="144">
        <f t="shared" ref="D21:D28" si="2">+C21/C$7*100</f>
        <v>3.5486321745652916</v>
      </c>
      <c r="E21" s="104">
        <f t="shared" si="0"/>
        <v>704.80988323895872</v>
      </c>
    </row>
    <row r="22" spans="1:5" ht="14.25">
      <c r="A22" s="151" t="s">
        <v>118</v>
      </c>
      <c r="B22" s="142">
        <f>'RD ESFERA'!B19</f>
        <v>6.7654935690000002</v>
      </c>
      <c r="C22" s="143">
        <f t="shared" si="1"/>
        <v>5.7604607904716915E-2</v>
      </c>
      <c r="D22" s="144">
        <f t="shared" si="2"/>
        <v>0.16023538281847677</v>
      </c>
      <c r="E22" s="104">
        <f t="shared" si="0"/>
        <v>31.825073972022793</v>
      </c>
    </row>
    <row r="23" spans="1:5" ht="14.25">
      <c r="A23" s="151" t="s">
        <v>119</v>
      </c>
      <c r="B23" s="142">
        <f>'RD ESFERA'!B20</f>
        <v>3.6919629999999999E-3</v>
      </c>
      <c r="C23" s="143">
        <f t="shared" si="1"/>
        <v>3.1435116868370253E-5</v>
      </c>
      <c r="D23" s="144">
        <f t="shared" si="2"/>
        <v>8.7441233758218354E-5</v>
      </c>
      <c r="E23" s="104">
        <f t="shared" si="0"/>
        <v>1.7367098849277049E-2</v>
      </c>
    </row>
    <row r="24" spans="1:5" ht="14.25">
      <c r="A24" s="151" t="s">
        <v>120</v>
      </c>
      <c r="B24" s="142">
        <f>'RD ESFERA'!B21</f>
        <v>3</v>
      </c>
      <c r="C24" s="143">
        <f t="shared" si="1"/>
        <v>2.5543417039962418E-2</v>
      </c>
      <c r="D24" s="144">
        <f t="shared" si="2"/>
        <v>7.1052635488127888E-2</v>
      </c>
      <c r="E24" s="104">
        <f t="shared" si="0"/>
        <v>14.112085236994831</v>
      </c>
    </row>
    <row r="25" spans="1:5" ht="14.25">
      <c r="A25" s="151" t="s">
        <v>121</v>
      </c>
      <c r="B25" s="142">
        <f>'RD ESFERA'!B22</f>
        <v>36.667704139649992</v>
      </c>
      <c r="C25" s="143">
        <f t="shared" si="1"/>
        <v>0.31220615291234538</v>
      </c>
      <c r="D25" s="144">
        <f t="shared" si="2"/>
        <v>0.86844567214035617</v>
      </c>
      <c r="E25" s="104">
        <f t="shared" si="0"/>
        <v>172.48592208788298</v>
      </c>
    </row>
    <row r="26" spans="1:5" ht="14.25">
      <c r="A26" s="151" t="s">
        <v>122</v>
      </c>
      <c r="B26" s="142">
        <f>'RD ESFERA'!B23</f>
        <v>21.413814335006677</v>
      </c>
      <c r="C26" s="143">
        <f t="shared" si="1"/>
        <v>0.18232732999180035</v>
      </c>
      <c r="D26" s="144">
        <f t="shared" si="2"/>
        <v>0.50716931478522564</v>
      </c>
      <c r="E26" s="104">
        <f t="shared" si="0"/>
        <v>100.73119104826533</v>
      </c>
    </row>
    <row r="27" spans="1:5" ht="14.25">
      <c r="A27" s="151" t="s">
        <v>123</v>
      </c>
      <c r="B27" s="142">
        <f>'RD ESFERA'!B24</f>
        <v>0</v>
      </c>
      <c r="C27" s="143">
        <f t="shared" si="1"/>
        <v>0</v>
      </c>
      <c r="D27" s="144">
        <f t="shared" si="2"/>
        <v>0</v>
      </c>
      <c r="E27" s="104">
        <f t="shared" si="0"/>
        <v>0</v>
      </c>
    </row>
    <row r="28" spans="1:5" ht="14.25">
      <c r="A28" s="151" t="s">
        <v>124</v>
      </c>
      <c r="B28" s="142">
        <f>'RD ESFERA'!B25</f>
        <v>0.73765312999999999</v>
      </c>
      <c r="C28" s="143">
        <f t="shared" si="1"/>
        <v>6.2807271768078711E-3</v>
      </c>
      <c r="D28" s="144">
        <f t="shared" si="2"/>
        <v>1.7470732987522206E-2</v>
      </c>
      <c r="E28" s="104">
        <f t="shared" si="0"/>
        <v>3.469941281965343</v>
      </c>
    </row>
    <row r="29" spans="1:5" ht="14.25">
      <c r="A29" s="151" t="s">
        <v>125</v>
      </c>
      <c r="B29" s="142">
        <f>'RD ESFERA'!B26</f>
        <v>0</v>
      </c>
      <c r="C29" s="143">
        <f t="shared" ref="C29:C31" si="3">+B29/B$5*100</f>
        <v>0</v>
      </c>
      <c r="D29" s="144">
        <f t="shared" ref="D29:D31" si="4">+C29/C$7*100</f>
        <v>0</v>
      </c>
      <c r="E29" s="104">
        <f t="shared" ref="E29:E31" si="5">(B29*1000000000)/$B$6</f>
        <v>0</v>
      </c>
    </row>
    <row r="30" spans="1:5" ht="14.25">
      <c r="A30" s="151" t="s">
        <v>126</v>
      </c>
      <c r="B30" s="142">
        <f>'RD ESFERA'!B27</f>
        <v>0.67447999999999997</v>
      </c>
      <c r="C30" s="143">
        <f t="shared" si="3"/>
        <v>5.7428413083712836E-3</v>
      </c>
      <c r="D30" s="144">
        <f t="shared" si="4"/>
        <v>1.5974527194677499E-2</v>
      </c>
      <c r="E30" s="104">
        <f t="shared" si="5"/>
        <v>3.1727730835494246</v>
      </c>
    </row>
    <row r="31" spans="1:5" ht="14.25">
      <c r="A31" s="152" t="s">
        <v>127</v>
      </c>
      <c r="B31" s="142">
        <f>'RD ESFERA'!B28</f>
        <v>33.409992068999998</v>
      </c>
      <c r="C31" s="143">
        <f t="shared" si="3"/>
        <v>0.28446845357343459</v>
      </c>
      <c r="D31" s="144">
        <f t="shared" si="4"/>
        <v>0.79128932937996677</v>
      </c>
      <c r="E31" s="104">
        <f t="shared" si="5"/>
        <v>157.16155194834974</v>
      </c>
    </row>
    <row r="33" spans="1:5" s="74" customFormat="1">
      <c r="A33" s="140" t="s">
        <v>128</v>
      </c>
      <c r="B33" s="135">
        <f>SUM(B34:B42)</f>
        <v>306.13700640103002</v>
      </c>
      <c r="C33" s="139">
        <f>SUM(C34:C42)</f>
        <v>2.606595075289051</v>
      </c>
      <c r="D33" s="92">
        <f>SUM(D34:D42)</f>
        <v>7.2506137084130184</v>
      </c>
      <c r="E33" s="99">
        <f t="shared" ref="E33:E39" si="6">(B33*1000000000)/$B$6</f>
        <v>1440.0771761765893</v>
      </c>
    </row>
    <row r="34" spans="1:5" ht="14.25">
      <c r="A34" s="151" t="s">
        <v>129</v>
      </c>
      <c r="B34" s="142">
        <f>'RD ESFERA'!B31</f>
        <v>177.03413749000001</v>
      </c>
      <c r="C34" s="143">
        <f t="shared" ref="C34:C39" si="7">+B34/B$5*100</f>
        <v>1.5073522680723719</v>
      </c>
      <c r="D34" s="144">
        <f t="shared" ref="D34:D39" si="8">+C34/C$7*100</f>
        <v>4.1929140133440281</v>
      </c>
      <c r="E34" s="104">
        <f t="shared" si="6"/>
        <v>832.77361270558072</v>
      </c>
    </row>
    <row r="35" spans="1:5" ht="14.25">
      <c r="A35" s="151" t="s">
        <v>130</v>
      </c>
      <c r="B35" s="142">
        <f>'RD ESFERA'!B32</f>
        <v>2.5175990690000001</v>
      </c>
      <c r="C35" s="143">
        <f t="shared" si="7"/>
        <v>2.1436027652962708E-2</v>
      </c>
      <c r="D35" s="144">
        <f t="shared" si="8"/>
        <v>5.9627349651635714E-2</v>
      </c>
      <c r="E35" s="104">
        <f t="shared" si="6"/>
        <v>11.84285755143561</v>
      </c>
    </row>
    <row r="36" spans="1:5" ht="14.25">
      <c r="A36" s="151" t="s">
        <v>119</v>
      </c>
      <c r="B36" s="142">
        <f>'RD ESFERA'!B33</f>
        <v>8.6145690000000007E-3</v>
      </c>
      <c r="C36" s="143">
        <f t="shared" si="7"/>
        <v>7.3348509528844006E-5</v>
      </c>
      <c r="D36" s="144">
        <f t="shared" si="8"/>
        <v>2.0402927701477542E-4</v>
      </c>
      <c r="E36" s="104">
        <f t="shared" si="6"/>
        <v>4.052317733599111E-2</v>
      </c>
    </row>
    <row r="37" spans="1:5" ht="14.25">
      <c r="A37" s="151" t="s">
        <v>120</v>
      </c>
      <c r="B37" s="142">
        <f>'RD ESFERA'!B34</f>
        <v>0.98556337599999999</v>
      </c>
      <c r="C37" s="143">
        <f t="shared" si="7"/>
        <v>8.3915521108270975E-3</v>
      </c>
      <c r="D37" s="144">
        <f t="shared" si="8"/>
        <v>2.3342291768458912E-2</v>
      </c>
      <c r="E37" s="104">
        <f t="shared" si="6"/>
        <v>4.6361181228574617</v>
      </c>
    </row>
    <row r="38" spans="1:5" ht="14.25">
      <c r="A38" s="151" t="s">
        <v>121</v>
      </c>
      <c r="B38" s="142">
        <f>'RD ESFERA'!B35</f>
        <v>89.855047377030004</v>
      </c>
      <c r="C38" s="143">
        <f t="shared" si="7"/>
        <v>0.76506831609901949</v>
      </c>
      <c r="D38" s="144">
        <f t="shared" si="8"/>
        <v>2.1281459760161914</v>
      </c>
      <c r="E38" s="104">
        <f t="shared" si="6"/>
        <v>422.68069585295206</v>
      </c>
    </row>
    <row r="39" spans="1:5" ht="14.25">
      <c r="A39" s="151" t="s">
        <v>123</v>
      </c>
      <c r="B39" s="142">
        <f>'RD ESFERA'!B36</f>
        <v>0</v>
      </c>
      <c r="C39" s="143">
        <f t="shared" si="7"/>
        <v>0</v>
      </c>
      <c r="D39" s="144">
        <f t="shared" si="8"/>
        <v>0</v>
      </c>
      <c r="E39" s="104">
        <f t="shared" si="6"/>
        <v>0</v>
      </c>
    </row>
    <row r="40" spans="1:5" ht="14.25">
      <c r="A40" s="151" t="s">
        <v>124</v>
      </c>
      <c r="B40" s="142">
        <f>'RD ESFERA'!B37</f>
        <v>0.24155149200000001</v>
      </c>
      <c r="C40" s="143">
        <f t="shared" ref="C40:C42" si="9">+B40/B$5*100</f>
        <v>2.0566834989270487E-3</v>
      </c>
      <c r="D40" s="144">
        <f t="shared" ref="D40:D42" si="10">+C40/C$7*100</f>
        <v>5.7209567042298126E-3</v>
      </c>
      <c r="E40" s="104">
        <f t="shared" ref="E40:E42" si="11">(B40*1000000000)/$B$6</f>
        <v>1.1362650814090918</v>
      </c>
    </row>
    <row r="41" spans="1:5" ht="14.25">
      <c r="A41" s="151" t="s">
        <v>131</v>
      </c>
      <c r="B41" s="142">
        <f>'RD ESFERA'!B38</f>
        <v>0.31391649999999999</v>
      </c>
      <c r="C41" s="143">
        <f t="shared" si="9"/>
        <v>2.6728333584084543E-3</v>
      </c>
      <c r="D41" s="144">
        <f t="shared" si="10"/>
        <v>7.4348648827362983E-3</v>
      </c>
      <c r="E41" s="104">
        <f t="shared" si="11"/>
        <v>1.4766721350996961</v>
      </c>
    </row>
    <row r="42" spans="1:5" ht="14.25">
      <c r="A42" s="152" t="s">
        <v>132</v>
      </c>
      <c r="B42" s="142">
        <f>'RD ESFERA'!B39</f>
        <v>35.180576528000003</v>
      </c>
      <c r="C42" s="143">
        <f t="shared" si="9"/>
        <v>0.29954404598700574</v>
      </c>
      <c r="D42" s="144">
        <f t="shared" si="10"/>
        <v>0.8332242267687241</v>
      </c>
      <c r="E42" s="104">
        <f t="shared" si="11"/>
        <v>165.49043154991855</v>
      </c>
    </row>
    <row r="43" spans="1:5" ht="14.25">
      <c r="A43" s="151"/>
      <c r="B43" s="153"/>
      <c r="C43" s="154"/>
      <c r="D43" s="155"/>
      <c r="E43" s="104"/>
    </row>
    <row r="44" spans="1:5" s="74" customFormat="1">
      <c r="A44" s="140" t="s">
        <v>133</v>
      </c>
      <c r="B44" s="135">
        <f>SUM(B45:B48)</f>
        <v>316.37385365452002</v>
      </c>
      <c r="C44" s="139">
        <f>SUM(C45:C48)</f>
        <v>2.6937564281458144</v>
      </c>
      <c r="D44" s="92">
        <f>SUM(D45:D48)</f>
        <v>7.3558896219625201</v>
      </c>
      <c r="E44" s="99">
        <f t="shared" ref="E44:E49" si="12">(B44*1000000000)/$B$6</f>
        <v>1488.231596509705</v>
      </c>
    </row>
    <row r="45" spans="1:5" ht="14.25">
      <c r="A45" s="151" t="s">
        <v>134</v>
      </c>
      <c r="B45" s="142">
        <f>'RD ESFERA'!B42</f>
        <v>161.08285906801501</v>
      </c>
      <c r="C45" s="143">
        <f>+B45/B$5*100</f>
        <v>1.3715355490545997</v>
      </c>
      <c r="D45" s="144">
        <f>SUM(D46:D48)</f>
        <v>3.67794481098126</v>
      </c>
      <c r="E45" s="104">
        <f t="shared" si="12"/>
        <v>757.73834579555125</v>
      </c>
    </row>
    <row r="46" spans="1:5" ht="14.25">
      <c r="A46" s="151" t="s">
        <v>135</v>
      </c>
      <c r="B46" s="142">
        <f>'RD ESFERA'!B43</f>
        <v>43.766560836304997</v>
      </c>
      <c r="C46" s="143">
        <f>+B46/B$5*100</f>
        <v>0.37264917194887498</v>
      </c>
      <c r="D46" s="144">
        <f>+C46/C$7*100</f>
        <v>1.0365764978903176</v>
      </c>
      <c r="E46" s="104">
        <f t="shared" si="12"/>
        <v>205.87914568401865</v>
      </c>
    </row>
    <row r="47" spans="1:5" ht="14.25">
      <c r="A47" s="151" t="s">
        <v>136</v>
      </c>
      <c r="B47" s="142">
        <f>'RD ESFERA'!B44</f>
        <v>1.6913733922500001</v>
      </c>
      <c r="C47" s="143">
        <f>+B47/B$5*100</f>
        <v>1.4401151976179229E-2</v>
      </c>
      <c r="D47" s="144">
        <f>+C47/C$7*100</f>
        <v>4.0058845704619192E-2</v>
      </c>
      <c r="E47" s="104">
        <f t="shared" si="12"/>
        <v>7.9562684930056982</v>
      </c>
    </row>
    <row r="48" spans="1:5" ht="14.25">
      <c r="A48" s="151" t="s">
        <v>121</v>
      </c>
      <c r="B48" s="142">
        <f>'RD ESFERA'!B45</f>
        <v>109.83306035795</v>
      </c>
      <c r="C48" s="143">
        <f>+B48/B$5*100</f>
        <v>0.93517055516616032</v>
      </c>
      <c r="D48" s="144">
        <f>+C48/C$7*100</f>
        <v>2.6013094673863235</v>
      </c>
      <c r="E48" s="104">
        <f t="shared" si="12"/>
        <v>516.65783653712947</v>
      </c>
    </row>
    <row r="49" spans="1:5" ht="15" thickBot="1">
      <c r="A49" s="156" t="s">
        <v>126</v>
      </c>
      <c r="B49" s="157">
        <f>'RD ESFERA'!B46</f>
        <v>0.16861999999999999</v>
      </c>
      <c r="C49" s="158">
        <f>+B49/B$5*100</f>
        <v>1.4357103270928209E-3</v>
      </c>
      <c r="D49" s="159">
        <f>+C49/C$7*100</f>
        <v>3.9936317986693746E-3</v>
      </c>
      <c r="E49" s="108">
        <f t="shared" si="12"/>
        <v>0.79319327088735614</v>
      </c>
    </row>
    <row r="50" spans="1:5">
      <c r="A50" s="50" t="s">
        <v>143</v>
      </c>
      <c r="B50" s="84"/>
      <c r="C50" s="84"/>
      <c r="D50" s="84"/>
      <c r="E50" s="84"/>
    </row>
    <row r="51" spans="1:5">
      <c r="A51" s="50" t="s">
        <v>144</v>
      </c>
      <c r="B51" s="84"/>
      <c r="C51" s="84"/>
      <c r="D51" s="84"/>
      <c r="E51" s="84"/>
    </row>
    <row r="52" spans="1:5">
      <c r="A52" s="50" t="s">
        <v>145</v>
      </c>
      <c r="B52" s="84"/>
      <c r="C52" s="84"/>
      <c r="D52" s="84"/>
      <c r="E52" s="84"/>
    </row>
    <row r="53" spans="1:5">
      <c r="A53" s="50" t="s">
        <v>146</v>
      </c>
      <c r="B53" s="84"/>
      <c r="C53" s="84"/>
      <c r="D53" s="84"/>
      <c r="E53" s="84"/>
    </row>
    <row r="54" spans="1:5">
      <c r="A54" s="50" t="s">
        <v>147</v>
      </c>
      <c r="B54" s="84"/>
      <c r="C54" s="84"/>
      <c r="D54" s="84"/>
      <c r="E54" s="84"/>
    </row>
    <row r="55" spans="1:5">
      <c r="A55" s="50" t="s">
        <v>148</v>
      </c>
      <c r="B55" s="84"/>
      <c r="C55" s="84"/>
      <c r="D55" s="84"/>
      <c r="E55" s="84"/>
    </row>
    <row r="56" spans="1:5">
      <c r="A56" s="50" t="s">
        <v>149</v>
      </c>
      <c r="B56" s="84"/>
      <c r="C56" s="84"/>
      <c r="D56" s="84"/>
      <c r="E56" s="84"/>
    </row>
  </sheetData>
  <mergeCells count="2">
    <mergeCell ref="A3:A4"/>
    <mergeCell ref="B3:E3"/>
  </mergeCells>
  <phoneticPr fontId="0" type="noConversion"/>
  <pageMargins left="0.75" right="0.75" top="1" bottom="1" header="0.49212598499999999" footer="0.49212598499999999"/>
  <pageSetup paperSize="9" orientation="portrait" horizontalDpi="4294967292" verticalDpi="4294967292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D91"/>
  <sheetViews>
    <sheetView workbookViewId="0">
      <selection activeCell="E1" sqref="A1:E1048576"/>
    </sheetView>
  </sheetViews>
  <sheetFormatPr defaultColWidth="8.85546875" defaultRowHeight="14.25"/>
  <cols>
    <col min="1" max="1" width="8.85546875" style="7"/>
    <col min="2" max="2" width="70.42578125" style="7" customWidth="1"/>
    <col min="3" max="3" width="17.28515625" style="7" customWidth="1"/>
    <col min="4" max="16384" width="8.85546875" style="7"/>
  </cols>
  <sheetData>
    <row r="2" spans="1:4">
      <c r="A2" s="286" t="s">
        <v>150</v>
      </c>
      <c r="B2" s="286" t="s">
        <v>151</v>
      </c>
      <c r="C2" s="287">
        <v>77503108906.559998</v>
      </c>
      <c r="D2" s="256">
        <f>C2/1000000000</f>
        <v>77.503108906560001</v>
      </c>
    </row>
    <row r="3" spans="1:4">
      <c r="A3" s="188" t="s">
        <v>152</v>
      </c>
      <c r="B3" s="188" t="s">
        <v>153</v>
      </c>
      <c r="C3" s="189">
        <v>233610237.47000003</v>
      </c>
      <c r="D3" s="241">
        <f t="shared" ref="D3:D66" si="0">C3/1000000000</f>
        <v>0.23361023747000004</v>
      </c>
    </row>
    <row r="4" spans="1:4">
      <c r="A4" s="188" t="s">
        <v>154</v>
      </c>
      <c r="B4" s="188" t="s">
        <v>155</v>
      </c>
      <c r="C4" s="189">
        <v>-8834799.4299999978</v>
      </c>
      <c r="D4" s="241">
        <f t="shared" si="0"/>
        <v>-8.8347994299999982E-3</v>
      </c>
    </row>
    <row r="5" spans="1:4">
      <c r="A5" s="188" t="s">
        <v>156</v>
      </c>
      <c r="B5" s="188" t="s">
        <v>157</v>
      </c>
      <c r="C5" s="189">
        <v>6292210.080000001</v>
      </c>
      <c r="D5" s="241">
        <f t="shared" si="0"/>
        <v>6.2922100800000009E-3</v>
      </c>
    </row>
    <row r="6" spans="1:4">
      <c r="A6" s="188" t="s">
        <v>158</v>
      </c>
      <c r="B6" s="188" t="s">
        <v>159</v>
      </c>
      <c r="C6" s="189">
        <v>15143751.540000001</v>
      </c>
      <c r="D6" s="241">
        <f t="shared" si="0"/>
        <v>1.5143751540000002E-2</v>
      </c>
    </row>
    <row r="7" spans="1:4">
      <c r="A7" s="286" t="s">
        <v>160</v>
      </c>
      <c r="B7" s="286" t="s">
        <v>161</v>
      </c>
      <c r="C7" s="287">
        <v>4224369.26</v>
      </c>
      <c r="D7" s="256">
        <f t="shared" si="0"/>
        <v>4.2243692599999993E-3</v>
      </c>
    </row>
    <row r="8" spans="1:4">
      <c r="A8" s="188" t="s">
        <v>162</v>
      </c>
      <c r="B8" s="188" t="s">
        <v>163</v>
      </c>
      <c r="C8" s="189">
        <v>-168368.08000000005</v>
      </c>
      <c r="D8" s="241">
        <f t="shared" si="0"/>
        <v>-1.6836808000000004E-4</v>
      </c>
    </row>
    <row r="9" spans="1:4">
      <c r="A9" s="188" t="s">
        <v>164</v>
      </c>
      <c r="B9" s="188" t="s">
        <v>165</v>
      </c>
      <c r="C9" s="189">
        <v>1612783.0900000003</v>
      </c>
      <c r="D9" s="241">
        <f t="shared" si="0"/>
        <v>1.6127830900000003E-3</v>
      </c>
    </row>
    <row r="10" spans="1:4">
      <c r="A10" s="188" t="s">
        <v>166</v>
      </c>
      <c r="B10" s="188" t="s">
        <v>167</v>
      </c>
      <c r="C10" s="189">
        <v>383560.43</v>
      </c>
      <c r="D10" s="241">
        <f t="shared" si="0"/>
        <v>3.8356042999999998E-4</v>
      </c>
    </row>
    <row r="11" spans="1:4">
      <c r="A11" s="188" t="s">
        <v>168</v>
      </c>
      <c r="B11" s="188" t="s">
        <v>169</v>
      </c>
      <c r="C11" s="189">
        <v>7049841.790000001</v>
      </c>
      <c r="D11" s="241">
        <f t="shared" si="0"/>
        <v>7.0498417900000006E-3</v>
      </c>
    </row>
    <row r="12" spans="1:4">
      <c r="A12" s="210" t="s">
        <v>170</v>
      </c>
      <c r="B12" s="210" t="s">
        <v>171</v>
      </c>
      <c r="C12" s="211">
        <v>2592383191.5200005</v>
      </c>
      <c r="D12" s="246">
        <f t="shared" si="0"/>
        <v>2.5923831915200006</v>
      </c>
    </row>
    <row r="13" spans="1:4">
      <c r="A13" s="188" t="s">
        <v>172</v>
      </c>
      <c r="B13" s="188" t="s">
        <v>173</v>
      </c>
      <c r="C13" s="189">
        <v>168004207.46000001</v>
      </c>
      <c r="D13" s="241">
        <f t="shared" si="0"/>
        <v>0.16800420746</v>
      </c>
    </row>
    <row r="14" spans="1:4">
      <c r="A14" s="210" t="s">
        <v>174</v>
      </c>
      <c r="B14" s="210" t="s">
        <v>175</v>
      </c>
      <c r="C14" s="211">
        <v>653136217.13</v>
      </c>
      <c r="D14" s="246">
        <f t="shared" si="0"/>
        <v>0.65313621713000003</v>
      </c>
    </row>
    <row r="15" spans="1:4">
      <c r="A15" s="188" t="s">
        <v>176</v>
      </c>
      <c r="B15" s="188" t="s">
        <v>177</v>
      </c>
      <c r="C15" s="189">
        <v>68974506.269999996</v>
      </c>
      <c r="D15" s="241">
        <f t="shared" si="0"/>
        <v>6.8974506269999999E-2</v>
      </c>
    </row>
    <row r="16" spans="1:4">
      <c r="A16" s="188" t="s">
        <v>178</v>
      </c>
      <c r="B16" s="188" t="s">
        <v>179</v>
      </c>
      <c r="C16" s="189">
        <v>4551688.1899999995</v>
      </c>
      <c r="D16" s="241">
        <f t="shared" si="0"/>
        <v>4.5516881899999992E-3</v>
      </c>
    </row>
    <row r="17" spans="1:4">
      <c r="A17" s="188" t="s">
        <v>180</v>
      </c>
      <c r="B17" s="188" t="s">
        <v>181</v>
      </c>
      <c r="C17" s="189">
        <v>2718460.6300000004</v>
      </c>
      <c r="D17" s="241">
        <f t="shared" si="0"/>
        <v>2.7184606300000003E-3</v>
      </c>
    </row>
    <row r="18" spans="1:4">
      <c r="A18" s="188" t="s">
        <v>182</v>
      </c>
      <c r="B18" s="188" t="s">
        <v>183</v>
      </c>
      <c r="C18" s="189">
        <v>2995787.1399999997</v>
      </c>
      <c r="D18" s="241">
        <f t="shared" si="0"/>
        <v>2.9957871399999996E-3</v>
      </c>
    </row>
    <row r="19" spans="1:4">
      <c r="A19" s="288" t="s">
        <v>184</v>
      </c>
      <c r="B19" s="288" t="s">
        <v>185</v>
      </c>
      <c r="C19" s="289">
        <v>65565819896.349998</v>
      </c>
      <c r="D19" s="257">
        <f t="shared" si="0"/>
        <v>65.565819896349993</v>
      </c>
    </row>
    <row r="20" spans="1:4">
      <c r="A20" s="188" t="s">
        <v>186</v>
      </c>
      <c r="B20" s="188" t="s">
        <v>187</v>
      </c>
      <c r="C20" s="189">
        <v>3265549250.6700001</v>
      </c>
      <c r="D20" s="241">
        <f t="shared" si="0"/>
        <v>3.2655492506699999</v>
      </c>
    </row>
    <row r="21" spans="1:4">
      <c r="A21" s="188" t="s">
        <v>188</v>
      </c>
      <c r="B21" s="188" t="s">
        <v>189</v>
      </c>
      <c r="C21" s="189">
        <v>1182479253.1600001</v>
      </c>
      <c r="D21" s="241">
        <f t="shared" si="0"/>
        <v>1.1824792531600001</v>
      </c>
    </row>
    <row r="22" spans="1:4">
      <c r="A22" s="188" t="s">
        <v>190</v>
      </c>
      <c r="B22" s="188" t="s">
        <v>191</v>
      </c>
      <c r="C22" s="189">
        <v>364948819.51000005</v>
      </c>
      <c r="D22" s="241">
        <f t="shared" si="0"/>
        <v>0.36494881951000008</v>
      </c>
    </row>
    <row r="23" spans="1:4">
      <c r="A23" s="188" t="s">
        <v>192</v>
      </c>
      <c r="B23" s="188" t="s">
        <v>193</v>
      </c>
      <c r="C23" s="189">
        <v>644778309.06999993</v>
      </c>
      <c r="D23" s="241">
        <f t="shared" si="0"/>
        <v>0.64477830906999989</v>
      </c>
    </row>
    <row r="24" spans="1:4">
      <c r="A24" s="290" t="s">
        <v>194</v>
      </c>
      <c r="B24" s="290" t="s">
        <v>195</v>
      </c>
      <c r="C24" s="291">
        <v>267714615261.92999</v>
      </c>
      <c r="D24" s="258">
        <f t="shared" si="0"/>
        <v>267.71461526193002</v>
      </c>
    </row>
    <row r="25" spans="1:4">
      <c r="A25" s="188" t="s">
        <v>196</v>
      </c>
      <c r="B25" s="188" t="s">
        <v>197</v>
      </c>
      <c r="C25" s="189">
        <v>5993379919.4599991</v>
      </c>
      <c r="D25" s="241">
        <f t="shared" si="0"/>
        <v>5.9933799194599988</v>
      </c>
    </row>
    <row r="26" spans="1:4">
      <c r="A26" s="188" t="s">
        <v>198</v>
      </c>
      <c r="B26" s="188" t="s">
        <v>199</v>
      </c>
      <c r="C26" s="189">
        <v>4834010945.8800001</v>
      </c>
      <c r="D26" s="241">
        <f t="shared" si="0"/>
        <v>4.8340109458800002</v>
      </c>
    </row>
    <row r="27" spans="1:4">
      <c r="A27" s="188" t="s">
        <v>200</v>
      </c>
      <c r="B27" s="188" t="s">
        <v>201</v>
      </c>
      <c r="C27" s="189">
        <v>535810502.37</v>
      </c>
      <c r="D27" s="241">
        <f t="shared" si="0"/>
        <v>0.53581050237000005</v>
      </c>
    </row>
    <row r="28" spans="1:4">
      <c r="A28" s="188" t="s">
        <v>202</v>
      </c>
      <c r="B28" s="188" t="s">
        <v>203</v>
      </c>
      <c r="C28" s="189">
        <v>1349296495.75</v>
      </c>
      <c r="D28" s="241">
        <f t="shared" si="0"/>
        <v>1.34929649575</v>
      </c>
    </row>
    <row r="29" spans="1:4">
      <c r="A29" s="292" t="s">
        <v>204</v>
      </c>
      <c r="B29" s="292" t="s">
        <v>205</v>
      </c>
      <c r="C29" s="237">
        <v>184456661309.48001</v>
      </c>
      <c r="D29" s="239">
        <f t="shared" si="0"/>
        <v>184.45666130948001</v>
      </c>
    </row>
    <row r="30" spans="1:4">
      <c r="A30" s="188" t="s">
        <v>206</v>
      </c>
      <c r="B30" s="188" t="s">
        <v>207</v>
      </c>
      <c r="C30" s="189">
        <v>1333510450.6399999</v>
      </c>
      <c r="D30" s="241">
        <f t="shared" si="0"/>
        <v>1.33351045064</v>
      </c>
    </row>
    <row r="31" spans="1:4">
      <c r="A31" s="188" t="s">
        <v>208</v>
      </c>
      <c r="B31" s="188" t="s">
        <v>209</v>
      </c>
      <c r="C31" s="189">
        <v>101614876.96000001</v>
      </c>
      <c r="D31" s="241">
        <f t="shared" si="0"/>
        <v>0.10161487696</v>
      </c>
    </row>
    <row r="32" spans="1:4">
      <c r="A32" s="188" t="s">
        <v>210</v>
      </c>
      <c r="B32" s="188" t="s">
        <v>211</v>
      </c>
      <c r="C32" s="189">
        <v>259282112.49000007</v>
      </c>
      <c r="D32" s="241">
        <f t="shared" si="0"/>
        <v>0.25928211249000005</v>
      </c>
    </row>
    <row r="33" spans="1:4">
      <c r="A33" s="292" t="s">
        <v>212</v>
      </c>
      <c r="B33" s="292" t="s">
        <v>213</v>
      </c>
      <c r="C33" s="237">
        <v>147041582392.20999</v>
      </c>
      <c r="D33" s="239">
        <f t="shared" si="0"/>
        <v>147.04158239220999</v>
      </c>
    </row>
    <row r="34" spans="1:4">
      <c r="A34" s="292" t="s">
        <v>214</v>
      </c>
      <c r="B34" s="292" t="s">
        <v>215</v>
      </c>
      <c r="C34" s="237">
        <v>79831190886.229996</v>
      </c>
      <c r="D34" s="239">
        <f t="shared" si="0"/>
        <v>79.83119088622999</v>
      </c>
    </row>
    <row r="35" spans="1:4">
      <c r="A35" s="292" t="s">
        <v>216</v>
      </c>
      <c r="B35" s="292" t="s">
        <v>217</v>
      </c>
      <c r="C35" s="237">
        <v>19940463208.389999</v>
      </c>
      <c r="D35" s="239">
        <f t="shared" si="0"/>
        <v>19.94046320839</v>
      </c>
    </row>
    <row r="36" spans="1:4">
      <c r="A36" s="188" t="s">
        <v>218</v>
      </c>
      <c r="B36" s="188" t="s">
        <v>219</v>
      </c>
      <c r="C36" s="189">
        <v>735621688.36000001</v>
      </c>
      <c r="D36" s="241">
        <f t="shared" si="0"/>
        <v>0.73562168835999997</v>
      </c>
    </row>
    <row r="37" spans="1:4">
      <c r="A37" s="293" t="s">
        <v>220</v>
      </c>
      <c r="B37" s="293" t="s">
        <v>221</v>
      </c>
      <c r="C37" s="294">
        <v>8160530268.9800005</v>
      </c>
      <c r="D37" s="259">
        <f t="shared" si="0"/>
        <v>8.1605302689800006</v>
      </c>
    </row>
    <row r="38" spans="1:4">
      <c r="A38" s="188" t="s">
        <v>222</v>
      </c>
      <c r="B38" s="188" t="s">
        <v>223</v>
      </c>
      <c r="C38" s="189">
        <v>506728.53999999992</v>
      </c>
      <c r="D38" s="241">
        <f t="shared" si="0"/>
        <v>5.0672853999999992E-4</v>
      </c>
    </row>
    <row r="39" spans="1:4">
      <c r="A39" s="293" t="s">
        <v>224</v>
      </c>
      <c r="B39" s="293" t="s">
        <v>225</v>
      </c>
      <c r="C39" s="294">
        <v>3341088394.3700004</v>
      </c>
      <c r="D39" s="259">
        <f t="shared" si="0"/>
        <v>3.3410883943700003</v>
      </c>
    </row>
    <row r="40" spans="1:4">
      <c r="A40" s="293" t="s">
        <v>226</v>
      </c>
      <c r="B40" s="293" t="s">
        <v>227</v>
      </c>
      <c r="C40" s="294">
        <v>8623157216.4000015</v>
      </c>
      <c r="D40" s="259">
        <f t="shared" si="0"/>
        <v>8.623157216400001</v>
      </c>
    </row>
    <row r="41" spans="1:4">
      <c r="A41" s="293" t="s">
        <v>228</v>
      </c>
      <c r="B41" s="293" t="s">
        <v>229</v>
      </c>
      <c r="C41" s="294">
        <v>29621167074.620003</v>
      </c>
      <c r="D41" s="259">
        <f t="shared" si="0"/>
        <v>29.621167074620004</v>
      </c>
    </row>
    <row r="42" spans="1:4">
      <c r="A42" s="188" t="s">
        <v>230</v>
      </c>
      <c r="B42" s="188" t="s">
        <v>231</v>
      </c>
      <c r="C42" s="189">
        <v>87700577.550000012</v>
      </c>
      <c r="D42" s="241">
        <f t="shared" si="0"/>
        <v>8.7700577550000006E-2</v>
      </c>
    </row>
    <row r="43" spans="1:4">
      <c r="A43" s="293" t="s">
        <v>232</v>
      </c>
      <c r="B43" s="293" t="s">
        <v>233</v>
      </c>
      <c r="C43" s="294">
        <v>32428036167.23</v>
      </c>
      <c r="D43" s="259">
        <f t="shared" si="0"/>
        <v>32.428036167229997</v>
      </c>
    </row>
    <row r="44" spans="1:4">
      <c r="A44" s="188" t="s">
        <v>234</v>
      </c>
      <c r="B44" s="188" t="s">
        <v>235</v>
      </c>
      <c r="C44" s="189">
        <v>776803893.76999998</v>
      </c>
      <c r="D44" s="241">
        <f t="shared" si="0"/>
        <v>0.77680389377000003</v>
      </c>
    </row>
    <row r="45" spans="1:4">
      <c r="A45" s="188" t="s">
        <v>236</v>
      </c>
      <c r="B45" s="188" t="s">
        <v>237</v>
      </c>
      <c r="C45" s="189">
        <v>894557459.05000019</v>
      </c>
      <c r="D45" s="241">
        <f t="shared" si="0"/>
        <v>0.89455745905000017</v>
      </c>
    </row>
    <row r="46" spans="1:4">
      <c r="A46" s="188" t="s">
        <v>238</v>
      </c>
      <c r="B46" s="188" t="s">
        <v>239</v>
      </c>
      <c r="C46" s="189">
        <v>116998815.08000001</v>
      </c>
      <c r="D46" s="241">
        <f t="shared" si="0"/>
        <v>0.11699881508000001</v>
      </c>
    </row>
    <row r="47" spans="1:4">
      <c r="A47" s="188" t="s">
        <v>240</v>
      </c>
      <c r="B47" s="188" t="s">
        <v>241</v>
      </c>
      <c r="C47" s="189">
        <v>322791015.22000003</v>
      </c>
      <c r="D47" s="241">
        <f t="shared" si="0"/>
        <v>0.32279101522000003</v>
      </c>
    </row>
    <row r="48" spans="1:4">
      <c r="A48" s="295" t="s">
        <v>242</v>
      </c>
      <c r="B48" s="295" t="s">
        <v>243</v>
      </c>
      <c r="C48" s="296">
        <v>21946486.869999997</v>
      </c>
      <c r="D48" s="260">
        <f t="shared" si="0"/>
        <v>2.1946486869999997E-2</v>
      </c>
    </row>
    <row r="49" spans="1:4">
      <c r="A49" s="188" t="s">
        <v>244</v>
      </c>
      <c r="B49" s="188" t="s">
        <v>245</v>
      </c>
      <c r="C49" s="189">
        <v>332801.74</v>
      </c>
      <c r="D49" s="241">
        <f t="shared" si="0"/>
        <v>3.3280174E-4</v>
      </c>
    </row>
    <row r="50" spans="1:4">
      <c r="A50" s="295" t="s">
        <v>246</v>
      </c>
      <c r="B50" s="295" t="s">
        <v>247</v>
      </c>
      <c r="C50" s="296">
        <v>67380283110.409988</v>
      </c>
      <c r="D50" s="260">
        <f t="shared" si="0"/>
        <v>67.380283110409991</v>
      </c>
    </row>
    <row r="51" spans="1:4">
      <c r="A51" s="188" t="s">
        <v>248</v>
      </c>
      <c r="B51" s="188" t="s">
        <v>249</v>
      </c>
      <c r="C51" s="189">
        <v>254456335.98000002</v>
      </c>
      <c r="D51" s="241">
        <f t="shared" si="0"/>
        <v>0.25445633598</v>
      </c>
    </row>
    <row r="52" spans="1:4">
      <c r="A52" s="188" t="s">
        <v>250</v>
      </c>
      <c r="B52" s="188" t="s">
        <v>251</v>
      </c>
      <c r="C52" s="189">
        <v>53746681.850000001</v>
      </c>
      <c r="D52" s="241">
        <f t="shared" si="0"/>
        <v>5.3746681849999998E-2</v>
      </c>
    </row>
    <row r="53" spans="1:4">
      <c r="A53" s="188" t="s">
        <v>252</v>
      </c>
      <c r="B53" s="188" t="s">
        <v>253</v>
      </c>
      <c r="C53" s="189">
        <v>13201621.65</v>
      </c>
      <c r="D53" s="241">
        <f t="shared" si="0"/>
        <v>1.320162165E-2</v>
      </c>
    </row>
    <row r="54" spans="1:4">
      <c r="A54" s="188" t="s">
        <v>254</v>
      </c>
      <c r="B54" s="188" t="s">
        <v>255</v>
      </c>
      <c r="C54" s="189">
        <v>24502030.760000002</v>
      </c>
      <c r="D54" s="241">
        <f t="shared" si="0"/>
        <v>2.4502030760000001E-2</v>
      </c>
    </row>
    <row r="55" spans="1:4">
      <c r="A55" s="188" t="s">
        <v>256</v>
      </c>
      <c r="B55" s="188" t="s">
        <v>257</v>
      </c>
      <c r="C55" s="189">
        <v>1263163.3</v>
      </c>
      <c r="D55" s="241">
        <f t="shared" si="0"/>
        <v>1.2631633E-3</v>
      </c>
    </row>
    <row r="56" spans="1:4">
      <c r="A56" s="188" t="s">
        <v>258</v>
      </c>
      <c r="B56" s="188" t="s">
        <v>259</v>
      </c>
      <c r="C56" s="189">
        <v>40393.909999999996</v>
      </c>
      <c r="D56" s="241">
        <f t="shared" si="0"/>
        <v>4.0393909999999994E-5</v>
      </c>
    </row>
    <row r="57" spans="1:4">
      <c r="A57" s="188" t="s">
        <v>260</v>
      </c>
      <c r="B57" s="188" t="s">
        <v>261</v>
      </c>
      <c r="C57" s="189">
        <v>110504.56</v>
      </c>
      <c r="D57" s="241">
        <f t="shared" si="0"/>
        <v>1.1050456E-4</v>
      </c>
    </row>
    <row r="58" spans="1:4">
      <c r="A58" s="188"/>
      <c r="B58" s="188"/>
      <c r="C58" s="189">
        <v>0</v>
      </c>
      <c r="D58" s="241">
        <f t="shared" si="0"/>
        <v>0</v>
      </c>
    </row>
    <row r="59" spans="1:4">
      <c r="A59" s="188"/>
      <c r="B59" s="190" t="s">
        <v>262</v>
      </c>
      <c r="C59" s="191">
        <f>SUM(C60:C90)</f>
        <v>9443715410.2999992</v>
      </c>
      <c r="D59" s="245">
        <f t="shared" si="0"/>
        <v>9.4437154102999994</v>
      </c>
    </row>
    <row r="60" spans="1:4">
      <c r="A60" s="188" t="s">
        <v>263</v>
      </c>
      <c r="B60" s="188" t="s">
        <v>264</v>
      </c>
      <c r="C60" s="189">
        <v>5810899036.4299984</v>
      </c>
      <c r="D60" s="241">
        <f t="shared" si="0"/>
        <v>5.8108990364299986</v>
      </c>
    </row>
    <row r="61" spans="1:4">
      <c r="A61" s="188" t="s">
        <v>265</v>
      </c>
      <c r="B61" s="188" t="s">
        <v>266</v>
      </c>
      <c r="C61" s="189">
        <v>2065280.04</v>
      </c>
      <c r="D61" s="241">
        <f t="shared" si="0"/>
        <v>2.0652800399999999E-3</v>
      </c>
    </row>
    <row r="62" spans="1:4">
      <c r="A62" s="188" t="s">
        <v>267</v>
      </c>
      <c r="B62" s="188" t="s">
        <v>268</v>
      </c>
      <c r="C62" s="189">
        <v>48720230.180000007</v>
      </c>
      <c r="D62" s="241">
        <f t="shared" si="0"/>
        <v>4.8720230180000004E-2</v>
      </c>
    </row>
    <row r="63" spans="1:4">
      <c r="A63" s="188" t="s">
        <v>269</v>
      </c>
      <c r="B63" s="188" t="s">
        <v>270</v>
      </c>
      <c r="C63" s="189">
        <v>124859.7</v>
      </c>
      <c r="D63" s="241">
        <f t="shared" si="0"/>
        <v>1.248597E-4</v>
      </c>
    </row>
    <row r="64" spans="1:4">
      <c r="A64" s="188" t="s">
        <v>271</v>
      </c>
      <c r="B64" s="188" t="s">
        <v>272</v>
      </c>
      <c r="C64" s="189">
        <v>94195952.969999999</v>
      </c>
      <c r="D64" s="241">
        <f t="shared" si="0"/>
        <v>9.4195952969999996E-2</v>
      </c>
    </row>
    <row r="65" spans="1:4">
      <c r="A65" s="188" t="s">
        <v>273</v>
      </c>
      <c r="B65" s="188" t="s">
        <v>274</v>
      </c>
      <c r="C65" s="189">
        <v>460413.18000000005</v>
      </c>
      <c r="D65" s="241">
        <f t="shared" si="0"/>
        <v>4.6041318000000005E-4</v>
      </c>
    </row>
    <row r="66" spans="1:4">
      <c r="A66" s="188" t="s">
        <v>275</v>
      </c>
      <c r="B66" s="188" t="s">
        <v>276</v>
      </c>
      <c r="C66" s="189">
        <v>12336.289999999997</v>
      </c>
      <c r="D66" s="241">
        <f t="shared" si="0"/>
        <v>1.2336289999999997E-5</v>
      </c>
    </row>
    <row r="67" spans="1:4">
      <c r="A67" s="188" t="s">
        <v>277</v>
      </c>
      <c r="B67" s="188" t="s">
        <v>278</v>
      </c>
      <c r="C67" s="189">
        <v>763460765.17999995</v>
      </c>
      <c r="D67" s="241">
        <f t="shared" ref="D67:D90" si="1">C67/1000000000</f>
        <v>0.76346076517999995</v>
      </c>
    </row>
    <row r="68" spans="1:4">
      <c r="A68" s="188" t="s">
        <v>279</v>
      </c>
      <c r="B68" s="188" t="s">
        <v>280</v>
      </c>
      <c r="C68" s="189">
        <v>2144470.0499999998</v>
      </c>
      <c r="D68" s="241">
        <f t="shared" si="1"/>
        <v>2.1444700499999997E-3</v>
      </c>
    </row>
    <row r="69" spans="1:4">
      <c r="A69" s="188" t="s">
        <v>281</v>
      </c>
      <c r="B69" s="188" t="s">
        <v>282</v>
      </c>
      <c r="C69" s="189">
        <v>45809.45</v>
      </c>
      <c r="D69" s="241">
        <f t="shared" si="1"/>
        <v>4.5809449999999999E-5</v>
      </c>
    </row>
    <row r="70" spans="1:4">
      <c r="A70" s="188" t="s">
        <v>283</v>
      </c>
      <c r="B70" s="188" t="s">
        <v>284</v>
      </c>
      <c r="C70" s="189">
        <v>7402469.3600000003</v>
      </c>
      <c r="D70" s="241">
        <f t="shared" si="1"/>
        <v>7.4024693600000004E-3</v>
      </c>
    </row>
    <row r="71" spans="1:4">
      <c r="A71" s="188" t="s">
        <v>285</v>
      </c>
      <c r="B71" s="188" t="s">
        <v>286</v>
      </c>
      <c r="C71" s="189">
        <v>0</v>
      </c>
      <c r="D71" s="241">
        <f t="shared" si="1"/>
        <v>0</v>
      </c>
    </row>
    <row r="72" spans="1:4">
      <c r="A72" s="188" t="s">
        <v>287</v>
      </c>
      <c r="B72" s="188" t="s">
        <v>288</v>
      </c>
      <c r="C72" s="189">
        <v>6579184.1799999997</v>
      </c>
      <c r="D72" s="241">
        <f t="shared" si="1"/>
        <v>6.5791841799999994E-3</v>
      </c>
    </row>
    <row r="73" spans="1:4">
      <c r="A73" s="188" t="s">
        <v>289</v>
      </c>
      <c r="B73" s="188" t="s">
        <v>290</v>
      </c>
      <c r="C73" s="189"/>
      <c r="D73" s="241">
        <f t="shared" si="1"/>
        <v>0</v>
      </c>
    </row>
    <row r="74" spans="1:4">
      <c r="A74" s="188" t="s">
        <v>291</v>
      </c>
      <c r="B74" s="188" t="s">
        <v>292</v>
      </c>
      <c r="C74" s="189">
        <v>528414448.56</v>
      </c>
      <c r="D74" s="241">
        <f t="shared" si="1"/>
        <v>0.52841444855999997</v>
      </c>
    </row>
    <row r="75" spans="1:4">
      <c r="A75" s="188" t="s">
        <v>293</v>
      </c>
      <c r="B75" s="188" t="s">
        <v>294</v>
      </c>
      <c r="C75" s="189">
        <v>107.84</v>
      </c>
      <c r="D75" s="241">
        <f t="shared" si="1"/>
        <v>1.0784E-7</v>
      </c>
    </row>
    <row r="76" spans="1:4">
      <c r="A76" s="188" t="s">
        <v>295</v>
      </c>
      <c r="B76" s="188" t="s">
        <v>296</v>
      </c>
      <c r="C76" s="189">
        <v>27345027.949999996</v>
      </c>
      <c r="D76" s="241">
        <f t="shared" si="1"/>
        <v>2.7345027949999996E-2</v>
      </c>
    </row>
    <row r="77" spans="1:4">
      <c r="A77" s="188" t="s">
        <v>297</v>
      </c>
      <c r="B77" s="188" t="s">
        <v>298</v>
      </c>
      <c r="C77" s="189">
        <v>18313070.07</v>
      </c>
      <c r="D77" s="241">
        <f t="shared" si="1"/>
        <v>1.831307007E-2</v>
      </c>
    </row>
    <row r="78" spans="1:4">
      <c r="A78" s="188" t="s">
        <v>299</v>
      </c>
      <c r="B78" s="188" t="s">
        <v>300</v>
      </c>
      <c r="C78" s="189">
        <v>26</v>
      </c>
      <c r="D78" s="241">
        <f t="shared" si="1"/>
        <v>2.6000000000000001E-8</v>
      </c>
    </row>
    <row r="79" spans="1:4">
      <c r="A79" s="188" t="s">
        <v>301</v>
      </c>
      <c r="B79" s="188" t="s">
        <v>302</v>
      </c>
      <c r="C79" s="189">
        <v>632085334.48000002</v>
      </c>
      <c r="D79" s="241">
        <f t="shared" si="1"/>
        <v>0.63208533448000004</v>
      </c>
    </row>
    <row r="80" spans="1:4">
      <c r="A80" s="188" t="s">
        <v>303</v>
      </c>
      <c r="B80" s="188" t="s">
        <v>304</v>
      </c>
      <c r="C80" s="189">
        <v>24570059.18</v>
      </c>
      <c r="D80" s="241">
        <f t="shared" si="1"/>
        <v>2.4570059179999999E-2</v>
      </c>
    </row>
    <row r="81" spans="1:4">
      <c r="A81" s="188" t="s">
        <v>305</v>
      </c>
      <c r="B81" s="188" t="s">
        <v>306</v>
      </c>
      <c r="C81" s="189"/>
      <c r="D81" s="241">
        <f t="shared" si="1"/>
        <v>0</v>
      </c>
    </row>
    <row r="82" spans="1:4">
      <c r="A82" s="188" t="s">
        <v>307</v>
      </c>
      <c r="B82" s="188" t="s">
        <v>308</v>
      </c>
      <c r="C82" s="189">
        <v>68427</v>
      </c>
      <c r="D82" s="241">
        <f t="shared" si="1"/>
        <v>6.8427000000000001E-5</v>
      </c>
    </row>
    <row r="83" spans="1:4">
      <c r="A83" s="188" t="s">
        <v>309</v>
      </c>
      <c r="B83" s="188" t="s">
        <v>310</v>
      </c>
      <c r="C83" s="189">
        <v>21443411.91</v>
      </c>
      <c r="D83" s="241">
        <f t="shared" si="1"/>
        <v>2.1443411910000001E-2</v>
      </c>
    </row>
    <row r="84" spans="1:4">
      <c r="A84" s="188" t="s">
        <v>311</v>
      </c>
      <c r="B84" s="188" t="s">
        <v>312</v>
      </c>
      <c r="C84" s="189">
        <v>0.04</v>
      </c>
      <c r="D84" s="241">
        <f t="shared" si="1"/>
        <v>4.0000000000000004E-11</v>
      </c>
    </row>
    <row r="85" spans="1:4">
      <c r="A85" s="188" t="s">
        <v>313</v>
      </c>
      <c r="B85" s="188" t="s">
        <v>314</v>
      </c>
      <c r="C85" s="189">
        <v>280323118.34000003</v>
      </c>
      <c r="D85" s="241">
        <f t="shared" si="1"/>
        <v>0.28032311834000001</v>
      </c>
    </row>
    <row r="86" spans="1:4">
      <c r="A86" s="188" t="s">
        <v>315</v>
      </c>
      <c r="B86" s="188" t="s">
        <v>316</v>
      </c>
      <c r="C86" s="189">
        <v>0</v>
      </c>
      <c r="D86" s="241">
        <f t="shared" si="1"/>
        <v>0</v>
      </c>
    </row>
    <row r="87" spans="1:4">
      <c r="A87" s="188" t="s">
        <v>317</v>
      </c>
      <c r="B87" s="188" t="s">
        <v>318</v>
      </c>
      <c r="C87" s="189">
        <v>1172916176.1800001</v>
      </c>
      <c r="D87" s="241">
        <f t="shared" si="1"/>
        <v>1.17291617618</v>
      </c>
    </row>
    <row r="88" spans="1:4">
      <c r="A88" s="188" t="s">
        <v>319</v>
      </c>
      <c r="B88" s="188" t="s">
        <v>320</v>
      </c>
      <c r="C88" s="189">
        <v>42169.5</v>
      </c>
      <c r="D88" s="241">
        <f t="shared" si="1"/>
        <v>4.2169499999999997E-5</v>
      </c>
    </row>
    <row r="89" spans="1:4">
      <c r="A89" s="188" t="s">
        <v>321</v>
      </c>
      <c r="B89" s="188" t="s">
        <v>322</v>
      </c>
      <c r="C89" s="189">
        <v>1787226.75</v>
      </c>
      <c r="D89" s="241">
        <f t="shared" si="1"/>
        <v>1.7872267500000001E-3</v>
      </c>
    </row>
    <row r="90" spans="1:4">
      <c r="A90" s="188" t="s">
        <v>323</v>
      </c>
      <c r="B90" s="188" t="s">
        <v>324</v>
      </c>
      <c r="C90" s="189">
        <v>295999.49</v>
      </c>
      <c r="D90" s="241">
        <f t="shared" si="1"/>
        <v>2.9599949000000002E-4</v>
      </c>
    </row>
    <row r="91" spans="1:4">
      <c r="B91" s="85" t="s">
        <v>325</v>
      </c>
      <c r="C91" s="85">
        <f>SUM(C3:C6,C8:C11,C13,C15:C18,C20:C23,C25:C28,C30:C32,C36,C38,C42,C44:C47,C49,C51:C57)</f>
        <v>23649628513.860001</v>
      </c>
      <c r="D91" s="86">
        <f>C91/1000000000</f>
        <v>23.649628513860002</v>
      </c>
    </row>
  </sheetData>
  <phoneticPr fontId="0" type="noConversion"/>
  <pageMargins left="0.75" right="0.75" top="1" bottom="1" header="0.49212598499999999" footer="0.49212598499999999"/>
  <pageSetup orientation="portrait" horizontalDpi="4294967294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5"/>
  <sheetViews>
    <sheetView zoomScaleNormal="100" workbookViewId="0">
      <selection activeCell="M10" sqref="M10"/>
    </sheetView>
  </sheetViews>
  <sheetFormatPr defaultColWidth="8.85546875" defaultRowHeight="14.25"/>
  <cols>
    <col min="1" max="1" width="8.85546875" style="7"/>
    <col min="2" max="2" width="45.140625" style="7" customWidth="1"/>
    <col min="3" max="3" width="20.28515625" style="7" customWidth="1"/>
    <col min="4" max="4" width="8.85546875" style="7"/>
    <col min="5" max="5" width="25.28515625" style="255" bestFit="1" customWidth="1"/>
    <col min="6" max="6" width="17.5703125" style="255" bestFit="1" customWidth="1"/>
    <col min="7" max="16384" width="8.85546875" style="7"/>
  </cols>
  <sheetData>
    <row r="1" spans="1:6" ht="15">
      <c r="A1" s="263" t="s">
        <v>326</v>
      </c>
      <c r="B1" s="264" t="s">
        <v>327</v>
      </c>
      <c r="C1" s="265" t="s">
        <v>8</v>
      </c>
      <c r="F1" s="266" t="s">
        <v>328</v>
      </c>
    </row>
    <row r="2" spans="1:6">
      <c r="A2" s="194" t="s">
        <v>329</v>
      </c>
      <c r="B2" s="195" t="s">
        <v>330</v>
      </c>
      <c r="C2" s="196">
        <v>15596727409.029999</v>
      </c>
      <c r="D2" s="238">
        <f>C2/1000000000</f>
        <v>15.596727409029999</v>
      </c>
      <c r="E2" s="255" t="s">
        <v>331</v>
      </c>
      <c r="F2" s="255" t="s">
        <v>26</v>
      </c>
    </row>
    <row r="3" spans="1:6">
      <c r="A3" s="194" t="s">
        <v>332</v>
      </c>
      <c r="B3" s="195" t="s">
        <v>333</v>
      </c>
      <c r="C3" s="196">
        <v>361693011.60999995</v>
      </c>
      <c r="D3" s="238">
        <f>C3/1000000000</f>
        <v>0.36169301160999995</v>
      </c>
      <c r="E3" s="255" t="s">
        <v>331</v>
      </c>
      <c r="F3" s="255" t="s">
        <v>26</v>
      </c>
    </row>
    <row r="4" spans="1:6">
      <c r="A4" s="194" t="s">
        <v>334</v>
      </c>
      <c r="B4" s="195" t="s">
        <v>335</v>
      </c>
      <c r="C4" s="196">
        <v>3029664562.77</v>
      </c>
      <c r="D4" s="238">
        <f>C4/1000000000</f>
        <v>3.0296645627699998</v>
      </c>
      <c r="E4" s="255" t="s">
        <v>331</v>
      </c>
      <c r="F4" s="255" t="s">
        <v>26</v>
      </c>
    </row>
    <row r="5" spans="1:6">
      <c r="A5" s="236" t="s">
        <v>336</v>
      </c>
      <c r="B5" s="292" t="s">
        <v>337</v>
      </c>
      <c r="C5" s="237">
        <v>2744100025.98</v>
      </c>
      <c r="D5" s="239">
        <f>C5/1000000000</f>
        <v>2.7441000259799999</v>
      </c>
      <c r="E5" s="255" t="s">
        <v>338</v>
      </c>
      <c r="F5" s="255" t="s">
        <v>26</v>
      </c>
    </row>
    <row r="6" spans="1:6">
      <c r="A6" s="236" t="s">
        <v>339</v>
      </c>
      <c r="B6" s="292" t="s">
        <v>340</v>
      </c>
      <c r="C6" s="237">
        <v>21398044.629999999</v>
      </c>
      <c r="D6" s="239">
        <f>C6/1000000000</f>
        <v>2.1398044629999998E-2</v>
      </c>
      <c r="E6" s="255" t="s">
        <v>338</v>
      </c>
      <c r="F6" s="255" t="s">
        <v>26</v>
      </c>
    </row>
    <row r="7" spans="1:6">
      <c r="A7" s="197" t="s">
        <v>341</v>
      </c>
      <c r="B7" s="198" t="s">
        <v>342</v>
      </c>
      <c r="C7" s="199">
        <v>328963846343.88995</v>
      </c>
      <c r="D7" s="240">
        <f>C7/1000000000</f>
        <v>328.96384634388994</v>
      </c>
      <c r="E7" s="255" t="s">
        <v>343</v>
      </c>
    </row>
    <row r="8" spans="1:6">
      <c r="A8" s="197" t="s">
        <v>344</v>
      </c>
      <c r="B8" s="198" t="s">
        <v>345</v>
      </c>
      <c r="C8" s="199">
        <v>24631102173.190002</v>
      </c>
      <c r="D8" s="240">
        <f>C8/1000000000</f>
        <v>24.631102173190001</v>
      </c>
      <c r="E8" s="255" t="s">
        <v>343</v>
      </c>
    </row>
    <row r="9" spans="1:6">
      <c r="A9" s="197" t="s">
        <v>346</v>
      </c>
      <c r="B9" s="198" t="s">
        <v>347</v>
      </c>
      <c r="C9" s="199">
        <v>197575515.10000002</v>
      </c>
      <c r="D9" s="240">
        <f>C9/1000000000</f>
        <v>0.19757551510000002</v>
      </c>
      <c r="E9" s="255" t="s">
        <v>343</v>
      </c>
    </row>
    <row r="10" spans="1:6">
      <c r="A10" s="192" t="s">
        <v>348</v>
      </c>
      <c r="B10" s="188" t="s">
        <v>349</v>
      </c>
      <c r="C10" s="189">
        <v>-22443285.210000001</v>
      </c>
      <c r="D10" s="241">
        <f>C10/1000000000</f>
        <v>-2.244328521E-2</v>
      </c>
      <c r="E10" s="255" t="s">
        <v>350</v>
      </c>
    </row>
    <row r="11" spans="1:6">
      <c r="A11" s="200" t="s">
        <v>351</v>
      </c>
      <c r="B11" s="201" t="s">
        <v>352</v>
      </c>
      <c r="C11" s="202">
        <v>149911250760.98001</v>
      </c>
      <c r="D11" s="242">
        <f>C11/1000000000</f>
        <v>149.91125076098001</v>
      </c>
      <c r="E11" s="255" t="s">
        <v>353</v>
      </c>
    </row>
    <row r="12" spans="1:6">
      <c r="A12" s="200" t="s">
        <v>354</v>
      </c>
      <c r="B12" s="201" t="s">
        <v>355</v>
      </c>
      <c r="C12" s="202">
        <v>10015627581.429998</v>
      </c>
      <c r="D12" s="242">
        <f>C12/1000000000</f>
        <v>10.015627581429998</v>
      </c>
      <c r="E12" s="255" t="s">
        <v>353</v>
      </c>
    </row>
    <row r="13" spans="1:6">
      <c r="A13" s="200" t="s">
        <v>356</v>
      </c>
      <c r="B13" s="201" t="s">
        <v>357</v>
      </c>
      <c r="C13" s="202">
        <v>679821939.22999978</v>
      </c>
      <c r="D13" s="242">
        <f>C13/1000000000</f>
        <v>0.67982193922999978</v>
      </c>
      <c r="E13" s="255" t="s">
        <v>353</v>
      </c>
    </row>
    <row r="14" spans="1:6">
      <c r="A14" s="203" t="s">
        <v>358</v>
      </c>
      <c r="B14" s="204" t="s">
        <v>359</v>
      </c>
      <c r="C14" s="205">
        <v>94069196.999999985</v>
      </c>
      <c r="D14" s="243">
        <f>C14/1000000000</f>
        <v>9.4069196999999979E-2</v>
      </c>
      <c r="E14" s="255" t="s">
        <v>360</v>
      </c>
      <c r="F14" s="255" t="s">
        <v>23</v>
      </c>
    </row>
    <row r="15" spans="1:6">
      <c r="A15" s="206" t="s">
        <v>361</v>
      </c>
      <c r="B15" s="207" t="s">
        <v>362</v>
      </c>
      <c r="C15" s="208">
        <v>41612229.57</v>
      </c>
      <c r="D15" s="244">
        <f>C15/1000000000</f>
        <v>4.1612229569999999E-2</v>
      </c>
      <c r="E15" s="255" t="s">
        <v>363</v>
      </c>
      <c r="F15" s="255" t="s">
        <v>23</v>
      </c>
    </row>
    <row r="16" spans="1:6">
      <c r="A16" s="206" t="s">
        <v>364</v>
      </c>
      <c r="B16" s="207" t="s">
        <v>365</v>
      </c>
      <c r="C16" s="208">
        <v>5796539.29</v>
      </c>
      <c r="D16" s="244">
        <f>C16/1000000000</f>
        <v>5.7965392900000004E-3</v>
      </c>
      <c r="E16" s="255" t="s">
        <v>363</v>
      </c>
      <c r="F16" s="255" t="s">
        <v>23</v>
      </c>
    </row>
    <row r="17" spans="1:6">
      <c r="A17" s="206" t="s">
        <v>366</v>
      </c>
      <c r="B17" s="207" t="s">
        <v>367</v>
      </c>
      <c r="C17" s="208">
        <v>4341385664.5900011</v>
      </c>
      <c r="D17" s="244">
        <f>C17/1000000000</f>
        <v>4.3413856645900015</v>
      </c>
      <c r="E17" s="255" t="s">
        <v>363</v>
      </c>
      <c r="F17" s="255" t="s">
        <v>23</v>
      </c>
    </row>
    <row r="18" spans="1:6">
      <c r="A18" s="206" t="s">
        <v>368</v>
      </c>
      <c r="B18" s="207" t="s">
        <v>369</v>
      </c>
      <c r="C18" s="208">
        <v>10502529.84</v>
      </c>
      <c r="D18" s="244">
        <f>C18/1000000000</f>
        <v>1.050252984E-2</v>
      </c>
      <c r="E18" s="255" t="s">
        <v>363</v>
      </c>
      <c r="F18" s="255" t="s">
        <v>23</v>
      </c>
    </row>
    <row r="19" spans="1:6">
      <c r="A19" s="206" t="s">
        <v>370</v>
      </c>
      <c r="B19" s="207" t="s">
        <v>371</v>
      </c>
      <c r="C19" s="208">
        <v>24503.37</v>
      </c>
      <c r="D19" s="244">
        <f>C19/1000000000</f>
        <v>2.4503369999999998E-5</v>
      </c>
      <c r="E19" s="255" t="s">
        <v>363</v>
      </c>
      <c r="F19" s="255" t="s">
        <v>23</v>
      </c>
    </row>
    <row r="20" spans="1:6">
      <c r="A20" s="206" t="s">
        <v>372</v>
      </c>
      <c r="B20" s="207" t="s">
        <v>373</v>
      </c>
      <c r="C20" s="208">
        <v>717575.23</v>
      </c>
      <c r="D20" s="244">
        <f>C20/1000000000</f>
        <v>7.1757522999999998E-4</v>
      </c>
      <c r="E20" s="255" t="s">
        <v>363</v>
      </c>
      <c r="F20" s="255" t="s">
        <v>23</v>
      </c>
    </row>
    <row r="21" spans="1:6">
      <c r="A21" s="206" t="s">
        <v>374</v>
      </c>
      <c r="B21" s="207" t="s">
        <v>375</v>
      </c>
      <c r="C21" s="208">
        <v>215169.77000000002</v>
      </c>
      <c r="D21" s="244">
        <f>C21/1000000000</f>
        <v>2.1516977000000001E-4</v>
      </c>
      <c r="E21" s="255" t="s">
        <v>363</v>
      </c>
      <c r="F21" s="255" t="s">
        <v>23</v>
      </c>
    </row>
    <row r="22" spans="1:6">
      <c r="A22" s="193" t="s">
        <v>376</v>
      </c>
      <c r="B22" s="190" t="s">
        <v>377</v>
      </c>
      <c r="C22" s="191">
        <v>141081708.99000001</v>
      </c>
      <c r="D22" s="245">
        <f>C22/1000000000</f>
        <v>0.14108170899</v>
      </c>
      <c r="E22" s="255" t="s">
        <v>325</v>
      </c>
    </row>
    <row r="23" spans="1:6">
      <c r="A23" s="193" t="s">
        <v>378</v>
      </c>
      <c r="B23" s="190" t="s">
        <v>379</v>
      </c>
      <c r="C23" s="191">
        <v>882410498.48999989</v>
      </c>
      <c r="D23" s="245">
        <f>C23/1000000000</f>
        <v>0.88241049848999986</v>
      </c>
      <c r="E23" s="255" t="s">
        <v>325</v>
      </c>
    </row>
    <row r="24" spans="1:6">
      <c r="A24" s="193" t="s">
        <v>380</v>
      </c>
      <c r="B24" s="190" t="s">
        <v>381</v>
      </c>
      <c r="C24" s="191">
        <v>1426241515.2</v>
      </c>
      <c r="D24" s="245">
        <f>C24/1000000000</f>
        <v>1.4262415152000001</v>
      </c>
      <c r="E24" s="255" t="s">
        <v>325</v>
      </c>
    </row>
    <row r="25" spans="1:6">
      <c r="A25" s="193" t="s">
        <v>382</v>
      </c>
      <c r="B25" s="190" t="s">
        <v>383</v>
      </c>
      <c r="C25" s="191">
        <v>77323253.120000005</v>
      </c>
      <c r="D25" s="245">
        <f>C25/1000000000</f>
        <v>7.7323253120000005E-2</v>
      </c>
      <c r="E25" s="255" t="s">
        <v>325</v>
      </c>
    </row>
    <row r="26" spans="1:6">
      <c r="A26" s="193" t="s">
        <v>384</v>
      </c>
      <c r="B26" s="190" t="s">
        <v>385</v>
      </c>
      <c r="C26" s="191">
        <v>234597105.22999999</v>
      </c>
      <c r="D26" s="245">
        <f>C26/1000000000</f>
        <v>0.23459710522999999</v>
      </c>
      <c r="E26" s="255" t="s">
        <v>325</v>
      </c>
    </row>
    <row r="27" spans="1:6">
      <c r="A27" s="193" t="s">
        <v>386</v>
      </c>
      <c r="B27" s="190" t="s">
        <v>387</v>
      </c>
      <c r="C27" s="191">
        <v>524233450.57999992</v>
      </c>
      <c r="D27" s="245">
        <f>C27/1000000000</f>
        <v>0.52423345057999993</v>
      </c>
      <c r="E27" s="255" t="s">
        <v>325</v>
      </c>
    </row>
    <row r="28" spans="1:6">
      <c r="A28" s="193" t="s">
        <v>388</v>
      </c>
      <c r="B28" s="190" t="s">
        <v>389</v>
      </c>
      <c r="C28" s="191">
        <v>389036047.18000001</v>
      </c>
      <c r="D28" s="245">
        <f>C28/1000000000</f>
        <v>0.38903604718000001</v>
      </c>
      <c r="E28" s="255" t="s">
        <v>325</v>
      </c>
    </row>
    <row r="29" spans="1:6">
      <c r="A29" s="193" t="s">
        <v>390</v>
      </c>
      <c r="B29" s="190" t="s">
        <v>391</v>
      </c>
      <c r="C29" s="191">
        <v>279343441.16000003</v>
      </c>
      <c r="D29" s="245">
        <f>C29/1000000000</f>
        <v>0.27934344116000004</v>
      </c>
      <c r="E29" s="255" t="s">
        <v>325</v>
      </c>
    </row>
    <row r="30" spans="1:6">
      <c r="A30" s="193" t="s">
        <v>392</v>
      </c>
      <c r="B30" s="190" t="s">
        <v>393</v>
      </c>
      <c r="C30" s="191">
        <v>72266031.189999998</v>
      </c>
      <c r="D30" s="245">
        <f>C30/1000000000</f>
        <v>7.2266031189999996E-2</v>
      </c>
      <c r="E30" s="255" t="s">
        <v>325</v>
      </c>
    </row>
    <row r="31" spans="1:6">
      <c r="A31" s="193" t="s">
        <v>394</v>
      </c>
      <c r="B31" s="190" t="s">
        <v>395</v>
      </c>
      <c r="C31" s="191">
        <v>83446163.659999982</v>
      </c>
      <c r="D31" s="245">
        <f>C31/1000000000</f>
        <v>8.3446163659999975E-2</v>
      </c>
      <c r="E31" s="255" t="s">
        <v>325</v>
      </c>
    </row>
    <row r="32" spans="1:6">
      <c r="A32" s="193" t="s">
        <v>396</v>
      </c>
      <c r="B32" s="190" t="s">
        <v>397</v>
      </c>
      <c r="C32" s="191">
        <v>4622636159.5699997</v>
      </c>
      <c r="D32" s="245">
        <f>C32/1000000000</f>
        <v>4.6226361595699998</v>
      </c>
      <c r="E32" s="255" t="s">
        <v>325</v>
      </c>
    </row>
    <row r="33" spans="1:5">
      <c r="A33" s="193" t="s">
        <v>398</v>
      </c>
      <c r="B33" s="190" t="s">
        <v>399</v>
      </c>
      <c r="C33" s="191">
        <v>-21806038.549999997</v>
      </c>
      <c r="D33" s="245">
        <f>C33/1000000000</f>
        <v>-2.1806038549999997E-2</v>
      </c>
      <c r="E33" s="255" t="s">
        <v>325</v>
      </c>
    </row>
    <row r="34" spans="1:5">
      <c r="A34" s="193" t="s">
        <v>400</v>
      </c>
      <c r="B34" s="190" t="s">
        <v>401</v>
      </c>
      <c r="C34" s="191">
        <v>922991409.79000008</v>
      </c>
      <c r="D34" s="245">
        <f>C34/1000000000</f>
        <v>0.92299140979000005</v>
      </c>
      <c r="E34" s="255" t="s">
        <v>325</v>
      </c>
    </row>
    <row r="35" spans="1:5">
      <c r="A35" s="193" t="s">
        <v>402</v>
      </c>
      <c r="B35" s="190" t="s">
        <v>403</v>
      </c>
      <c r="C35" s="191">
        <v>864885948.3299998</v>
      </c>
      <c r="D35" s="245">
        <f>C35/1000000000</f>
        <v>0.86488594832999977</v>
      </c>
      <c r="E35" s="255" t="s">
        <v>325</v>
      </c>
    </row>
    <row r="36" spans="1:5">
      <c r="A36" s="193" t="s">
        <v>404</v>
      </c>
      <c r="B36" s="190" t="s">
        <v>405</v>
      </c>
      <c r="C36" s="191">
        <v>2950455585.4999995</v>
      </c>
      <c r="D36" s="245">
        <f>C36/1000000000</f>
        <v>2.9504555854999994</v>
      </c>
      <c r="E36" s="255" t="s">
        <v>325</v>
      </c>
    </row>
    <row r="37" spans="1:5">
      <c r="A37" s="193" t="s">
        <v>406</v>
      </c>
      <c r="B37" s="190" t="s">
        <v>407</v>
      </c>
      <c r="C37" s="191">
        <v>40714474.719999999</v>
      </c>
      <c r="D37" s="245">
        <f>C37/1000000000</f>
        <v>4.0714474719999998E-2</v>
      </c>
      <c r="E37" s="255" t="s">
        <v>325</v>
      </c>
    </row>
    <row r="38" spans="1:5">
      <c r="A38" s="193" t="s">
        <v>408</v>
      </c>
      <c r="B38" s="190" t="s">
        <v>409</v>
      </c>
      <c r="C38" s="191">
        <v>517077858.65999997</v>
      </c>
      <c r="D38" s="245">
        <f>C38/1000000000</f>
        <v>0.51707785866</v>
      </c>
      <c r="E38" s="255" t="s">
        <v>325</v>
      </c>
    </row>
    <row r="39" spans="1:5">
      <c r="A39" s="193" t="s">
        <v>410</v>
      </c>
      <c r="B39" s="190" t="s">
        <v>411</v>
      </c>
      <c r="C39" s="191">
        <v>668343233.54999995</v>
      </c>
      <c r="D39" s="245">
        <f>C39/1000000000</f>
        <v>0.66834323354999992</v>
      </c>
      <c r="E39" s="255" t="s">
        <v>325</v>
      </c>
    </row>
    <row r="40" spans="1:5">
      <c r="A40" s="193" t="s">
        <v>412</v>
      </c>
      <c r="B40" s="190" t="s">
        <v>413</v>
      </c>
      <c r="C40" s="191">
        <v>10732315.969999999</v>
      </c>
      <c r="D40" s="245">
        <f>C40/1000000000</f>
        <v>1.0732315969999998E-2</v>
      </c>
      <c r="E40" s="255" t="s">
        <v>325</v>
      </c>
    </row>
    <row r="41" spans="1:5">
      <c r="A41" s="193" t="s">
        <v>414</v>
      </c>
      <c r="B41" s="190" t="s">
        <v>415</v>
      </c>
      <c r="C41" s="191">
        <v>93679286.49000001</v>
      </c>
      <c r="D41" s="245">
        <f>C41/1000000000</f>
        <v>9.3679286490000013E-2</v>
      </c>
      <c r="E41" s="255" t="s">
        <v>325</v>
      </c>
    </row>
    <row r="42" spans="1:5">
      <c r="A42" s="193" t="s">
        <v>416</v>
      </c>
      <c r="B42" s="190" t="s">
        <v>417</v>
      </c>
      <c r="C42" s="191">
        <v>111459239.01000001</v>
      </c>
      <c r="D42" s="245">
        <f>C42/1000000000</f>
        <v>0.11145923901</v>
      </c>
      <c r="E42" s="255" t="s">
        <v>325</v>
      </c>
    </row>
    <row r="43" spans="1:5">
      <c r="A43" s="193" t="s">
        <v>418</v>
      </c>
      <c r="B43" s="190" t="s">
        <v>419</v>
      </c>
      <c r="C43" s="191">
        <v>84476431.449999988</v>
      </c>
      <c r="D43" s="245">
        <f>C43/1000000000</f>
        <v>8.4476431449999986E-2</v>
      </c>
      <c r="E43" s="255" t="s">
        <v>325</v>
      </c>
    </row>
    <row r="44" spans="1:5">
      <c r="A44" s="193" t="s">
        <v>420</v>
      </c>
      <c r="B44" s="190" t="s">
        <v>421</v>
      </c>
      <c r="C44" s="191">
        <v>60688221.379999995</v>
      </c>
      <c r="D44" s="245">
        <f>C44/1000000000</f>
        <v>6.0688221379999997E-2</v>
      </c>
      <c r="E44" s="255" t="s">
        <v>325</v>
      </c>
    </row>
    <row r="45" spans="1:5">
      <c r="A45" s="193" t="s">
        <v>422</v>
      </c>
      <c r="B45" s="190" t="s">
        <v>423</v>
      </c>
      <c r="C45" s="191">
        <v>15250339.58</v>
      </c>
      <c r="D45" s="245">
        <f>C45/1000000000</f>
        <v>1.5250339579999999E-2</v>
      </c>
      <c r="E45" s="255" t="s">
        <v>325</v>
      </c>
    </row>
    <row r="46" spans="1:5">
      <c r="A46" s="193" t="s">
        <v>424</v>
      </c>
      <c r="B46" s="190" t="s">
        <v>425</v>
      </c>
      <c r="C46" s="191">
        <v>16946155.82</v>
      </c>
      <c r="D46" s="245">
        <f>C46/1000000000</f>
        <v>1.6946155819999999E-2</v>
      </c>
      <c r="E46" s="255" t="s">
        <v>325</v>
      </c>
    </row>
    <row r="47" spans="1:5">
      <c r="A47" s="193" t="s">
        <v>426</v>
      </c>
      <c r="B47" s="190" t="s">
        <v>427</v>
      </c>
      <c r="C47" s="191">
        <v>1071011476.27</v>
      </c>
      <c r="D47" s="245">
        <f>C47/1000000000</f>
        <v>1.07101147627</v>
      </c>
      <c r="E47" s="255" t="s">
        <v>325</v>
      </c>
    </row>
    <row r="48" spans="1:5">
      <c r="A48" s="193" t="s">
        <v>428</v>
      </c>
      <c r="B48" s="190" t="s">
        <v>429</v>
      </c>
      <c r="C48" s="191">
        <v>-208469.30000000075</v>
      </c>
      <c r="D48" s="245">
        <f>C48/1000000000</f>
        <v>-2.0846930000000075E-4</v>
      </c>
      <c r="E48" s="255" t="s">
        <v>325</v>
      </c>
    </row>
    <row r="49" spans="1:5">
      <c r="A49" s="193" t="s">
        <v>430</v>
      </c>
      <c r="B49" s="190" t="s">
        <v>431</v>
      </c>
      <c r="C49" s="191">
        <v>308882628.75000006</v>
      </c>
      <c r="D49" s="245">
        <f>C49/1000000000</f>
        <v>0.30888262875000005</v>
      </c>
      <c r="E49" s="255" t="s">
        <v>325</v>
      </c>
    </row>
    <row r="50" spans="1:5">
      <c r="A50" s="193" t="s">
        <v>432</v>
      </c>
      <c r="B50" s="190" t="s">
        <v>433</v>
      </c>
      <c r="C50" s="191">
        <v>214295726.23999998</v>
      </c>
      <c r="D50" s="245">
        <f>C50/1000000000</f>
        <v>0.21429572623999998</v>
      </c>
      <c r="E50" s="255" t="s">
        <v>325</v>
      </c>
    </row>
    <row r="51" spans="1:5">
      <c r="A51" s="193" t="s">
        <v>434</v>
      </c>
      <c r="B51" s="190" t="s">
        <v>435</v>
      </c>
      <c r="C51" s="191">
        <v>766924810.52999997</v>
      </c>
      <c r="D51" s="245">
        <f>C51/1000000000</f>
        <v>0.76692481052999995</v>
      </c>
      <c r="E51" s="255" t="s">
        <v>325</v>
      </c>
    </row>
    <row r="52" spans="1:5">
      <c r="A52" s="193" t="s">
        <v>436</v>
      </c>
      <c r="B52" s="190" t="s">
        <v>437</v>
      </c>
      <c r="C52" s="191">
        <v>912659318.21999991</v>
      </c>
      <c r="D52" s="245">
        <f>C52/1000000000</f>
        <v>0.9126593182199999</v>
      </c>
      <c r="E52" s="255" t="s">
        <v>325</v>
      </c>
    </row>
    <row r="53" spans="1:5">
      <c r="A53" s="193" t="s">
        <v>438</v>
      </c>
      <c r="B53" s="190" t="s">
        <v>439</v>
      </c>
      <c r="C53" s="191">
        <v>953956695.55000019</v>
      </c>
      <c r="D53" s="245">
        <f>C53/1000000000</f>
        <v>0.95395669555000018</v>
      </c>
      <c r="E53" s="255" t="s">
        <v>325</v>
      </c>
    </row>
    <row r="54" spans="1:5">
      <c r="A54" s="193" t="s">
        <v>440</v>
      </c>
      <c r="B54" s="190" t="s">
        <v>441</v>
      </c>
      <c r="C54" s="191">
        <v>1026726960.3000002</v>
      </c>
      <c r="D54" s="245">
        <f>C54/1000000000</f>
        <v>1.0267269603000002</v>
      </c>
      <c r="E54" s="255" t="s">
        <v>325</v>
      </c>
    </row>
    <row r="55" spans="1:5">
      <c r="A55" s="193" t="s">
        <v>442</v>
      </c>
      <c r="B55" s="190" t="s">
        <v>443</v>
      </c>
      <c r="C55" s="191">
        <v>18159836.73</v>
      </c>
      <c r="D55" s="245">
        <f>C55/1000000000</f>
        <v>1.815983673E-2</v>
      </c>
      <c r="E55" s="255" t="s">
        <v>325</v>
      </c>
    </row>
    <row r="56" spans="1:5">
      <c r="A56" s="193" t="s">
        <v>444</v>
      </c>
      <c r="B56" s="190" t="s">
        <v>445</v>
      </c>
      <c r="C56" s="191">
        <v>48390167.709999993</v>
      </c>
      <c r="D56" s="245">
        <f>C56/1000000000</f>
        <v>4.8390167709999994E-2</v>
      </c>
      <c r="E56" s="255" t="s">
        <v>325</v>
      </c>
    </row>
    <row r="57" spans="1:5">
      <c r="A57" s="193" t="s">
        <v>446</v>
      </c>
      <c r="B57" s="190" t="s">
        <v>447</v>
      </c>
      <c r="C57" s="191">
        <v>205724783.32999998</v>
      </c>
      <c r="D57" s="245">
        <f>C57/1000000000</f>
        <v>0.20572478332999999</v>
      </c>
      <c r="E57" s="255" t="s">
        <v>325</v>
      </c>
    </row>
    <row r="58" spans="1:5">
      <c r="A58" s="193" t="s">
        <v>448</v>
      </c>
      <c r="B58" s="190" t="s">
        <v>449</v>
      </c>
      <c r="C58" s="191">
        <v>157835486.76999998</v>
      </c>
      <c r="D58" s="245">
        <f>C58/1000000000</f>
        <v>0.15783548676999998</v>
      </c>
      <c r="E58" s="255" t="s">
        <v>325</v>
      </c>
    </row>
    <row r="59" spans="1:5">
      <c r="A59" s="193" t="s">
        <v>450</v>
      </c>
      <c r="B59" s="190" t="s">
        <v>451</v>
      </c>
      <c r="C59" s="191">
        <v>110586442.34999999</v>
      </c>
      <c r="D59" s="245">
        <f>C59/1000000000</f>
        <v>0.11058644234999999</v>
      </c>
      <c r="E59" s="255" t="s">
        <v>325</v>
      </c>
    </row>
    <row r="60" spans="1:5">
      <c r="A60" s="193" t="s">
        <v>452</v>
      </c>
      <c r="B60" s="190" t="s">
        <v>453</v>
      </c>
      <c r="C60" s="191">
        <v>28377962.929999996</v>
      </c>
      <c r="D60" s="245">
        <f>C60/1000000000</f>
        <v>2.8377962929999997E-2</v>
      </c>
      <c r="E60" s="255" t="s">
        <v>325</v>
      </c>
    </row>
    <row r="61" spans="1:5">
      <c r="A61" s="193" t="s">
        <v>454</v>
      </c>
      <c r="B61" s="190" t="s">
        <v>455</v>
      </c>
      <c r="C61" s="191">
        <v>32391827.600000001</v>
      </c>
      <c r="D61" s="245">
        <f>C61/1000000000</f>
        <v>3.2391827599999999E-2</v>
      </c>
      <c r="E61" s="255" t="s">
        <v>325</v>
      </c>
    </row>
    <row r="62" spans="1:5">
      <c r="A62" s="193" t="s">
        <v>456</v>
      </c>
      <c r="B62" s="190" t="s">
        <v>457</v>
      </c>
      <c r="C62" s="191">
        <v>1372167358.1999998</v>
      </c>
      <c r="D62" s="245">
        <f>C62/1000000000</f>
        <v>1.3721673581999998</v>
      </c>
      <c r="E62" s="255" t="s">
        <v>325</v>
      </c>
    </row>
    <row r="63" spans="1:5">
      <c r="A63" s="193" t="s">
        <v>458</v>
      </c>
      <c r="B63" s="190" t="s">
        <v>459</v>
      </c>
      <c r="C63" s="191">
        <v>4732437.3500000089</v>
      </c>
      <c r="D63" s="245">
        <f>C63/1000000000</f>
        <v>4.7324373500000089E-3</v>
      </c>
      <c r="E63" s="255" t="s">
        <v>325</v>
      </c>
    </row>
    <row r="64" spans="1:5">
      <c r="A64" s="193" t="s">
        <v>460</v>
      </c>
      <c r="B64" s="190" t="s">
        <v>461</v>
      </c>
      <c r="C64" s="191">
        <v>618292300.73000002</v>
      </c>
      <c r="D64" s="245">
        <f>C64/1000000000</f>
        <v>0.61829230072999997</v>
      </c>
      <c r="E64" s="255" t="s">
        <v>325</v>
      </c>
    </row>
    <row r="65" spans="1:5">
      <c r="A65" s="193" t="s">
        <v>462</v>
      </c>
      <c r="B65" s="190" t="s">
        <v>463</v>
      </c>
      <c r="C65" s="191">
        <v>199898014.66999996</v>
      </c>
      <c r="D65" s="245">
        <f>C65/1000000000</f>
        <v>0.19989801466999996</v>
      </c>
      <c r="E65" s="255" t="s">
        <v>325</v>
      </c>
    </row>
    <row r="66" spans="1:5">
      <c r="A66" s="193" t="s">
        <v>464</v>
      </c>
      <c r="B66" s="190" t="s">
        <v>465</v>
      </c>
      <c r="C66" s="191">
        <v>463618656.31999999</v>
      </c>
      <c r="D66" s="245">
        <f>C66/1000000000</f>
        <v>0.46361865631999999</v>
      </c>
      <c r="E66" s="255" t="s">
        <v>325</v>
      </c>
    </row>
    <row r="67" spans="1:5">
      <c r="A67" s="193" t="s">
        <v>466</v>
      </c>
      <c r="B67" s="190" t="s">
        <v>467</v>
      </c>
      <c r="C67" s="191">
        <v>5029527818.8699999</v>
      </c>
      <c r="D67" s="245">
        <f>C67/1000000000</f>
        <v>5.0295278188700001</v>
      </c>
      <c r="E67" s="255" t="s">
        <v>325</v>
      </c>
    </row>
    <row r="68" spans="1:5">
      <c r="A68" s="193" t="s">
        <v>468</v>
      </c>
      <c r="B68" s="190" t="s">
        <v>469</v>
      </c>
      <c r="C68" s="191">
        <v>5589621404.1300001</v>
      </c>
      <c r="D68" s="245">
        <f>C68/1000000000</f>
        <v>5.5896214041299999</v>
      </c>
      <c r="E68" s="255" t="s">
        <v>325</v>
      </c>
    </row>
    <row r="69" spans="1:5">
      <c r="A69" s="193" t="s">
        <v>470</v>
      </c>
      <c r="B69" s="190" t="s">
        <v>471</v>
      </c>
      <c r="C69" s="191">
        <v>1735486815.4799998</v>
      </c>
      <c r="D69" s="245">
        <f>C69/1000000000</f>
        <v>1.7354868154799998</v>
      </c>
      <c r="E69" s="255" t="s">
        <v>325</v>
      </c>
    </row>
    <row r="70" spans="1:5">
      <c r="A70" s="193" t="s">
        <v>472</v>
      </c>
      <c r="B70" s="190" t="s">
        <v>473</v>
      </c>
      <c r="C70" s="191">
        <v>2556549694.0699997</v>
      </c>
      <c r="D70" s="245">
        <f>C70/1000000000</f>
        <v>2.5565496940699997</v>
      </c>
      <c r="E70" s="255" t="s">
        <v>325</v>
      </c>
    </row>
    <row r="71" spans="1:5">
      <c r="A71" s="193" t="s">
        <v>474</v>
      </c>
      <c r="B71" s="190" t="s">
        <v>475</v>
      </c>
      <c r="C71" s="191">
        <v>1972784344.4300001</v>
      </c>
      <c r="D71" s="245">
        <f>C71/1000000000</f>
        <v>1.9727843444300002</v>
      </c>
      <c r="E71" s="255" t="s">
        <v>325</v>
      </c>
    </row>
    <row r="72" spans="1:5">
      <c r="A72" s="193" t="s">
        <v>476</v>
      </c>
      <c r="B72" s="190" t="s">
        <v>477</v>
      </c>
      <c r="C72" s="191">
        <v>670969927.12</v>
      </c>
      <c r="D72" s="245">
        <f>C72/1000000000</f>
        <v>0.67096992712000003</v>
      </c>
      <c r="E72" s="255" t="s">
        <v>325</v>
      </c>
    </row>
    <row r="73" spans="1:5">
      <c r="A73" s="193" t="s">
        <v>478</v>
      </c>
      <c r="B73" s="190" t="s">
        <v>479</v>
      </c>
      <c r="C73" s="191">
        <v>2447185219.02</v>
      </c>
      <c r="D73" s="245">
        <f>C73/1000000000</f>
        <v>2.4471852190200001</v>
      </c>
      <c r="E73" s="255" t="s">
        <v>325</v>
      </c>
    </row>
    <row r="74" spans="1:5">
      <c r="A74" s="193" t="s">
        <v>480</v>
      </c>
      <c r="B74" s="190" t="s">
        <v>481</v>
      </c>
      <c r="C74" s="191">
        <v>2527106049.8500004</v>
      </c>
      <c r="D74" s="245">
        <f>C74/1000000000</f>
        <v>2.5271060498500004</v>
      </c>
      <c r="E74" s="255" t="s">
        <v>325</v>
      </c>
    </row>
    <row r="75" spans="1:5">
      <c r="A75" s="193" t="s">
        <v>482</v>
      </c>
      <c r="B75" s="190" t="s">
        <v>483</v>
      </c>
      <c r="C75" s="191">
        <v>717381403</v>
      </c>
      <c r="D75" s="245">
        <f>C75/1000000000</f>
        <v>0.71738140299999997</v>
      </c>
      <c r="E75" s="255" t="s">
        <v>325</v>
      </c>
    </row>
    <row r="76" spans="1:5">
      <c r="A76" s="193" t="s">
        <v>484</v>
      </c>
      <c r="B76" s="190" t="s">
        <v>485</v>
      </c>
      <c r="C76" s="191">
        <v>2032648395.4699998</v>
      </c>
      <c r="D76" s="245">
        <f>C76/1000000000</f>
        <v>2.0326483954699999</v>
      </c>
      <c r="E76" s="255" t="s">
        <v>325</v>
      </c>
    </row>
    <row r="77" spans="1:5">
      <c r="A77" s="193" t="s">
        <v>486</v>
      </c>
      <c r="B77" s="190" t="s">
        <v>487</v>
      </c>
      <c r="C77" s="191">
        <v>14837158.990000002</v>
      </c>
      <c r="D77" s="245">
        <f>C77/1000000000</f>
        <v>1.4837158990000002E-2</v>
      </c>
      <c r="E77" s="255" t="s">
        <v>325</v>
      </c>
    </row>
    <row r="78" spans="1:5">
      <c r="A78" s="193" t="s">
        <v>488</v>
      </c>
      <c r="B78" s="190" t="s">
        <v>489</v>
      </c>
      <c r="C78" s="191">
        <v>39054692.730000004</v>
      </c>
      <c r="D78" s="245">
        <f>C78/1000000000</f>
        <v>3.9054692730000007E-2</v>
      </c>
      <c r="E78" s="255" t="s">
        <v>325</v>
      </c>
    </row>
    <row r="79" spans="1:5">
      <c r="A79" s="193" t="s">
        <v>490</v>
      </c>
      <c r="B79" s="190" t="s">
        <v>491</v>
      </c>
      <c r="C79" s="191">
        <v>25837.17</v>
      </c>
      <c r="D79" s="245">
        <f>C79/1000000000</f>
        <v>2.5837169999999998E-5</v>
      </c>
      <c r="E79" s="255" t="s">
        <v>325</v>
      </c>
    </row>
    <row r="80" spans="1:5">
      <c r="A80" s="193" t="s">
        <v>492</v>
      </c>
      <c r="B80" s="190" t="s">
        <v>493</v>
      </c>
      <c r="C80" s="191">
        <v>1212092.5300000003</v>
      </c>
      <c r="D80" s="245">
        <f>C80/1000000000</f>
        <v>1.2120925300000002E-3</v>
      </c>
      <c r="E80" s="255" t="s">
        <v>325</v>
      </c>
    </row>
    <row r="81" spans="1:5">
      <c r="A81" s="193" t="s">
        <v>494</v>
      </c>
      <c r="B81" s="190" t="s">
        <v>495</v>
      </c>
      <c r="C81" s="191">
        <v>1598280.0799999996</v>
      </c>
      <c r="D81" s="245">
        <f>C81/1000000000</f>
        <v>1.5982800799999996E-3</v>
      </c>
      <c r="E81" s="255" t="s">
        <v>325</v>
      </c>
    </row>
    <row r="82" spans="1:5">
      <c r="A82" s="193" t="s">
        <v>496</v>
      </c>
      <c r="B82" s="190" t="s">
        <v>497</v>
      </c>
      <c r="C82" s="191">
        <v>692.46</v>
      </c>
      <c r="D82" s="245">
        <f>C82/1000000000</f>
        <v>6.9245999999999999E-7</v>
      </c>
      <c r="E82" s="255" t="s">
        <v>325</v>
      </c>
    </row>
    <row r="83" spans="1:5">
      <c r="A83" s="193" t="s">
        <v>498</v>
      </c>
      <c r="B83" s="190" t="s">
        <v>499</v>
      </c>
      <c r="C83" s="191">
        <v>2156.63</v>
      </c>
      <c r="D83" s="245">
        <f>C83/1000000000</f>
        <v>2.1566300000000002E-6</v>
      </c>
      <c r="E83" s="255" t="s">
        <v>325</v>
      </c>
    </row>
    <row r="84" spans="1:5">
      <c r="A84" s="193" t="s">
        <v>500</v>
      </c>
      <c r="B84" s="190" t="s">
        <v>501</v>
      </c>
      <c r="C84" s="191">
        <v>9087.0500000000011</v>
      </c>
      <c r="D84" s="245">
        <f>C84/1000000000</f>
        <v>9.0870500000000014E-6</v>
      </c>
      <c r="E84" s="255" t="s">
        <v>325</v>
      </c>
    </row>
    <row r="85" spans="1:5">
      <c r="A85" s="193" t="s">
        <v>502</v>
      </c>
      <c r="B85" s="190" t="s">
        <v>503</v>
      </c>
      <c r="C85" s="191">
        <v>235.62</v>
      </c>
      <c r="D85" s="245">
        <f>C85/1000000000</f>
        <v>2.3562000000000001E-7</v>
      </c>
      <c r="E85" s="255" t="s">
        <v>325</v>
      </c>
    </row>
    <row r="86" spans="1:5">
      <c r="A86" s="193" t="s">
        <v>504</v>
      </c>
      <c r="B86" s="190" t="s">
        <v>505</v>
      </c>
      <c r="C86" s="191">
        <v>29.17</v>
      </c>
      <c r="D86" s="245">
        <f>C86/1000000000</f>
        <v>2.9170000000000002E-8</v>
      </c>
      <c r="E86" s="255" t="s">
        <v>325</v>
      </c>
    </row>
    <row r="87" spans="1:5">
      <c r="A87" s="193" t="s">
        <v>506</v>
      </c>
      <c r="B87" s="190" t="s">
        <v>507</v>
      </c>
      <c r="C87" s="191">
        <v>1857.11</v>
      </c>
      <c r="D87" s="245">
        <f>C87/1000000000</f>
        <v>1.8571099999999998E-6</v>
      </c>
      <c r="E87" s="255" t="s">
        <v>325</v>
      </c>
    </row>
    <row r="88" spans="1:5">
      <c r="A88" s="193" t="s">
        <v>508</v>
      </c>
      <c r="B88" s="190" t="s">
        <v>509</v>
      </c>
      <c r="C88" s="191">
        <v>-201057.86000000002</v>
      </c>
      <c r="D88" s="245">
        <f>C88/1000000000</f>
        <v>-2.0105786000000002E-4</v>
      </c>
      <c r="E88" s="255" t="s">
        <v>325</v>
      </c>
    </row>
    <row r="89" spans="1:5">
      <c r="A89" s="193" t="s">
        <v>510</v>
      </c>
      <c r="B89" s="190" t="s">
        <v>511</v>
      </c>
      <c r="C89" s="191">
        <v>1793.13</v>
      </c>
      <c r="D89" s="245">
        <f>C89/1000000000</f>
        <v>1.79313E-6</v>
      </c>
      <c r="E89" s="255" t="s">
        <v>325</v>
      </c>
    </row>
    <row r="90" spans="1:5">
      <c r="A90" s="193" t="s">
        <v>512</v>
      </c>
      <c r="B90" s="190" t="s">
        <v>513</v>
      </c>
      <c r="C90" s="191">
        <v>237521234.72000003</v>
      </c>
      <c r="D90" s="245">
        <f>C90/1000000000</f>
        <v>0.23752123472000003</v>
      </c>
      <c r="E90" s="255" t="s">
        <v>325</v>
      </c>
    </row>
    <row r="91" spans="1:5">
      <c r="A91" s="193" t="s">
        <v>514</v>
      </c>
      <c r="B91" s="190" t="s">
        <v>515</v>
      </c>
      <c r="C91" s="191">
        <v>563627160.59000003</v>
      </c>
      <c r="D91" s="245">
        <f>C91/1000000000</f>
        <v>0.56362716059000006</v>
      </c>
      <c r="E91" s="255" t="s">
        <v>325</v>
      </c>
    </row>
    <row r="92" spans="1:5">
      <c r="A92" s="193" t="s">
        <v>516</v>
      </c>
      <c r="B92" s="190" t="s">
        <v>517</v>
      </c>
      <c r="C92" s="191">
        <v>134854201.02000001</v>
      </c>
      <c r="D92" s="245">
        <f>C92/1000000000</f>
        <v>0.13485420102000001</v>
      </c>
      <c r="E92" s="255" t="s">
        <v>325</v>
      </c>
    </row>
    <row r="93" spans="1:5">
      <c r="A93" s="193" t="s">
        <v>518</v>
      </c>
      <c r="B93" s="190" t="s">
        <v>519</v>
      </c>
      <c r="C93" s="191">
        <v>21453208.130000006</v>
      </c>
      <c r="D93" s="245">
        <f>C93/1000000000</f>
        <v>2.1453208130000005E-2</v>
      </c>
      <c r="E93" s="255" t="s">
        <v>325</v>
      </c>
    </row>
    <row r="94" spans="1:5">
      <c r="A94" s="193" t="s">
        <v>520</v>
      </c>
      <c r="B94" s="190" t="s">
        <v>521</v>
      </c>
      <c r="C94" s="191">
        <v>3194438.5999999996</v>
      </c>
      <c r="D94" s="245">
        <f>C94/1000000000</f>
        <v>3.1944385999999997E-3</v>
      </c>
      <c r="E94" s="255" t="s">
        <v>325</v>
      </c>
    </row>
    <row r="95" spans="1:5">
      <c r="A95" s="193" t="s">
        <v>522</v>
      </c>
      <c r="B95" s="190" t="s">
        <v>523</v>
      </c>
      <c r="C95" s="191">
        <v>1468259.94</v>
      </c>
      <c r="D95" s="245">
        <f>C95/1000000000</f>
        <v>1.4682599399999999E-3</v>
      </c>
      <c r="E95" s="255" t="s">
        <v>325</v>
      </c>
    </row>
    <row r="96" spans="1:5">
      <c r="A96" s="193" t="s">
        <v>524</v>
      </c>
      <c r="B96" s="190" t="s">
        <v>525</v>
      </c>
      <c r="C96" s="191">
        <v>167415.21000000002</v>
      </c>
      <c r="D96" s="245">
        <f>C96/1000000000</f>
        <v>1.6741521000000002E-4</v>
      </c>
      <c r="E96" s="255" t="s">
        <v>325</v>
      </c>
    </row>
    <row r="97" spans="1:5">
      <c r="A97" s="193" t="s">
        <v>526</v>
      </c>
      <c r="B97" s="190" t="s">
        <v>527</v>
      </c>
      <c r="C97" s="191">
        <v>-140549.82999999999</v>
      </c>
      <c r="D97" s="245">
        <f>C97/1000000000</f>
        <v>-1.4054982999999998E-4</v>
      </c>
      <c r="E97" s="255" t="s">
        <v>325</v>
      </c>
    </row>
    <row r="98" spans="1:5">
      <c r="A98" s="193" t="s">
        <v>528</v>
      </c>
      <c r="B98" s="190" t="s">
        <v>529</v>
      </c>
      <c r="C98" s="191">
        <v>1488040.97</v>
      </c>
      <c r="D98" s="245">
        <f>C98/1000000000</f>
        <v>1.48804097E-3</v>
      </c>
      <c r="E98" s="255" t="s">
        <v>325</v>
      </c>
    </row>
    <row r="99" spans="1:5">
      <c r="A99" s="193" t="s">
        <v>530</v>
      </c>
      <c r="B99" s="190" t="s">
        <v>531</v>
      </c>
      <c r="C99" s="191">
        <v>3338188.4999999995</v>
      </c>
      <c r="D99" s="245">
        <f>C99/1000000000</f>
        <v>3.3381884999999995E-3</v>
      </c>
      <c r="E99" s="255" t="s">
        <v>325</v>
      </c>
    </row>
    <row r="100" spans="1:5">
      <c r="A100" s="193" t="s">
        <v>532</v>
      </c>
      <c r="B100" s="190" t="s">
        <v>533</v>
      </c>
      <c r="C100" s="191">
        <v>1543839.9500000002</v>
      </c>
      <c r="D100" s="245">
        <f>C100/1000000000</f>
        <v>1.5438399500000001E-3</v>
      </c>
      <c r="E100" s="255" t="s">
        <v>325</v>
      </c>
    </row>
    <row r="101" spans="1:5">
      <c r="A101" s="193" t="s">
        <v>534</v>
      </c>
      <c r="B101" s="190" t="s">
        <v>535</v>
      </c>
      <c r="C101" s="191">
        <v>-61060.140000000014</v>
      </c>
      <c r="D101" s="245">
        <f>C101/1000000000</f>
        <v>-6.1060140000000011E-5</v>
      </c>
      <c r="E101" s="255" t="s">
        <v>325</v>
      </c>
    </row>
    <row r="102" spans="1:5">
      <c r="A102" s="193" t="s">
        <v>536</v>
      </c>
      <c r="B102" s="190" t="s">
        <v>537</v>
      </c>
      <c r="C102" s="191">
        <v>-76858.69</v>
      </c>
      <c r="D102" s="245">
        <f>C102/1000000000</f>
        <v>-7.6858689999999996E-5</v>
      </c>
      <c r="E102" s="255" t="s">
        <v>325</v>
      </c>
    </row>
    <row r="103" spans="1:5">
      <c r="A103" s="193" t="s">
        <v>538</v>
      </c>
      <c r="B103" s="190" t="s">
        <v>539</v>
      </c>
      <c r="C103" s="191">
        <v>-25734.78</v>
      </c>
      <c r="D103" s="245">
        <f>C103/1000000000</f>
        <v>-2.5734779999999998E-5</v>
      </c>
      <c r="E103" s="255" t="s">
        <v>325</v>
      </c>
    </row>
    <row r="104" spans="1:5">
      <c r="A104" s="193" t="s">
        <v>540</v>
      </c>
      <c r="B104" s="190" t="s">
        <v>541</v>
      </c>
      <c r="C104" s="191">
        <v>18974.87</v>
      </c>
      <c r="D104" s="245">
        <f>C104/1000000000</f>
        <v>1.8974869999999998E-5</v>
      </c>
      <c r="E104" s="255" t="s">
        <v>325</v>
      </c>
    </row>
    <row r="105" spans="1:5">
      <c r="A105" s="193" t="s">
        <v>542</v>
      </c>
      <c r="B105" s="190" t="s">
        <v>543</v>
      </c>
      <c r="C105" s="191">
        <v>13939.42</v>
      </c>
      <c r="D105" s="245">
        <f>C105/1000000000</f>
        <v>1.393942E-5</v>
      </c>
      <c r="E105" s="255" t="s">
        <v>325</v>
      </c>
    </row>
    <row r="106" spans="1:5">
      <c r="A106" s="193" t="s">
        <v>544</v>
      </c>
      <c r="B106" s="190" t="s">
        <v>545</v>
      </c>
      <c r="C106" s="191">
        <v>70870.679999999993</v>
      </c>
      <c r="D106" s="245">
        <f>C106/1000000000</f>
        <v>7.0870679999999998E-5</v>
      </c>
      <c r="E106" s="255" t="s">
        <v>325</v>
      </c>
    </row>
    <row r="107" spans="1:5">
      <c r="A107" s="193" t="s">
        <v>546</v>
      </c>
      <c r="B107" s="190" t="s">
        <v>547</v>
      </c>
      <c r="C107" s="191">
        <v>2772245.8200000003</v>
      </c>
      <c r="D107" s="245">
        <f>C107/1000000000</f>
        <v>2.7722458200000002E-3</v>
      </c>
      <c r="E107" s="255" t="s">
        <v>325</v>
      </c>
    </row>
    <row r="108" spans="1:5">
      <c r="A108" s="193" t="s">
        <v>548</v>
      </c>
      <c r="B108" s="190" t="s">
        <v>549</v>
      </c>
      <c r="C108" s="191">
        <v>396734.11</v>
      </c>
      <c r="D108" s="245">
        <f>C108/1000000000</f>
        <v>3.9673410999999998E-4</v>
      </c>
      <c r="E108" s="255" t="s">
        <v>325</v>
      </c>
    </row>
    <row r="109" spans="1:5">
      <c r="A109" s="193" t="s">
        <v>550</v>
      </c>
      <c r="B109" s="190" t="s">
        <v>551</v>
      </c>
      <c r="C109" s="191">
        <v>2057749.5599999998</v>
      </c>
      <c r="D109" s="245">
        <f>C109/1000000000</f>
        <v>2.0577495599999997E-3</v>
      </c>
      <c r="E109" s="255" t="s">
        <v>325</v>
      </c>
    </row>
    <row r="110" spans="1:5">
      <c r="A110" s="193" t="s">
        <v>552</v>
      </c>
      <c r="B110" s="190" t="s">
        <v>553</v>
      </c>
      <c r="C110" s="191">
        <v>684.17</v>
      </c>
      <c r="D110" s="245">
        <f>C110/1000000000</f>
        <v>6.8416999999999996E-7</v>
      </c>
      <c r="E110" s="255" t="s">
        <v>325</v>
      </c>
    </row>
    <row r="111" spans="1:5">
      <c r="A111" s="193" t="s">
        <v>554</v>
      </c>
      <c r="B111" s="190" t="s">
        <v>555</v>
      </c>
      <c r="C111" s="191">
        <v>31483.040000000001</v>
      </c>
      <c r="D111" s="245">
        <f>C111/1000000000</f>
        <v>3.1483039999999999E-5</v>
      </c>
      <c r="E111" s="255" t="s">
        <v>325</v>
      </c>
    </row>
    <row r="112" spans="1:5">
      <c r="A112" s="193" t="s">
        <v>556</v>
      </c>
      <c r="B112" s="190" t="s">
        <v>557</v>
      </c>
      <c r="C112" s="191">
        <v>7136.43</v>
      </c>
      <c r="D112" s="245">
        <f>C112/1000000000</f>
        <v>7.1364300000000004E-6</v>
      </c>
      <c r="E112" s="255" t="s">
        <v>325</v>
      </c>
    </row>
    <row r="113" spans="1:5">
      <c r="A113" s="193" t="s">
        <v>558</v>
      </c>
      <c r="B113" s="190" t="s">
        <v>559</v>
      </c>
      <c r="C113" s="191">
        <v>12392.74</v>
      </c>
      <c r="D113" s="245">
        <f>C113/1000000000</f>
        <v>1.239274E-5</v>
      </c>
      <c r="E113" s="255" t="s">
        <v>325</v>
      </c>
    </row>
    <row r="114" spans="1:5">
      <c r="A114" s="193" t="s">
        <v>560</v>
      </c>
      <c r="B114" s="190" t="s">
        <v>561</v>
      </c>
      <c r="C114" s="191">
        <v>1728861.8899999997</v>
      </c>
      <c r="D114" s="245">
        <f>C114/1000000000</f>
        <v>1.7288618899999996E-3</v>
      </c>
      <c r="E114" s="255" t="s">
        <v>325</v>
      </c>
    </row>
    <row r="115" spans="1:5">
      <c r="A115" s="193" t="s">
        <v>562</v>
      </c>
      <c r="B115" s="190" t="s">
        <v>563</v>
      </c>
      <c r="C115" s="191">
        <v>2576631.9500000002</v>
      </c>
      <c r="D115" s="245">
        <f>C115/1000000000</f>
        <v>2.5766319500000003E-3</v>
      </c>
      <c r="E115" s="255" t="s">
        <v>325</v>
      </c>
    </row>
    <row r="116" spans="1:5">
      <c r="A116" s="193" t="s">
        <v>564</v>
      </c>
      <c r="B116" s="190" t="s">
        <v>565</v>
      </c>
      <c r="C116" s="191">
        <v>377722.19999999995</v>
      </c>
      <c r="D116" s="245">
        <f>C116/1000000000</f>
        <v>3.7772219999999995E-4</v>
      </c>
      <c r="E116" s="255" t="s">
        <v>325</v>
      </c>
    </row>
    <row r="117" spans="1:5">
      <c r="A117" s="193" t="s">
        <v>566</v>
      </c>
      <c r="B117" s="190" t="s">
        <v>567</v>
      </c>
      <c r="C117" s="191">
        <v>24872.000000000004</v>
      </c>
      <c r="D117" s="245">
        <f>C117/1000000000</f>
        <v>2.4872000000000005E-5</v>
      </c>
      <c r="E117" s="255" t="s">
        <v>325</v>
      </c>
    </row>
    <row r="118" spans="1:5">
      <c r="A118" s="193" t="s">
        <v>568</v>
      </c>
      <c r="B118" s="190" t="s">
        <v>569</v>
      </c>
      <c r="C118" s="191">
        <v>492873.17</v>
      </c>
      <c r="D118" s="245">
        <f>C118/1000000000</f>
        <v>4.9287316999999998E-4</v>
      </c>
      <c r="E118" s="255" t="s">
        <v>325</v>
      </c>
    </row>
    <row r="119" spans="1:5">
      <c r="A119" s="193" t="s">
        <v>570</v>
      </c>
      <c r="B119" s="190" t="s">
        <v>571</v>
      </c>
      <c r="C119" s="191">
        <v>556329983.63</v>
      </c>
      <c r="D119" s="245">
        <f>C119/1000000000</f>
        <v>0.55632998362999997</v>
      </c>
      <c r="E119" s="255" t="s">
        <v>325</v>
      </c>
    </row>
    <row r="120" spans="1:5">
      <c r="A120" s="193" t="s">
        <v>572</v>
      </c>
      <c r="B120" s="190" t="s">
        <v>573</v>
      </c>
      <c r="C120" s="191">
        <v>988847956.66999996</v>
      </c>
      <c r="D120" s="245">
        <f>C120/1000000000</f>
        <v>0.98884795666999992</v>
      </c>
      <c r="E120" s="255" t="s">
        <v>325</v>
      </c>
    </row>
    <row r="121" spans="1:5">
      <c r="A121" s="193" t="s">
        <v>574</v>
      </c>
      <c r="B121" s="190" t="s">
        <v>575</v>
      </c>
      <c r="C121" s="191">
        <v>2173946440.7800002</v>
      </c>
      <c r="D121" s="245">
        <f>C121/1000000000</f>
        <v>2.17394644078</v>
      </c>
      <c r="E121" s="255" t="s">
        <v>325</v>
      </c>
    </row>
    <row r="122" spans="1:5">
      <c r="A122" s="193" t="s">
        <v>576</v>
      </c>
      <c r="B122" s="190" t="s">
        <v>577</v>
      </c>
      <c r="C122" s="191">
        <v>38629.460000000014</v>
      </c>
      <c r="D122" s="245">
        <f>C122/1000000000</f>
        <v>3.8629460000000011E-5</v>
      </c>
      <c r="E122" s="255" t="s">
        <v>325</v>
      </c>
    </row>
    <row r="123" spans="1:5">
      <c r="A123" s="193" t="s">
        <v>578</v>
      </c>
      <c r="B123" s="190" t="s">
        <v>579</v>
      </c>
      <c r="C123" s="191">
        <v>15255534.970000001</v>
      </c>
      <c r="D123" s="245">
        <f>C123/1000000000</f>
        <v>1.525553497E-2</v>
      </c>
      <c r="E123" s="255" t="s">
        <v>325</v>
      </c>
    </row>
    <row r="124" spans="1:5">
      <c r="A124" s="193" t="s">
        <v>580</v>
      </c>
      <c r="B124" s="190" t="s">
        <v>581</v>
      </c>
      <c r="C124" s="191">
        <v>5052654.09</v>
      </c>
      <c r="D124" s="245">
        <f>C124/1000000000</f>
        <v>5.0526540899999998E-3</v>
      </c>
      <c r="E124" s="255" t="s">
        <v>325</v>
      </c>
    </row>
    <row r="125" spans="1:5">
      <c r="A125" s="193" t="s">
        <v>582</v>
      </c>
      <c r="B125" s="190" t="s">
        <v>583</v>
      </c>
      <c r="C125" s="191">
        <v>1222326.25</v>
      </c>
      <c r="D125" s="245">
        <f>C125/1000000000</f>
        <v>1.22232625E-3</v>
      </c>
      <c r="E125" s="255" t="s">
        <v>325</v>
      </c>
    </row>
    <row r="126" spans="1:5">
      <c r="A126" s="193" t="s">
        <v>584</v>
      </c>
      <c r="B126" s="190" t="s">
        <v>585</v>
      </c>
      <c r="C126" s="191">
        <v>2519646.1399999997</v>
      </c>
      <c r="D126" s="245">
        <f>C126/1000000000</f>
        <v>2.5196461399999998E-3</v>
      </c>
      <c r="E126" s="255" t="s">
        <v>325</v>
      </c>
    </row>
    <row r="127" spans="1:5">
      <c r="A127" s="193" t="s">
        <v>586</v>
      </c>
      <c r="B127" s="190" t="s">
        <v>587</v>
      </c>
      <c r="C127" s="191">
        <v>911244.29999999993</v>
      </c>
      <c r="D127" s="245">
        <f>C127/1000000000</f>
        <v>9.1124429999999996E-4</v>
      </c>
      <c r="E127" s="255" t="s">
        <v>325</v>
      </c>
    </row>
    <row r="128" spans="1:5">
      <c r="A128" s="193" t="s">
        <v>588</v>
      </c>
      <c r="B128" s="190" t="s">
        <v>589</v>
      </c>
      <c r="C128" s="191">
        <v>2305810.2800000003</v>
      </c>
      <c r="D128" s="245">
        <f>C128/1000000000</f>
        <v>2.3058102800000003E-3</v>
      </c>
      <c r="E128" s="255" t="s">
        <v>325</v>
      </c>
    </row>
    <row r="129" spans="1:6">
      <c r="A129" s="193" t="s">
        <v>590</v>
      </c>
      <c r="B129" s="190" t="s">
        <v>591</v>
      </c>
      <c r="C129" s="191">
        <v>7279215.7800000003</v>
      </c>
      <c r="D129" s="245">
        <f>C129/1000000000</f>
        <v>7.2792157800000007E-3</v>
      </c>
      <c r="E129" s="255" t="s">
        <v>325</v>
      </c>
    </row>
    <row r="130" spans="1:6">
      <c r="A130" s="193" t="s">
        <v>592</v>
      </c>
      <c r="B130" s="190" t="s">
        <v>593</v>
      </c>
      <c r="C130" s="191">
        <v>49405.7</v>
      </c>
      <c r="D130" s="245">
        <f>C130/1000000000</f>
        <v>4.94057E-5</v>
      </c>
      <c r="E130" s="255" t="s">
        <v>325</v>
      </c>
    </row>
    <row r="131" spans="1:6">
      <c r="A131" s="193" t="s">
        <v>594</v>
      </c>
      <c r="B131" s="190" t="s">
        <v>595</v>
      </c>
      <c r="C131" s="191">
        <v>523933.38000000006</v>
      </c>
      <c r="D131" s="245">
        <f>C131/1000000000</f>
        <v>5.2393338000000008E-4</v>
      </c>
      <c r="E131" s="255" t="s">
        <v>325</v>
      </c>
    </row>
    <row r="132" spans="1:6">
      <c r="A132" s="193" t="s">
        <v>596</v>
      </c>
      <c r="B132" s="190" t="s">
        <v>597</v>
      </c>
      <c r="C132" s="191">
        <v>35158.97</v>
      </c>
      <c r="D132" s="245">
        <f>C132/1000000000</f>
        <v>3.5158969999999998E-5</v>
      </c>
      <c r="E132" s="255" t="s">
        <v>325</v>
      </c>
    </row>
    <row r="133" spans="1:6">
      <c r="A133" s="193" t="s">
        <v>598</v>
      </c>
      <c r="B133" s="190" t="s">
        <v>599</v>
      </c>
      <c r="C133" s="191">
        <v>23703741.469999999</v>
      </c>
      <c r="D133" s="245">
        <f>C133/1000000000</f>
        <v>2.3703741469999998E-2</v>
      </c>
      <c r="E133" s="255" t="s">
        <v>325</v>
      </c>
    </row>
    <row r="134" spans="1:6">
      <c r="A134" s="193" t="s">
        <v>600</v>
      </c>
      <c r="B134" s="190" t="s">
        <v>601</v>
      </c>
      <c r="C134" s="191">
        <v>54041441.940000013</v>
      </c>
      <c r="D134" s="245">
        <f>C134/1000000000</f>
        <v>5.4041441940000011E-2</v>
      </c>
      <c r="E134" s="255" t="s">
        <v>325</v>
      </c>
    </row>
    <row r="135" spans="1:6">
      <c r="A135" s="193" t="s">
        <v>602</v>
      </c>
      <c r="B135" s="190" t="s">
        <v>603</v>
      </c>
      <c r="C135" s="191">
        <v>12869907.540000001</v>
      </c>
      <c r="D135" s="245">
        <f>C135/1000000000</f>
        <v>1.2869907540000001E-2</v>
      </c>
      <c r="E135" s="255" t="s">
        <v>325</v>
      </c>
    </row>
    <row r="136" spans="1:6">
      <c r="A136" s="193" t="s">
        <v>604</v>
      </c>
      <c r="B136" s="190" t="s">
        <v>605</v>
      </c>
      <c r="C136" s="191">
        <v>26455.35</v>
      </c>
      <c r="D136" s="245">
        <f>C136/1000000000</f>
        <v>2.6455349999999997E-5</v>
      </c>
      <c r="E136" s="255" t="s">
        <v>325</v>
      </c>
    </row>
    <row r="137" spans="1:6">
      <c r="A137" s="193" t="s">
        <v>606</v>
      </c>
      <c r="B137" s="190" t="s">
        <v>607</v>
      </c>
      <c r="C137" s="191">
        <v>2248137.7600000002</v>
      </c>
      <c r="D137" s="245">
        <f>C137/1000000000</f>
        <v>2.2481377600000003E-3</v>
      </c>
      <c r="E137" s="255" t="s">
        <v>325</v>
      </c>
    </row>
    <row r="138" spans="1:6">
      <c r="A138" s="193" t="s">
        <v>608</v>
      </c>
      <c r="B138" s="190" t="s">
        <v>609</v>
      </c>
      <c r="C138" s="191">
        <v>6126078.5700000003</v>
      </c>
      <c r="D138" s="245">
        <f>C138/1000000000</f>
        <v>6.1260785700000004E-3</v>
      </c>
      <c r="E138" s="255" t="s">
        <v>325</v>
      </c>
    </row>
    <row r="139" spans="1:6">
      <c r="A139" s="209" t="s">
        <v>610</v>
      </c>
      <c r="B139" s="210" t="s">
        <v>611</v>
      </c>
      <c r="C139" s="211">
        <v>1208044495.7699997</v>
      </c>
      <c r="D139" s="246">
        <f>C139/1000000000</f>
        <v>1.2080444957699998</v>
      </c>
      <c r="E139" s="255" t="s">
        <v>612</v>
      </c>
      <c r="F139" s="255" t="s">
        <v>26</v>
      </c>
    </row>
    <row r="140" spans="1:6">
      <c r="A140" s="209" t="s">
        <v>613</v>
      </c>
      <c r="B140" s="210" t="s">
        <v>614</v>
      </c>
      <c r="C140" s="211">
        <v>4391870164.8800001</v>
      </c>
      <c r="D140" s="246">
        <f>C140/1000000000</f>
        <v>4.3918701648800003</v>
      </c>
      <c r="E140" s="255" t="s">
        <v>612</v>
      </c>
      <c r="F140" s="255" t="s">
        <v>26</v>
      </c>
    </row>
    <row r="141" spans="1:6">
      <c r="A141" s="212" t="s">
        <v>615</v>
      </c>
      <c r="B141" s="213" t="s">
        <v>616</v>
      </c>
      <c r="C141" s="214">
        <v>20297227.600000001</v>
      </c>
      <c r="D141" s="247">
        <f>C141/1000000000</f>
        <v>2.0297227600000002E-2</v>
      </c>
      <c r="E141" s="255" t="s">
        <v>617</v>
      </c>
      <c r="F141" s="255" t="s">
        <v>23</v>
      </c>
    </row>
    <row r="142" spans="1:6">
      <c r="A142" s="212" t="s">
        <v>618</v>
      </c>
      <c r="B142" s="213" t="s">
        <v>619</v>
      </c>
      <c r="C142" s="214">
        <v>24146378.34</v>
      </c>
      <c r="D142" s="247">
        <f>C142/1000000000</f>
        <v>2.414637834E-2</v>
      </c>
      <c r="E142" s="255" t="s">
        <v>617</v>
      </c>
      <c r="F142" s="255" t="s">
        <v>23</v>
      </c>
    </row>
    <row r="143" spans="1:6">
      <c r="A143" s="212" t="s">
        <v>620</v>
      </c>
      <c r="B143" s="213" t="s">
        <v>621</v>
      </c>
      <c r="C143" s="214">
        <v>2085331553.1900001</v>
      </c>
      <c r="D143" s="247">
        <f>C143/1000000000</f>
        <v>2.0853315531900001</v>
      </c>
      <c r="E143" s="255" t="s">
        <v>617</v>
      </c>
      <c r="F143" s="255" t="s">
        <v>23</v>
      </c>
    </row>
    <row r="144" spans="1:6">
      <c r="A144" s="212" t="s">
        <v>622</v>
      </c>
      <c r="B144" s="213" t="s">
        <v>623</v>
      </c>
      <c r="C144" s="214">
        <v>783.86000000714193</v>
      </c>
      <c r="D144" s="247">
        <f>C144/1000000000</f>
        <v>7.8386000000714195E-7</v>
      </c>
      <c r="E144" s="255" t="s">
        <v>617</v>
      </c>
      <c r="F144" s="255" t="s">
        <v>23</v>
      </c>
    </row>
    <row r="145" spans="1:6">
      <c r="A145" s="215" t="s">
        <v>624</v>
      </c>
      <c r="B145" s="216" t="s">
        <v>625</v>
      </c>
      <c r="C145" s="217">
        <v>1389441811.8499999</v>
      </c>
      <c r="D145" s="248">
        <f>C145/1000000000</f>
        <v>1.3894418118499998</v>
      </c>
      <c r="E145" s="255" t="s">
        <v>626</v>
      </c>
      <c r="F145" s="255" t="s">
        <v>26</v>
      </c>
    </row>
    <row r="146" spans="1:6">
      <c r="A146" s="218" t="s">
        <v>627</v>
      </c>
      <c r="B146" s="219" t="s">
        <v>628</v>
      </c>
      <c r="C146" s="220">
        <v>94369776479.789993</v>
      </c>
      <c r="D146" s="249">
        <f>C146/1000000000</f>
        <v>94.369776479789991</v>
      </c>
      <c r="E146" s="255" t="s">
        <v>629</v>
      </c>
    </row>
    <row r="147" spans="1:6">
      <c r="A147" s="218" t="s">
        <v>630</v>
      </c>
      <c r="B147" s="219" t="s">
        <v>631</v>
      </c>
      <c r="C147" s="220">
        <v>5340766870.250001</v>
      </c>
      <c r="D147" s="249">
        <f>C147/1000000000</f>
        <v>5.3407668702500013</v>
      </c>
      <c r="E147" s="255" t="s">
        <v>629</v>
      </c>
    </row>
    <row r="148" spans="1:6">
      <c r="A148" s="218" t="s">
        <v>632</v>
      </c>
      <c r="B148" s="219" t="s">
        <v>633</v>
      </c>
      <c r="C148" s="220">
        <v>132843038.04999998</v>
      </c>
      <c r="D148" s="249">
        <f>C148/1000000000</f>
        <v>0.13284303804999997</v>
      </c>
      <c r="E148" s="255" t="s">
        <v>629</v>
      </c>
    </row>
    <row r="149" spans="1:6">
      <c r="A149" s="221" t="s">
        <v>634</v>
      </c>
      <c r="B149" s="222" t="s">
        <v>635</v>
      </c>
      <c r="C149" s="223">
        <v>352330813537.91998</v>
      </c>
      <c r="D149" s="250">
        <f>C149/1000000000</f>
        <v>352.33081353791999</v>
      </c>
      <c r="E149" s="255" t="s">
        <v>636</v>
      </c>
      <c r="F149" s="255" t="s">
        <v>17</v>
      </c>
    </row>
    <row r="150" spans="1:6">
      <c r="A150" s="221" t="s">
        <v>637</v>
      </c>
      <c r="B150" s="222" t="s">
        <v>638</v>
      </c>
      <c r="C150" s="223">
        <v>80217367668.220016</v>
      </c>
      <c r="D150" s="250">
        <f>C150/1000000000</f>
        <v>80.217367668220021</v>
      </c>
      <c r="E150" s="255" t="s">
        <v>636</v>
      </c>
      <c r="F150" s="255" t="s">
        <v>17</v>
      </c>
    </row>
    <row r="151" spans="1:6">
      <c r="A151" s="221" t="s">
        <v>639</v>
      </c>
      <c r="B151" s="222" t="s">
        <v>640</v>
      </c>
      <c r="C151" s="223">
        <v>176087554991.84998</v>
      </c>
      <c r="D151" s="250">
        <f>C151/1000000000</f>
        <v>176.08755499184997</v>
      </c>
      <c r="E151" s="255" t="s">
        <v>636</v>
      </c>
      <c r="F151" s="255" t="s">
        <v>17</v>
      </c>
    </row>
    <row r="152" spans="1:6">
      <c r="A152" s="221" t="s">
        <v>641</v>
      </c>
      <c r="B152" s="222" t="s">
        <v>642</v>
      </c>
      <c r="C152" s="223">
        <v>3006472132.0700002</v>
      </c>
      <c r="D152" s="250">
        <f>C152/1000000000</f>
        <v>3.0064721320700003</v>
      </c>
      <c r="E152" s="255" t="s">
        <v>636</v>
      </c>
      <c r="F152" s="255" t="s">
        <v>17</v>
      </c>
    </row>
    <row r="153" spans="1:6">
      <c r="A153" s="224" t="s">
        <v>643</v>
      </c>
      <c r="B153" s="225" t="s">
        <v>644</v>
      </c>
      <c r="C153" s="226">
        <v>11748171614.029997</v>
      </c>
      <c r="D153" s="251">
        <f>C153/1000000000</f>
        <v>11.748171614029998</v>
      </c>
      <c r="E153" s="255" t="s">
        <v>645</v>
      </c>
      <c r="F153" s="255" t="s">
        <v>22</v>
      </c>
    </row>
    <row r="154" spans="1:6">
      <c r="A154" s="224" t="s">
        <v>646</v>
      </c>
      <c r="B154" s="225" t="s">
        <v>647</v>
      </c>
      <c r="C154" s="226">
        <v>5093130191.9099998</v>
      </c>
      <c r="D154" s="251">
        <f>C154/1000000000</f>
        <v>5.0931301919100003</v>
      </c>
      <c r="E154" s="255" t="s">
        <v>645</v>
      </c>
      <c r="F154" s="255" t="s">
        <v>22</v>
      </c>
    </row>
    <row r="155" spans="1:6">
      <c r="A155" s="224" t="s">
        <v>648</v>
      </c>
      <c r="B155" s="225" t="s">
        <v>649</v>
      </c>
      <c r="C155" s="226">
        <v>1235229407.4299998</v>
      </c>
      <c r="D155" s="251">
        <f>C155/1000000000</f>
        <v>1.2352294074299999</v>
      </c>
      <c r="E155" s="255" t="s">
        <v>645</v>
      </c>
      <c r="F155" s="255" t="s">
        <v>22</v>
      </c>
    </row>
    <row r="156" spans="1:6">
      <c r="A156" s="224" t="s">
        <v>650</v>
      </c>
      <c r="B156" s="225" t="s">
        <v>651</v>
      </c>
      <c r="C156" s="226">
        <v>328088232.44999999</v>
      </c>
      <c r="D156" s="251">
        <f>C156/1000000000</f>
        <v>0.32808823244999996</v>
      </c>
      <c r="E156" s="255" t="s">
        <v>645</v>
      </c>
      <c r="F156" s="255" t="s">
        <v>22</v>
      </c>
    </row>
    <row r="157" spans="1:6">
      <c r="A157" s="224" t="s">
        <v>652</v>
      </c>
      <c r="B157" s="225" t="s">
        <v>653</v>
      </c>
      <c r="C157" s="226">
        <v>159424344.36999997</v>
      </c>
      <c r="D157" s="251">
        <f>C157/1000000000</f>
        <v>0.15942434436999997</v>
      </c>
      <c r="E157" s="255" t="s">
        <v>645</v>
      </c>
      <c r="F157" s="255" t="s">
        <v>22</v>
      </c>
    </row>
    <row r="158" spans="1:6">
      <c r="A158" s="224" t="s">
        <v>654</v>
      </c>
      <c r="B158" s="225" t="s">
        <v>655</v>
      </c>
      <c r="C158" s="226">
        <v>33608022.600000001</v>
      </c>
      <c r="D158" s="251">
        <f>C158/1000000000</f>
        <v>3.3608022600000002E-2</v>
      </c>
      <c r="E158" s="255" t="s">
        <v>645</v>
      </c>
      <c r="F158" s="255" t="s">
        <v>22</v>
      </c>
    </row>
    <row r="159" spans="1:6">
      <c r="A159" s="224" t="s">
        <v>656</v>
      </c>
      <c r="B159" s="225" t="s">
        <v>657</v>
      </c>
      <c r="C159" s="226">
        <v>9214042123.3200016</v>
      </c>
      <c r="D159" s="251">
        <f>C159/1000000000</f>
        <v>9.2140421233200023</v>
      </c>
      <c r="E159" s="255" t="s">
        <v>645</v>
      </c>
      <c r="F159" s="255" t="s">
        <v>22</v>
      </c>
    </row>
    <row r="160" spans="1:6">
      <c r="A160" s="224" t="s">
        <v>658</v>
      </c>
      <c r="B160" s="225" t="s">
        <v>659</v>
      </c>
      <c r="C160" s="226">
        <v>396996987.27999997</v>
      </c>
      <c r="D160" s="251">
        <f>C160/1000000000</f>
        <v>0.39699698727999999</v>
      </c>
      <c r="E160" s="255" t="s">
        <v>645</v>
      </c>
      <c r="F160" s="255" t="s">
        <v>22</v>
      </c>
    </row>
    <row r="161" spans="1:6">
      <c r="A161" s="224" t="s">
        <v>660</v>
      </c>
      <c r="B161" s="225" t="s">
        <v>661</v>
      </c>
      <c r="C161" s="226">
        <v>210733605.36000001</v>
      </c>
      <c r="D161" s="251">
        <f>C161/1000000000</f>
        <v>0.21073360536000002</v>
      </c>
      <c r="E161" s="255" t="s">
        <v>645</v>
      </c>
      <c r="F161" s="255" t="s">
        <v>22</v>
      </c>
    </row>
    <row r="162" spans="1:6">
      <c r="A162" s="227" t="s">
        <v>662</v>
      </c>
      <c r="B162" s="228" t="s">
        <v>663</v>
      </c>
      <c r="C162" s="229">
        <v>32107727906.650002</v>
      </c>
      <c r="D162" s="252">
        <f>C162/1000000000</f>
        <v>32.107727906649998</v>
      </c>
      <c r="E162" s="255" t="s">
        <v>664</v>
      </c>
    </row>
    <row r="163" spans="1:6">
      <c r="A163" s="227" t="s">
        <v>665</v>
      </c>
      <c r="B163" s="228" t="s">
        <v>666</v>
      </c>
      <c r="C163" s="229">
        <v>12993595.860000003</v>
      </c>
      <c r="D163" s="252">
        <f>C163/1000000000</f>
        <v>1.2993595860000004E-2</v>
      </c>
      <c r="E163" s="255" t="s">
        <v>664</v>
      </c>
    </row>
    <row r="164" spans="1:6">
      <c r="A164" s="212" t="s">
        <v>667</v>
      </c>
      <c r="B164" s="213" t="s">
        <v>668</v>
      </c>
      <c r="C164" s="214">
        <v>89468356.860000014</v>
      </c>
      <c r="D164" s="247">
        <f>C164/1000000000</f>
        <v>8.9468356860000015E-2</v>
      </c>
      <c r="E164" s="255" t="s">
        <v>669</v>
      </c>
      <c r="F164" s="255" t="s">
        <v>26</v>
      </c>
    </row>
    <row r="165" spans="1:6">
      <c r="A165" s="230" t="s">
        <v>670</v>
      </c>
      <c r="B165" s="231" t="s">
        <v>671</v>
      </c>
      <c r="C165" s="232">
        <v>16909316.550000001</v>
      </c>
      <c r="D165" s="253">
        <f>C165/1000000000</f>
        <v>1.6909316550000001E-2</v>
      </c>
      <c r="E165" s="255" t="s">
        <v>672</v>
      </c>
      <c r="F165" s="255" t="s">
        <v>23</v>
      </c>
    </row>
    <row r="166" spans="1:6">
      <c r="A166" s="230" t="s">
        <v>673</v>
      </c>
      <c r="B166" s="231" t="s">
        <v>674</v>
      </c>
      <c r="C166" s="232">
        <v>-96857856.72999993</v>
      </c>
      <c r="D166" s="253">
        <f>C166/1000000000</f>
        <v>-9.6857856729999928E-2</v>
      </c>
      <c r="E166" s="255" t="s">
        <v>672</v>
      </c>
      <c r="F166" s="255" t="s">
        <v>23</v>
      </c>
    </row>
    <row r="167" spans="1:6">
      <c r="A167" s="230" t="s">
        <v>675</v>
      </c>
      <c r="B167" s="231" t="s">
        <v>676</v>
      </c>
      <c r="C167" s="232">
        <v>-51918.94</v>
      </c>
      <c r="D167" s="253">
        <f>C167/1000000000</f>
        <v>-5.1918940000000005E-5</v>
      </c>
      <c r="E167" s="255" t="s">
        <v>672</v>
      </c>
      <c r="F167" s="255" t="s">
        <v>23</v>
      </c>
    </row>
    <row r="168" spans="1:6">
      <c r="A168" s="230" t="s">
        <v>677</v>
      </c>
      <c r="B168" s="231" t="s">
        <v>678</v>
      </c>
      <c r="C168" s="232">
        <v>239630104.95000002</v>
      </c>
      <c r="D168" s="253">
        <f>C168/1000000000</f>
        <v>0.23963010495000001</v>
      </c>
      <c r="E168" s="255" t="s">
        <v>672</v>
      </c>
      <c r="F168" s="255" t="s">
        <v>23</v>
      </c>
    </row>
    <row r="169" spans="1:6">
      <c r="A169" s="230" t="s">
        <v>679</v>
      </c>
      <c r="B169" s="231" t="s">
        <v>680</v>
      </c>
      <c r="C169" s="232">
        <v>-19830.649999999994</v>
      </c>
      <c r="D169" s="253">
        <f>C169/1000000000</f>
        <v>-1.9830649999999993E-5</v>
      </c>
      <c r="E169" s="255" t="s">
        <v>672</v>
      </c>
      <c r="F169" s="255" t="s">
        <v>23</v>
      </c>
    </row>
    <row r="170" spans="1:6">
      <c r="A170" s="233" t="s">
        <v>681</v>
      </c>
      <c r="B170" s="234" t="s">
        <v>682</v>
      </c>
      <c r="C170" s="235">
        <v>878670784.63999999</v>
      </c>
      <c r="D170" s="254">
        <f>C170/1000000000</f>
        <v>0.87867078464000004</v>
      </c>
      <c r="E170" s="255" t="s">
        <v>683</v>
      </c>
      <c r="F170" s="255" t="s">
        <v>26</v>
      </c>
    </row>
    <row r="171" spans="1:6">
      <c r="A171" s="233" t="s">
        <v>684</v>
      </c>
      <c r="B171" s="234" t="s">
        <v>685</v>
      </c>
      <c r="C171" s="235">
        <v>479359703.63000005</v>
      </c>
      <c r="D171" s="254">
        <f>C171/1000000000</f>
        <v>0.47935970363000008</v>
      </c>
      <c r="E171" s="255" t="s">
        <v>683</v>
      </c>
      <c r="F171" s="255" t="s">
        <v>26</v>
      </c>
    </row>
    <row r="172" spans="1:6">
      <c r="A172" s="233" t="s">
        <v>686</v>
      </c>
      <c r="B172" s="234" t="s">
        <v>687</v>
      </c>
      <c r="C172" s="235">
        <v>222607133.48000002</v>
      </c>
      <c r="D172" s="254">
        <f>C172/1000000000</f>
        <v>0.22260713348000002</v>
      </c>
      <c r="E172" s="255" t="s">
        <v>683</v>
      </c>
      <c r="F172" s="255" t="s">
        <v>26</v>
      </c>
    </row>
    <row r="173" spans="1:6">
      <c r="A173" s="233" t="s">
        <v>688</v>
      </c>
      <c r="B173" s="234" t="s">
        <v>689</v>
      </c>
      <c r="C173" s="235">
        <v>48616064.530000001</v>
      </c>
      <c r="D173" s="254">
        <f>C173/1000000000</f>
        <v>4.8616064530000003E-2</v>
      </c>
      <c r="E173" s="255" t="s">
        <v>683</v>
      </c>
      <c r="F173" s="255" t="s">
        <v>26</v>
      </c>
    </row>
    <row r="174" spans="1:6">
      <c r="A174" s="233" t="s">
        <v>690</v>
      </c>
      <c r="B174" s="234" t="s">
        <v>691</v>
      </c>
      <c r="C174" s="235">
        <v>82372587.059999987</v>
      </c>
      <c r="D174" s="254">
        <f>C174/1000000000</f>
        <v>8.2372587059999988E-2</v>
      </c>
      <c r="E174" s="255" t="s">
        <v>683</v>
      </c>
      <c r="F174" s="255" t="s">
        <v>26</v>
      </c>
    </row>
    <row r="175" spans="1:6">
      <c r="B175" s="85" t="s">
        <v>325</v>
      </c>
      <c r="C175" s="85">
        <f>SUM(C22:C138)</f>
        <v>53751006842.839958</v>
      </c>
      <c r="D175" s="86">
        <f>C175/1000000000</f>
        <v>53.751006842839956</v>
      </c>
    </row>
  </sheetData>
  <sortState xmlns:xlrd2="http://schemas.microsoft.com/office/spreadsheetml/2017/richdata2" ref="A2:E174">
    <sortCondition ref="E2:E174"/>
  </sortState>
  <phoneticPr fontId="0" type="noConversion"/>
  <pageMargins left="0.75" right="0.75" top="1" bottom="1" header="0.49212598499999999" footer="0.49212598499999999"/>
  <pageSetup paperSize="9" orientation="portrait" horizontalDpi="4294967295" verticalDpi="30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E24"/>
  <sheetViews>
    <sheetView zoomScaleNormal="100" workbookViewId="0">
      <selection activeCell="H14" sqref="H14"/>
    </sheetView>
  </sheetViews>
  <sheetFormatPr defaultColWidth="13.140625" defaultRowHeight="11.25" customHeight="1"/>
  <cols>
    <col min="1" max="1" width="13.140625" style="7"/>
    <col min="2" max="2" width="49" style="7" bestFit="1" customWidth="1"/>
    <col min="3" max="3" width="15.85546875" style="7" bestFit="1" customWidth="1"/>
    <col min="4" max="4" width="19.42578125" style="7" customWidth="1"/>
    <col min="5" max="16384" width="13.140625" style="7"/>
  </cols>
  <sheetData>
    <row r="2" spans="1:5" ht="14.25">
      <c r="A2" s="292" t="s">
        <v>692</v>
      </c>
      <c r="B2" s="292" t="s">
        <v>693</v>
      </c>
      <c r="C2" s="237">
        <v>830266247.65999985</v>
      </c>
      <c r="D2" s="239">
        <f>C2/1000000000</f>
        <v>0.8302662476599999</v>
      </c>
      <c r="E2" s="7" t="s">
        <v>694</v>
      </c>
    </row>
    <row r="3" spans="1:5" ht="14.25">
      <c r="A3" s="292" t="s">
        <v>695</v>
      </c>
      <c r="B3" s="292" t="s">
        <v>696</v>
      </c>
      <c r="C3" s="237">
        <v>7937987373.6499996</v>
      </c>
      <c r="D3" s="239">
        <f t="shared" ref="D3:D22" si="0">C3/1000000000</f>
        <v>7.9379873736499995</v>
      </c>
      <c r="E3" s="7" t="s">
        <v>694</v>
      </c>
    </row>
    <row r="4" spans="1:5" ht="14.25">
      <c r="A4" s="292" t="s">
        <v>697</v>
      </c>
      <c r="B4" s="292" t="s">
        <v>698</v>
      </c>
      <c r="C4" s="237">
        <v>4067360775.8799996</v>
      </c>
      <c r="D4" s="239">
        <f t="shared" si="0"/>
        <v>4.0673607758799992</v>
      </c>
      <c r="E4" s="7" t="s">
        <v>694</v>
      </c>
    </row>
    <row r="5" spans="1:5" ht="14.25">
      <c r="A5" s="292" t="s">
        <v>699</v>
      </c>
      <c r="B5" s="292" t="s">
        <v>700</v>
      </c>
      <c r="C5" s="237">
        <v>4929474988.1800003</v>
      </c>
      <c r="D5" s="239">
        <f t="shared" si="0"/>
        <v>4.92947498818</v>
      </c>
      <c r="E5" s="7" t="s">
        <v>694</v>
      </c>
    </row>
    <row r="6" spans="1:5" ht="14.25">
      <c r="A6" s="292" t="s">
        <v>701</v>
      </c>
      <c r="B6" s="292" t="s">
        <v>702</v>
      </c>
      <c r="C6" s="237">
        <v>674491461.83000004</v>
      </c>
      <c r="D6" s="239">
        <f t="shared" si="0"/>
        <v>0.67449146183000008</v>
      </c>
      <c r="E6" s="7" t="s">
        <v>694</v>
      </c>
    </row>
    <row r="7" spans="1:5" ht="14.25">
      <c r="A7" s="292" t="s">
        <v>703</v>
      </c>
      <c r="B7" s="292" t="s">
        <v>704</v>
      </c>
      <c r="C7" s="237">
        <v>7903181845.1099997</v>
      </c>
      <c r="D7" s="239">
        <f t="shared" si="0"/>
        <v>7.9031818451099998</v>
      </c>
      <c r="E7" s="7" t="s">
        <v>694</v>
      </c>
    </row>
    <row r="8" spans="1:5" ht="14.25">
      <c r="A8" s="292" t="s">
        <v>705</v>
      </c>
      <c r="B8" s="292" t="s">
        <v>706</v>
      </c>
      <c r="C8" s="237">
        <v>3812470414.4099998</v>
      </c>
      <c r="D8" s="239">
        <f t="shared" si="0"/>
        <v>3.8124704144099999</v>
      </c>
      <c r="E8" s="7" t="s">
        <v>694</v>
      </c>
    </row>
    <row r="9" spans="1:5" ht="14.25">
      <c r="A9" s="292" t="s">
        <v>707</v>
      </c>
      <c r="B9" s="292" t="s">
        <v>708</v>
      </c>
      <c r="C9" s="237">
        <v>4929475792.2099991</v>
      </c>
      <c r="D9" s="239">
        <f t="shared" si="0"/>
        <v>4.929475792209999</v>
      </c>
      <c r="E9" s="7" t="s">
        <v>694</v>
      </c>
    </row>
    <row r="10" spans="1:5" ht="14.25">
      <c r="A10" s="292" t="s">
        <v>709</v>
      </c>
      <c r="B10" s="292" t="s">
        <v>710</v>
      </c>
      <c r="C10" s="237">
        <v>36300417404.520004</v>
      </c>
      <c r="D10" s="239">
        <f t="shared" si="0"/>
        <v>36.300417404520005</v>
      </c>
      <c r="E10" s="7" t="s">
        <v>694</v>
      </c>
    </row>
    <row r="11" spans="1:5" ht="14.25">
      <c r="A11" s="292" t="s">
        <v>711</v>
      </c>
      <c r="B11" s="292" t="s">
        <v>712</v>
      </c>
      <c r="C11" s="237">
        <v>1696323434.4299996</v>
      </c>
      <c r="D11" s="239">
        <f t="shared" si="0"/>
        <v>1.6963234344299996</v>
      </c>
      <c r="E11" s="7" t="s">
        <v>694</v>
      </c>
    </row>
    <row r="12" spans="1:5" ht="14.25">
      <c r="A12" s="292" t="s">
        <v>713</v>
      </c>
      <c r="B12" s="292" t="s">
        <v>714</v>
      </c>
      <c r="C12" s="237">
        <v>1177975662.54</v>
      </c>
      <c r="D12" s="239">
        <f t="shared" si="0"/>
        <v>1.17797566254</v>
      </c>
      <c r="E12" s="7" t="s">
        <v>694</v>
      </c>
    </row>
    <row r="13" spans="1:5" ht="14.25">
      <c r="A13" s="292" t="s">
        <v>715</v>
      </c>
      <c r="B13" s="292" t="s">
        <v>716</v>
      </c>
      <c r="C13" s="237">
        <v>24800.690000000002</v>
      </c>
      <c r="D13" s="239">
        <f t="shared" si="0"/>
        <v>2.4800690000000004E-5</v>
      </c>
      <c r="E13" s="7" t="s">
        <v>694</v>
      </c>
    </row>
    <row r="14" spans="1:5" ht="14.25">
      <c r="A14" s="292" t="s">
        <v>717</v>
      </c>
      <c r="B14" s="292" t="s">
        <v>718</v>
      </c>
      <c r="C14" s="237">
        <v>22902958481.520004</v>
      </c>
      <c r="D14" s="239">
        <f t="shared" si="0"/>
        <v>22.902958481520006</v>
      </c>
      <c r="E14" s="7" t="s">
        <v>694</v>
      </c>
    </row>
    <row r="15" spans="1:5" ht="14.25">
      <c r="A15" s="231" t="s">
        <v>719</v>
      </c>
      <c r="B15" s="231" t="s">
        <v>720</v>
      </c>
      <c r="C15" s="232">
        <v>7427874620.8099995</v>
      </c>
      <c r="D15" s="253">
        <f t="shared" si="0"/>
        <v>7.4278746208099991</v>
      </c>
      <c r="E15" s="7" t="s">
        <v>626</v>
      </c>
    </row>
    <row r="16" spans="1:5" ht="14.25">
      <c r="A16" s="190" t="s">
        <v>721</v>
      </c>
      <c r="B16" s="190" t="s">
        <v>722</v>
      </c>
      <c r="C16" s="191">
        <v>20171136.309999999</v>
      </c>
      <c r="D16" s="245">
        <f t="shared" si="0"/>
        <v>2.0171136309999997E-2</v>
      </c>
      <c r="E16" s="7" t="s">
        <v>325</v>
      </c>
    </row>
    <row r="17" spans="1:5" ht="14.25">
      <c r="A17" s="293" t="s">
        <v>723</v>
      </c>
      <c r="B17" s="293" t="s">
        <v>724</v>
      </c>
      <c r="C17" s="294">
        <v>1443174067.5800002</v>
      </c>
      <c r="D17" s="259">
        <f t="shared" si="0"/>
        <v>1.4431740675800002</v>
      </c>
      <c r="E17" s="7" t="s">
        <v>725</v>
      </c>
    </row>
    <row r="18" spans="1:5" ht="14.25">
      <c r="A18" s="293" t="s">
        <v>726</v>
      </c>
      <c r="B18" s="293" t="s">
        <v>727</v>
      </c>
      <c r="C18" s="294">
        <v>2383142130.4300003</v>
      </c>
      <c r="D18" s="259">
        <f t="shared" si="0"/>
        <v>2.3831421304300004</v>
      </c>
      <c r="E18" s="7" t="s">
        <v>725</v>
      </c>
    </row>
    <row r="19" spans="1:5" ht="14.25">
      <c r="A19" s="190" t="s">
        <v>728</v>
      </c>
      <c r="B19" s="190" t="s">
        <v>729</v>
      </c>
      <c r="C19" s="191">
        <v>2087735.0299999998</v>
      </c>
      <c r="D19" s="245">
        <f t="shared" si="0"/>
        <v>2.0877350299999997E-3</v>
      </c>
      <c r="E19" s="7" t="s">
        <v>325</v>
      </c>
    </row>
    <row r="20" spans="1:5" ht="14.25">
      <c r="A20" s="190" t="s">
        <v>730</v>
      </c>
      <c r="B20" s="190" t="s">
        <v>731</v>
      </c>
      <c r="C20" s="191">
        <v>799131.47</v>
      </c>
      <c r="D20" s="245">
        <f t="shared" si="0"/>
        <v>7.9913146999999998E-4</v>
      </c>
      <c r="E20" s="7" t="s">
        <v>325</v>
      </c>
    </row>
    <row r="21" spans="1:5" ht="14.25">
      <c r="A21" s="293" t="s">
        <v>732</v>
      </c>
      <c r="B21" s="293" t="s">
        <v>733</v>
      </c>
      <c r="C21" s="294">
        <v>5052315.6900000004</v>
      </c>
      <c r="D21" s="259">
        <f t="shared" si="0"/>
        <v>5.0523156900000006E-3</v>
      </c>
      <c r="E21" s="7" t="s">
        <v>725</v>
      </c>
    </row>
    <row r="22" spans="1:5" ht="14.25">
      <c r="A22" s="190" t="s">
        <v>734</v>
      </c>
      <c r="B22" s="190" t="s">
        <v>735</v>
      </c>
      <c r="C22" s="191">
        <v>12456.799999999963</v>
      </c>
      <c r="D22" s="245">
        <f t="shared" si="0"/>
        <v>1.2456799999999963E-5</v>
      </c>
      <c r="E22" s="7" t="s">
        <v>325</v>
      </c>
    </row>
    <row r="23" spans="1:5" ht="14.25">
      <c r="D23" s="297"/>
    </row>
    <row r="24" spans="1:5" ht="11.25" customHeight="1">
      <c r="D24" s="267">
        <f>D16+D19+D20+D22</f>
        <v>2.3070459609999996E-2</v>
      </c>
    </row>
  </sheetData>
  <phoneticPr fontId="0" type="noConversion"/>
  <pageMargins left="0.75" right="0.75" top="1" bottom="1" header="0.49212598499999999" footer="0.49212598499999999"/>
  <pageSetup paperSize="9" orientation="portrait" verticalDpi="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D2"/>
  <sheetViews>
    <sheetView workbookViewId="0">
      <selection activeCell="C11" sqref="C11"/>
    </sheetView>
  </sheetViews>
  <sheetFormatPr defaultColWidth="8.85546875" defaultRowHeight="14.25"/>
  <cols>
    <col min="1" max="1" width="7.7109375" style="14" customWidth="1"/>
    <col min="2" max="2" width="40.28515625" style="15" bestFit="1" customWidth="1"/>
    <col min="3" max="3" width="11.7109375" style="7" bestFit="1" customWidth="1"/>
    <col min="4" max="16384" width="8.85546875" style="7"/>
  </cols>
  <sheetData>
    <row r="2" spans="1:4">
      <c r="A2" s="179" t="s">
        <v>736</v>
      </c>
      <c r="B2" s="180" t="s">
        <v>737</v>
      </c>
      <c r="C2" s="181">
        <v>424790.04</v>
      </c>
      <c r="D2" s="7">
        <f>C2/1000000000</f>
        <v>4.2479003999999998E-4</v>
      </c>
    </row>
  </sheetData>
  <phoneticPr fontId="0" type="noConversion"/>
  <pageMargins left="0.75" right="0.75" top="1" bottom="1" header="0.49212598499999999" footer="0.49212598499999999"/>
  <pageSetup paperSize="9" orientation="portrait" horizontalDpi="4294967295" verticalDpi="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Z12"/>
  <sheetViews>
    <sheetView workbookViewId="0">
      <selection activeCell="B2" sqref="B2:B12"/>
    </sheetView>
  </sheetViews>
  <sheetFormatPr defaultColWidth="8.85546875" defaultRowHeight="14.25"/>
  <cols>
    <col min="1" max="1" width="39.7109375" style="8" bestFit="1" customWidth="1"/>
    <col min="2" max="2" width="13.7109375" style="7" bestFit="1" customWidth="1"/>
    <col min="3" max="234" width="8.85546875" style="7"/>
    <col min="235" max="16384" width="8.85546875" style="4"/>
  </cols>
  <sheetData>
    <row r="1" spans="1:2">
      <c r="A1" s="5" t="s">
        <v>738</v>
      </c>
      <c r="B1" s="6">
        <v>2022</v>
      </c>
    </row>
    <row r="2" spans="1:2">
      <c r="A2" s="5" t="s">
        <v>66</v>
      </c>
      <c r="B2" s="17">
        <v>828.14596788186009</v>
      </c>
    </row>
    <row r="3" spans="1:2">
      <c r="A3" s="5" t="s">
        <v>739</v>
      </c>
      <c r="B3" s="17">
        <v>87.533121672609994</v>
      </c>
    </row>
    <row r="4" spans="1:2">
      <c r="A4" s="5" t="s">
        <v>740</v>
      </c>
      <c r="B4" s="17">
        <v>18.575220552490002</v>
      </c>
    </row>
    <row r="5" spans="1:2">
      <c r="A5" s="5" t="s">
        <v>741</v>
      </c>
      <c r="B5" s="17">
        <v>81.090061680050013</v>
      </c>
    </row>
    <row r="6" spans="1:2">
      <c r="A6" s="5" t="s">
        <v>97</v>
      </c>
      <c r="B6" s="17">
        <v>48.769144086289991</v>
      </c>
    </row>
    <row r="7" spans="1:2">
      <c r="A7" s="5" t="s">
        <v>742</v>
      </c>
      <c r="B7" s="17">
        <v>55.326540070180009</v>
      </c>
    </row>
    <row r="8" spans="1:2">
      <c r="A8" s="5" t="s">
        <v>743</v>
      </c>
      <c r="B8" s="17">
        <v>7.7713305148200007</v>
      </c>
    </row>
    <row r="9" spans="1:2">
      <c r="A9" s="5" t="s">
        <v>744</v>
      </c>
      <c r="B9" s="17">
        <v>0</v>
      </c>
    </row>
    <row r="10" spans="1:2">
      <c r="A10" s="178" t="s">
        <v>74</v>
      </c>
      <c r="B10" s="17">
        <v>3.4879530675999999</v>
      </c>
    </row>
    <row r="11" spans="1:2">
      <c r="A11" s="178" t="s">
        <v>745</v>
      </c>
      <c r="B11" s="17">
        <v>1.33513331039</v>
      </c>
    </row>
    <row r="12" spans="1:2">
      <c r="A12" s="178" t="s">
        <v>746</v>
      </c>
      <c r="B12" s="17">
        <v>0.62133266600000003</v>
      </c>
    </row>
  </sheetData>
  <phoneticPr fontId="0" type="noConversion"/>
  <pageMargins left="0.75" right="0.75" top="1" bottom="1" header="0.49212598499999999" footer="0.49212598499999999"/>
  <pageSetup paperSize="9" orientation="portrait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8"/>
  <sheetViews>
    <sheetView workbookViewId="0">
      <selection activeCell="G21" sqref="G21"/>
    </sheetView>
  </sheetViews>
  <sheetFormatPr defaultRowHeight="12.75"/>
  <cols>
    <col min="1" max="1" width="11.140625" customWidth="1"/>
    <col min="2" max="3" width="12" bestFit="1" customWidth="1"/>
  </cols>
  <sheetData>
    <row r="1" spans="1:10" ht="15">
      <c r="A1" s="171" t="s">
        <v>747</v>
      </c>
      <c r="B1" s="171" t="s">
        <v>741</v>
      </c>
      <c r="C1" s="171" t="s">
        <v>745</v>
      </c>
      <c r="D1" s="171" t="s">
        <v>746</v>
      </c>
      <c r="E1" s="171" t="s">
        <v>74</v>
      </c>
      <c r="F1" s="171" t="s">
        <v>97</v>
      </c>
      <c r="G1" s="171" t="s">
        <v>748</v>
      </c>
      <c r="H1" s="171" t="s">
        <v>749</v>
      </c>
      <c r="I1" s="171" t="s">
        <v>750</v>
      </c>
      <c r="J1" s="171" t="s">
        <v>751</v>
      </c>
    </row>
    <row r="2" spans="1:10" ht="15">
      <c r="A2" s="172"/>
      <c r="B2" s="173">
        <v>48.838753453650007</v>
      </c>
      <c r="C2" s="173">
        <v>76.299250428716235</v>
      </c>
      <c r="D2" s="173">
        <v>24.481179051889995</v>
      </c>
      <c r="E2" s="173">
        <v>139.14583994347996</v>
      </c>
      <c r="F2" s="173">
        <v>20.125117873449994</v>
      </c>
      <c r="G2" s="173">
        <v>0.43068630438999994</v>
      </c>
      <c r="H2" s="173">
        <v>29.224977086240003</v>
      </c>
      <c r="I2" s="173">
        <v>0</v>
      </c>
      <c r="J2" s="173">
        <v>15.806464272579996</v>
      </c>
    </row>
    <row r="4" spans="1:10">
      <c r="A4" s="174"/>
    </row>
    <row r="5" spans="1:10">
      <c r="C5" s="175"/>
      <c r="D5" s="176"/>
      <c r="E5" s="175"/>
    </row>
    <row r="6" spans="1:10">
      <c r="A6" s="177"/>
      <c r="C6" s="177"/>
      <c r="D6" s="176"/>
      <c r="E6" s="175"/>
    </row>
    <row r="7" spans="1:10">
      <c r="C7" s="175"/>
      <c r="D7" s="175"/>
      <c r="E7" s="175"/>
    </row>
    <row r="8" spans="1:10">
      <c r="C8" s="175"/>
      <c r="D8" s="175"/>
      <c r="E8" s="176"/>
    </row>
  </sheetData>
  <phoneticPr fontId="0" type="noConversion"/>
  <pageMargins left="0.75" right="0.75" top="1" bottom="1" header="0.49212598499999999" footer="0.49212598499999999"/>
  <pageSetup paperSize="9" orientation="portrait" verticalDpi="0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5"/>
  <sheetViews>
    <sheetView workbookViewId="0">
      <selection activeCell="F23" sqref="F23"/>
    </sheetView>
  </sheetViews>
  <sheetFormatPr defaultColWidth="8.85546875" defaultRowHeight="12.75"/>
  <cols>
    <col min="1" max="1" width="37.42578125" style="11" customWidth="1"/>
    <col min="2" max="2" width="19.42578125" style="11" bestFit="1" customWidth="1"/>
    <col min="3" max="3" width="13.7109375" style="11" bestFit="1" customWidth="1"/>
    <col min="4" max="5" width="8.85546875" style="11"/>
    <col min="6" max="6" width="33.140625" style="11" bestFit="1" customWidth="1"/>
    <col min="7" max="7" width="19.42578125" style="11" bestFit="1" customWidth="1"/>
    <col min="8" max="8" width="13.7109375" style="11" bestFit="1" customWidth="1"/>
    <col min="9" max="16384" width="8.85546875" style="11"/>
  </cols>
  <sheetData>
    <row r="1" spans="1:3">
      <c r="A1" s="9" t="s">
        <v>115</v>
      </c>
      <c r="B1" s="10">
        <v>2024</v>
      </c>
    </row>
    <row r="2" spans="1:3">
      <c r="A2" s="9"/>
      <c r="B2" s="10"/>
    </row>
    <row r="3" spans="1:3">
      <c r="A3" s="9" t="s">
        <v>116</v>
      </c>
      <c r="B3" s="10"/>
    </row>
    <row r="4" spans="1:3">
      <c r="A4" s="9" t="s">
        <v>117</v>
      </c>
      <c r="B4" s="12">
        <v>149831128016</v>
      </c>
      <c r="C4" s="13">
        <f t="shared" ref="C4:C35" si="0">+B4/1000000000</f>
        <v>149.83112801600001</v>
      </c>
    </row>
    <row r="5" spans="1:3">
      <c r="A5" s="9" t="s">
        <v>118</v>
      </c>
      <c r="B5" s="12">
        <v>6765493569</v>
      </c>
      <c r="C5" s="13">
        <f t="shared" si="0"/>
        <v>6.7654935690000002</v>
      </c>
    </row>
    <row r="6" spans="1:3">
      <c r="A6" s="9" t="s">
        <v>119</v>
      </c>
      <c r="B6" s="12">
        <v>3691963</v>
      </c>
      <c r="C6" s="13">
        <f t="shared" si="0"/>
        <v>3.6919629999999999E-3</v>
      </c>
    </row>
    <row r="7" spans="1:3">
      <c r="A7" s="9" t="s">
        <v>120</v>
      </c>
      <c r="B7" s="12">
        <v>3000000000</v>
      </c>
      <c r="C7" s="13">
        <f t="shared" si="0"/>
        <v>3</v>
      </c>
    </row>
    <row r="8" spans="1:3">
      <c r="A8" s="9" t="s">
        <v>752</v>
      </c>
      <c r="B8" s="12">
        <v>36667704139.649994</v>
      </c>
      <c r="C8" s="13">
        <f t="shared" si="0"/>
        <v>36.667704139649992</v>
      </c>
    </row>
    <row r="9" spans="1:3">
      <c r="A9" s="9" t="s">
        <v>122</v>
      </c>
      <c r="B9" s="12"/>
      <c r="C9" s="13">
        <f t="shared" si="0"/>
        <v>0</v>
      </c>
    </row>
    <row r="10" spans="1:3">
      <c r="A10" s="9" t="s">
        <v>753</v>
      </c>
      <c r="B10" s="12">
        <v>0</v>
      </c>
      <c r="C10" s="13">
        <f t="shared" si="0"/>
        <v>0</v>
      </c>
    </row>
    <row r="11" spans="1:3">
      <c r="A11" s="9" t="s">
        <v>124</v>
      </c>
      <c r="B11" s="12">
        <v>737653130</v>
      </c>
      <c r="C11" s="13">
        <f t="shared" si="0"/>
        <v>0.73765312999999999</v>
      </c>
    </row>
    <row r="12" spans="1:3">
      <c r="A12" s="9" t="s">
        <v>125</v>
      </c>
      <c r="B12" s="12">
        <v>0</v>
      </c>
      <c r="C12" s="13">
        <f t="shared" si="0"/>
        <v>0</v>
      </c>
    </row>
    <row r="13" spans="1:3">
      <c r="A13" s="9" t="s">
        <v>126</v>
      </c>
      <c r="B13" s="12">
        <v>674480000</v>
      </c>
      <c r="C13" s="13">
        <f t="shared" si="0"/>
        <v>0.67447999999999997</v>
      </c>
    </row>
    <row r="14" spans="1:3">
      <c r="A14" s="9" t="s">
        <v>127</v>
      </c>
      <c r="B14" s="12">
        <v>33409992069</v>
      </c>
      <c r="C14" s="13">
        <f t="shared" si="0"/>
        <v>33.409992068999998</v>
      </c>
    </row>
    <row r="15" spans="1:3">
      <c r="A15" s="9"/>
      <c r="B15" s="12"/>
      <c r="C15" s="13">
        <f t="shared" si="0"/>
        <v>0</v>
      </c>
    </row>
    <row r="16" spans="1:3">
      <c r="A16" s="9" t="s">
        <v>128</v>
      </c>
      <c r="B16" s="12"/>
      <c r="C16" s="13">
        <f t="shared" si="0"/>
        <v>0</v>
      </c>
    </row>
    <row r="17" spans="1:3">
      <c r="A17" s="9" t="s">
        <v>129</v>
      </c>
      <c r="B17" s="12">
        <v>177034137490</v>
      </c>
      <c r="C17" s="13">
        <f t="shared" si="0"/>
        <v>177.03413749000001</v>
      </c>
    </row>
    <row r="18" spans="1:3">
      <c r="A18" s="9" t="s">
        <v>130</v>
      </c>
      <c r="B18" s="12">
        <v>2517599069</v>
      </c>
      <c r="C18" s="13">
        <f t="shared" si="0"/>
        <v>2.5175990690000001</v>
      </c>
    </row>
    <row r="19" spans="1:3">
      <c r="A19" s="9" t="s">
        <v>119</v>
      </c>
      <c r="B19" s="12">
        <v>8614569</v>
      </c>
      <c r="C19" s="13">
        <f t="shared" si="0"/>
        <v>8.6145690000000007E-3</v>
      </c>
    </row>
    <row r="20" spans="1:3">
      <c r="A20" s="9" t="s">
        <v>120</v>
      </c>
      <c r="B20" s="12">
        <v>985563376</v>
      </c>
      <c r="C20" s="13">
        <f t="shared" si="0"/>
        <v>0.98556337599999999</v>
      </c>
    </row>
    <row r="21" spans="1:3">
      <c r="A21" s="9" t="s">
        <v>752</v>
      </c>
      <c r="B21" s="12">
        <v>89855047377.029999</v>
      </c>
      <c r="C21" s="13">
        <f t="shared" si="0"/>
        <v>89.855047377030004</v>
      </c>
    </row>
    <row r="22" spans="1:3">
      <c r="A22" s="9" t="s">
        <v>753</v>
      </c>
      <c r="B22" s="12">
        <v>0</v>
      </c>
      <c r="C22" s="13">
        <f t="shared" si="0"/>
        <v>0</v>
      </c>
    </row>
    <row r="23" spans="1:3">
      <c r="A23" s="9" t="s">
        <v>124</v>
      </c>
      <c r="B23" s="12">
        <v>241551492</v>
      </c>
      <c r="C23" s="13">
        <f t="shared" si="0"/>
        <v>0.24155149200000001</v>
      </c>
    </row>
    <row r="24" spans="1:3">
      <c r="A24" s="9" t="s">
        <v>131</v>
      </c>
      <c r="B24" s="12">
        <v>313916500</v>
      </c>
      <c r="C24" s="13">
        <f t="shared" si="0"/>
        <v>0.31391649999999999</v>
      </c>
    </row>
    <row r="25" spans="1:3">
      <c r="A25" s="9" t="s">
        <v>132</v>
      </c>
      <c r="B25" s="12">
        <v>35180576528</v>
      </c>
      <c r="C25" s="13">
        <f t="shared" si="0"/>
        <v>35.180576528000003</v>
      </c>
    </row>
    <row r="26" spans="1:3">
      <c r="A26" s="9"/>
      <c r="B26" s="12"/>
      <c r="C26" s="13">
        <f t="shared" si="0"/>
        <v>0</v>
      </c>
    </row>
    <row r="27" spans="1:3">
      <c r="A27" s="9" t="s">
        <v>133</v>
      </c>
      <c r="B27" s="12"/>
      <c r="C27" s="13">
        <f t="shared" si="0"/>
        <v>0</v>
      </c>
    </row>
    <row r="28" spans="1:3">
      <c r="A28" s="9" t="s">
        <v>134</v>
      </c>
      <c r="B28" s="12"/>
      <c r="C28" s="13">
        <f t="shared" si="0"/>
        <v>0</v>
      </c>
    </row>
    <row r="29" spans="1:3">
      <c r="A29" s="9" t="s">
        <v>135</v>
      </c>
      <c r="B29" s="12"/>
      <c r="C29" s="13">
        <f t="shared" si="0"/>
        <v>0</v>
      </c>
    </row>
    <row r="30" spans="1:3">
      <c r="A30" s="9" t="s">
        <v>118</v>
      </c>
      <c r="B30" s="12">
        <v>1691373392.25</v>
      </c>
      <c r="C30" s="13">
        <f t="shared" si="0"/>
        <v>1.6913733922500001</v>
      </c>
    </row>
    <row r="31" spans="1:3">
      <c r="A31" s="9" t="s">
        <v>752</v>
      </c>
      <c r="B31" s="12">
        <v>109833060357.95</v>
      </c>
      <c r="C31" s="13">
        <f t="shared" si="0"/>
        <v>109.83306035795</v>
      </c>
    </row>
    <row r="32" spans="1:3">
      <c r="A32" s="9" t="s">
        <v>126</v>
      </c>
      <c r="B32" s="12">
        <v>168620000</v>
      </c>
      <c r="C32" s="13">
        <f t="shared" si="0"/>
        <v>0.16861999999999999</v>
      </c>
    </row>
    <row r="33" spans="1:3" ht="14.25">
      <c r="B33" s="16"/>
      <c r="C33" s="13">
        <f t="shared" si="0"/>
        <v>0</v>
      </c>
    </row>
    <row r="34" spans="1:3" ht="14.25">
      <c r="A34" s="9" t="s">
        <v>754</v>
      </c>
      <c r="B34" s="16"/>
      <c r="C34" s="13">
        <f t="shared" si="0"/>
        <v>0</v>
      </c>
    </row>
    <row r="35" spans="1:3">
      <c r="A35" s="9" t="s">
        <v>752</v>
      </c>
      <c r="B35" s="12">
        <v>73981471251.850006</v>
      </c>
      <c r="C35" s="13">
        <f t="shared" si="0"/>
        <v>73.98147125185001</v>
      </c>
    </row>
  </sheetData>
  <phoneticPr fontId="0" type="noConversion"/>
  <hyperlinks>
    <hyperlink ref="B2" r:id="rId1" display="http://www.stn.fazenda.gov.br/estados_municipios/download/fundos2004.xls" xr:uid="{00000000-0004-0000-0C00-000000000000}"/>
  </hyperlinks>
  <pageMargins left="0.75" right="0.75" top="1" bottom="1" header="0.49212598499999999" footer="0.49212598499999999"/>
  <pageSetup paperSize="9" orientation="portrait" horizontalDpi="4294967295" r:id="rId2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G5"/>
  <sheetViews>
    <sheetView workbookViewId="0">
      <selection activeCell="W10" sqref="W10"/>
    </sheetView>
  </sheetViews>
  <sheetFormatPr defaultColWidth="8.85546875" defaultRowHeight="12.75"/>
  <sheetData>
    <row r="3" spans="1:7">
      <c r="A3" t="s">
        <v>53</v>
      </c>
      <c r="B3" s="2">
        <f>'AD ESFERA'!D9/100</f>
        <v>0.64781385785364842</v>
      </c>
      <c r="C3" s="2">
        <f>'RD ESFERA'!D9/100</f>
        <v>0.51550414866358429</v>
      </c>
      <c r="F3" s="3">
        <f>'AD ESFERA'!C9</f>
        <v>23.288903250024497</v>
      </c>
      <c r="G3" s="1">
        <f>'RD ESFERA'!C9</f>
        <v>18.532370213550916</v>
      </c>
    </row>
    <row r="4" spans="1:7">
      <c r="A4" t="s">
        <v>755</v>
      </c>
      <c r="B4" s="2">
        <f>'AD ESFERA'!D16/100</f>
        <v>0.26697113253362953</v>
      </c>
      <c r="C4" s="2">
        <f>'RD ESFERA'!D11/100</f>
        <v>0.25180411464928043</v>
      </c>
      <c r="F4" s="3">
        <f>'AD ESFERA'!C16</f>
        <v>9.597610178832868</v>
      </c>
      <c r="G4" s="1">
        <f>'RD ESFERA'!C11</f>
        <v>9.0523560015444975</v>
      </c>
    </row>
    <row r="5" spans="1:7">
      <c r="A5" t="s">
        <v>756</v>
      </c>
      <c r="B5" s="2">
        <f>'AD ESFERA'!D21/100</f>
        <v>8.5215009612721951E-2</v>
      </c>
      <c r="C5" s="2">
        <f>'RD ESFERA'!D13/100</f>
        <v>0.23269173668713519</v>
      </c>
      <c r="F5" s="3">
        <f>'AD ESFERA'!C21</f>
        <v>3.0634789457821912</v>
      </c>
      <c r="G5" s="1">
        <f>'RD ESFERA'!C13</f>
        <v>8.3652661595441486</v>
      </c>
    </row>
  </sheetData>
  <phoneticPr fontId="0" type="noConversion"/>
  <pageMargins left="0.75" right="0.75" top="1" bottom="1" header="0.49212598499999999" footer="0.49212598499999999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Kleber Castro</dc:creator>
  <cp:keywords/>
  <dc:description/>
  <cp:lastModifiedBy>Kleber Castro</cp:lastModifiedBy>
  <cp:revision/>
  <dcterms:created xsi:type="dcterms:W3CDTF">2004-02-10T18:24:15Z</dcterms:created>
  <dcterms:modified xsi:type="dcterms:W3CDTF">2026-07-23T19:42:52Z</dcterms:modified>
  <cp:category/>
  <cp:contentStatus/>
</cp:coreProperties>
</file>