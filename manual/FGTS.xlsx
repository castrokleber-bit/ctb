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a9ff083dff33069/Trabalho/Finance/AD-CTB/Dados Primários/"/>
    </mc:Choice>
  </mc:AlternateContent>
  <xr:revisionPtr revIDLastSave="6" documentId="13_ncr:1_{69CFA931-E2DB-4B24-8B12-D467918176F8}" xr6:coauthVersionLast="47" xr6:coauthVersionMax="47" xr10:uidLastSave="{19E64F10-CCEE-46B8-B546-21AE0E99C90C}"/>
  <bookViews>
    <workbookView xWindow="-23685" yWindow="1005" windowWidth="21600" windowHeight="11295" xr2:uid="{00000000-000D-0000-FFFF-FFFF00000000}"/>
  </bookViews>
  <sheets>
    <sheet name="Plan1" sheetId="1" r:id="rId1"/>
    <sheet name="Plan2" sheetId="2" r:id="rId2"/>
    <sheet name="Plan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44" i="1" l="1"/>
  <c r="C244" i="1"/>
  <c r="D244" i="1"/>
  <c r="E244" i="1"/>
  <c r="F244" i="1"/>
  <c r="E243" i="1"/>
  <c r="E215" i="1"/>
  <c r="E214" i="1"/>
  <c r="E213" i="1"/>
  <c r="D243" i="1"/>
  <c r="C243" i="1"/>
  <c r="B243" i="1"/>
  <c r="C14" i="2"/>
  <c r="D14" i="2"/>
  <c r="B14" i="2"/>
  <c r="E204" i="1" l="1"/>
  <c r="E195" i="1"/>
  <c r="E186" i="1"/>
  <c r="B182" i="1"/>
  <c r="C182" i="1"/>
  <c r="D182" i="1"/>
  <c r="E182" i="1"/>
  <c r="F182" i="1"/>
  <c r="G182" i="1"/>
  <c r="H182" i="1"/>
  <c r="I182" i="1"/>
  <c r="J182" i="1"/>
  <c r="K182" i="1"/>
  <c r="L182" i="1"/>
  <c r="M182" i="1"/>
  <c r="N182" i="1"/>
  <c r="O182" i="1"/>
  <c r="P182" i="1"/>
  <c r="Q182" i="1"/>
  <c r="R182" i="1"/>
  <c r="S182" i="1"/>
  <c r="D155" i="1"/>
  <c r="D146" i="1" l="1"/>
  <c r="D137" i="1" l="1"/>
  <c r="D128" i="1"/>
  <c r="D119" i="1"/>
  <c r="D110" i="1"/>
  <c r="D101" i="1"/>
  <c r="D92" i="1"/>
  <c r="D83" i="1"/>
  <c r="D74" i="1"/>
  <c r="D65" i="1"/>
  <c r="D56" i="1"/>
  <c r="D47" i="1" l="1"/>
  <c r="D38" i="1"/>
  <c r="D29" i="1" l="1"/>
  <c r="D23" i="1"/>
  <c r="D17" i="1"/>
</calcChain>
</file>

<file path=xl/sharedStrings.xml><?xml version="1.0" encoding="utf-8"?>
<sst xmlns="http://schemas.openxmlformats.org/spreadsheetml/2006/main" count="257" uniqueCount="31">
  <si>
    <t>Ano</t>
  </si>
  <si>
    <t>TIPO DE ARRECADAÇÃO</t>
  </si>
  <si>
    <t>VALOR R$</t>
  </si>
  <si>
    <t>Depósito GFIP</t>
  </si>
  <si>
    <t>JAM GFIP</t>
  </si>
  <si>
    <t>Multa e/ou JAM Complementar GFIP</t>
  </si>
  <si>
    <t>Depósito GRFP</t>
  </si>
  <si>
    <t>JAM GRFP</t>
  </si>
  <si>
    <t>Multa e/ou JAM Complementar GRFP</t>
  </si>
  <si>
    <t>Depósito GRDE</t>
  </si>
  <si>
    <t>JAM GRDE</t>
  </si>
  <si>
    <t>Multa e/ou JAM Complementar GRDE</t>
  </si>
  <si>
    <t>https://webp.caixa.gov.br/portal/Relatorio_asp/arrecadacoes.asp</t>
  </si>
  <si>
    <t>http://www.caixa.gov.br/Downloads/fgts-informacoes-diversas/Arrecadacao_Bruta_2000_2017.pdf</t>
  </si>
  <si>
    <t>Mês/Ano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</si>
  <si>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</si>
  <si>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</si>
  <si>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</si>
  <si>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</si>
  <si>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</si>
  <si>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</si>
  <si>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</si>
  <si>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</si>
  <si>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</si>
  <si>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</si>
  <si>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</si>
  <si>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</si>
  <si>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8.381,010.778,77</t>
  </si>
  <si>
    <t xml:space="preserve"> </t>
  </si>
  <si>
    <t>https://www.caixa.gov.br/Downloads/fgts-informacoes-diversas/Arrecadacao_Bruta_2000_a_2023_Fev.pdf</t>
  </si>
  <si>
    <t>0DUoR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</si>
</sst>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</cellStyleXfs>
  <cellXfs count="11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 wrapText="1"/>
    </xf>
    <xf numFmtId="4" fontId="0" fillId="0" borderId="0" xfId="0" applyNumberFormat="1"/>
    <xf numFmtId="4" fontId="0" fillId="0" borderId="0" xfId="0" applyNumberFormat="1" applyAlignment="1">
      <alignment horizontal="right" vertical="center" wrapText="1"/>
    </xf>
    <xf numFmtId="0" fontId="3" fillId="0" borderId="0" xfId="2" applyAlignment="1" applyProtection="1"/>
    <xf numFmtId="43" fontId="0" fillId="0" borderId="0" xfId="1" applyFont="1"/>
    <xf numFmtId="0" fontId="1" fillId="0" borderId="0" xfId="0" applyFont="1"/>
    <xf numFmtId="3" fontId="0" fillId="0" borderId="0" xfId="0" applyNumberFormat="1"/>
    <xf numFmtId="4" fontId="1" fillId="0" borderId="0" xfId="0" applyNumberFormat="1" applyFont="1"/>
  </cellXfs>
  <cellStyles count="3">
    <cellStyle name="Hiperlink" xfId="2" builtinId="8"/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www.caixa.gov.br/Downloads/fgts-informacoes-diversas/Arrecadacao_Bruta_2000_2017.pdf" TargetMode="External"/><Relationship Id="rId1" Type="http://schemas.openxmlformats.org/officeDocument/2006/relationships/hyperlink" Target="https://webp.caixa.gov.br/portal/Relatorio_asp/arrecadacoes.asp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44"/>
  <sheetViews>
    <sheetView tabSelected="1" topLeftCell="A235" workbookViewId="0">
      <selection activeCell="F244" sqref="F244"/>
    </sheetView>
  </sheetViews>
  <sheetFormatPr defaultRowHeight="15" x14ac:dyDescent="0.25"/>
  <cols>
    <col min="2" max="2" width="18.5703125" customWidth="1"/>
    <col min="3" max="3" width="19.5703125" customWidth="1"/>
    <col min="4" max="16" width="18" bestFit="1" customWidth="1"/>
    <col min="17" max="19" width="19" bestFit="1" customWidth="1"/>
  </cols>
  <sheetData>
    <row r="1" spans="1:3" ht="30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>
        <v>1997</v>
      </c>
      <c r="B2" s="3" t="s">
        <v>3</v>
      </c>
      <c r="C2" s="5">
        <v>12377722893.77</v>
      </c>
    </row>
    <row r="3" spans="1:3" x14ac:dyDescent="0.25">
      <c r="A3" s="2"/>
      <c r="B3" s="3" t="s">
        <v>4</v>
      </c>
      <c r="C3" s="5">
        <v>235617176.38</v>
      </c>
    </row>
    <row r="4" spans="1:3" ht="45" x14ac:dyDescent="0.25">
      <c r="A4" s="2"/>
      <c r="B4" s="3" t="s">
        <v>5</v>
      </c>
      <c r="C4" s="5">
        <v>311771436.31</v>
      </c>
    </row>
    <row r="5" spans="1:3" x14ac:dyDescent="0.25">
      <c r="A5" s="2">
        <v>1998</v>
      </c>
      <c r="B5" s="3" t="s">
        <v>3</v>
      </c>
      <c r="C5" s="5">
        <v>12749374127.379999</v>
      </c>
    </row>
    <row r="6" spans="1:3" x14ac:dyDescent="0.25">
      <c r="A6" s="2"/>
      <c r="B6" s="3" t="s">
        <v>6</v>
      </c>
      <c r="C6" s="5">
        <v>3459621653.4699998</v>
      </c>
    </row>
    <row r="7" spans="1:3" x14ac:dyDescent="0.25">
      <c r="A7" s="2"/>
      <c r="B7" s="3" t="s">
        <v>4</v>
      </c>
      <c r="C7" s="5">
        <v>220198990.06</v>
      </c>
    </row>
    <row r="8" spans="1:3" x14ac:dyDescent="0.25">
      <c r="A8" s="2"/>
      <c r="B8" s="3" t="s">
        <v>7</v>
      </c>
      <c r="C8" s="5">
        <v>618983.23</v>
      </c>
    </row>
    <row r="9" spans="1:3" ht="45" x14ac:dyDescent="0.25">
      <c r="A9" s="2"/>
      <c r="B9" s="3" t="s">
        <v>5</v>
      </c>
      <c r="C9" s="5">
        <v>326142590.10000002</v>
      </c>
    </row>
    <row r="10" spans="1:3" ht="45" x14ac:dyDescent="0.25">
      <c r="A10" s="2"/>
      <c r="B10" s="3" t="s">
        <v>8</v>
      </c>
      <c r="C10" s="5">
        <v>25741472.68</v>
      </c>
    </row>
    <row r="11" spans="1:3" x14ac:dyDescent="0.25">
      <c r="A11" s="2">
        <v>1999</v>
      </c>
      <c r="B11" s="3" t="s">
        <v>3</v>
      </c>
      <c r="C11" s="5">
        <v>12928071108.02</v>
      </c>
    </row>
    <row r="12" spans="1:3" x14ac:dyDescent="0.25">
      <c r="A12" s="2"/>
      <c r="B12" s="3" t="s">
        <v>6</v>
      </c>
      <c r="C12" s="5">
        <v>3968843207.2800002</v>
      </c>
    </row>
    <row r="13" spans="1:3" x14ac:dyDescent="0.25">
      <c r="A13" s="2"/>
      <c r="B13" s="3" t="s">
        <v>4</v>
      </c>
      <c r="C13" s="5">
        <v>192036516</v>
      </c>
    </row>
    <row r="14" spans="1:3" x14ac:dyDescent="0.25">
      <c r="A14" s="2"/>
      <c r="B14" s="3" t="s">
        <v>7</v>
      </c>
      <c r="C14" s="5">
        <v>1179394.1599999999</v>
      </c>
    </row>
    <row r="15" spans="1:3" ht="45" x14ac:dyDescent="0.25">
      <c r="A15" s="2"/>
      <c r="B15" s="3" t="s">
        <v>5</v>
      </c>
      <c r="C15" s="5">
        <v>287463233.48000002</v>
      </c>
    </row>
    <row r="16" spans="1:3" ht="45" x14ac:dyDescent="0.25">
      <c r="A16" s="2"/>
      <c r="B16" s="3" t="s">
        <v>8</v>
      </c>
      <c r="C16" s="5">
        <v>30618693.100000001</v>
      </c>
    </row>
    <row r="17" spans="1:4" x14ac:dyDescent="0.25">
      <c r="A17" s="2">
        <v>2000</v>
      </c>
      <c r="B17" s="3" t="s">
        <v>3</v>
      </c>
      <c r="C17" s="5">
        <v>14311849004.25</v>
      </c>
      <c r="D17" s="4">
        <f>SUM(C17:C22)/1000000000</f>
        <v>18.708530527099995</v>
      </c>
    </row>
    <row r="18" spans="1:4" x14ac:dyDescent="0.25">
      <c r="A18" s="2"/>
      <c r="B18" s="3" t="s">
        <v>6</v>
      </c>
      <c r="C18" s="5">
        <v>3982301953.1199999</v>
      </c>
    </row>
    <row r="19" spans="1:4" x14ac:dyDescent="0.25">
      <c r="A19" s="2"/>
      <c r="B19" s="3" t="s">
        <v>4</v>
      </c>
      <c r="C19" s="5">
        <v>219972190.53</v>
      </c>
    </row>
    <row r="20" spans="1:4" x14ac:dyDescent="0.25">
      <c r="A20" s="2"/>
      <c r="B20" s="3" t="s">
        <v>7</v>
      </c>
      <c r="C20" s="5">
        <v>677655.92</v>
      </c>
    </row>
    <row r="21" spans="1:4" ht="45" x14ac:dyDescent="0.25">
      <c r="A21" s="2"/>
      <c r="B21" s="3" t="s">
        <v>5</v>
      </c>
      <c r="C21" s="5">
        <v>179989419.28</v>
      </c>
    </row>
    <row r="22" spans="1:4" ht="45" x14ac:dyDescent="0.25">
      <c r="A22" s="2"/>
      <c r="B22" s="3" t="s">
        <v>8</v>
      </c>
      <c r="C22" s="5">
        <v>13740304</v>
      </c>
    </row>
    <row r="23" spans="1:4" x14ac:dyDescent="0.25">
      <c r="A23" s="2">
        <v>2001</v>
      </c>
      <c r="B23" s="3" t="s">
        <v>3</v>
      </c>
      <c r="C23" s="5">
        <v>16052184922.129999</v>
      </c>
      <c r="D23" s="4">
        <f>SUM(C23:C28)/1000000000</f>
        <v>21.074052206149997</v>
      </c>
    </row>
    <row r="24" spans="1:4" x14ac:dyDescent="0.25">
      <c r="A24" s="2"/>
      <c r="B24" s="3" t="s">
        <v>6</v>
      </c>
      <c r="C24" s="5">
        <v>4582697454.5500002</v>
      </c>
    </row>
    <row r="25" spans="1:4" x14ac:dyDescent="0.25">
      <c r="A25" s="2"/>
      <c r="B25" s="3" t="s">
        <v>4</v>
      </c>
      <c r="C25" s="5">
        <v>234728758.80000001</v>
      </c>
    </row>
    <row r="26" spans="1:4" x14ac:dyDescent="0.25">
      <c r="A26" s="2"/>
      <c r="B26" s="3" t="s">
        <v>7</v>
      </c>
      <c r="C26" s="5">
        <v>616660.47999999998</v>
      </c>
    </row>
    <row r="27" spans="1:4" ht="45" x14ac:dyDescent="0.25">
      <c r="A27" s="2"/>
      <c r="B27" s="3" t="s">
        <v>5</v>
      </c>
      <c r="C27" s="5">
        <v>194393316.84999999</v>
      </c>
    </row>
    <row r="28" spans="1:4" ht="45" x14ac:dyDescent="0.25">
      <c r="A28" s="2"/>
      <c r="B28" s="3" t="s">
        <v>8</v>
      </c>
      <c r="C28" s="5">
        <v>9431093.3399999999</v>
      </c>
    </row>
    <row r="29" spans="1:4" x14ac:dyDescent="0.25">
      <c r="A29" s="2">
        <v>2002</v>
      </c>
      <c r="B29" s="3" t="s">
        <v>3</v>
      </c>
      <c r="C29" s="5">
        <v>17473473827.91</v>
      </c>
      <c r="D29" s="4">
        <f>SUM(C29:C37)/1000000000</f>
        <v>22.421996700430004</v>
      </c>
    </row>
    <row r="30" spans="1:4" x14ac:dyDescent="0.25">
      <c r="A30" s="2"/>
      <c r="B30" s="3" t="s">
        <v>9</v>
      </c>
      <c r="C30" s="5">
        <v>4251869.58</v>
      </c>
    </row>
    <row r="31" spans="1:4" x14ac:dyDescent="0.25">
      <c r="A31" s="2"/>
      <c r="B31" s="3" t="s">
        <v>6</v>
      </c>
      <c r="C31" s="5">
        <v>4478589553.4200001</v>
      </c>
    </row>
    <row r="32" spans="1:4" x14ac:dyDescent="0.25">
      <c r="A32" s="2"/>
      <c r="B32" s="3" t="s">
        <v>4</v>
      </c>
      <c r="C32" s="5">
        <v>232111936.03999999</v>
      </c>
    </row>
    <row r="33" spans="1:4" x14ac:dyDescent="0.25">
      <c r="A33" s="2"/>
      <c r="B33" s="3" t="s">
        <v>10</v>
      </c>
      <c r="C33" s="5">
        <v>6380898.4400000004</v>
      </c>
    </row>
    <row r="34" spans="1:4" x14ac:dyDescent="0.25">
      <c r="A34" s="2"/>
      <c r="B34" s="3" t="s">
        <v>7</v>
      </c>
      <c r="C34" s="5">
        <v>1329450.04</v>
      </c>
    </row>
    <row r="35" spans="1:4" ht="45" x14ac:dyDescent="0.25">
      <c r="A35" s="2"/>
      <c r="B35" s="3" t="s">
        <v>5</v>
      </c>
      <c r="C35" s="5">
        <v>210012992.66999999</v>
      </c>
    </row>
    <row r="36" spans="1:4" ht="45" x14ac:dyDescent="0.25">
      <c r="A36" s="2"/>
      <c r="B36" s="3" t="s">
        <v>11</v>
      </c>
      <c r="C36" s="5">
        <v>5349282.83</v>
      </c>
    </row>
    <row r="37" spans="1:4" ht="45" x14ac:dyDescent="0.25">
      <c r="A37" s="2"/>
      <c r="B37" s="3" t="s">
        <v>8</v>
      </c>
      <c r="C37" s="5">
        <v>10496889.5</v>
      </c>
    </row>
    <row r="38" spans="1:4" x14ac:dyDescent="0.25">
      <c r="A38" s="2">
        <v>2003</v>
      </c>
      <c r="B38" s="3" t="s">
        <v>3</v>
      </c>
      <c r="C38" s="5">
        <v>19628023933.700001</v>
      </c>
      <c r="D38">
        <f>SUM(C38:C46)/1000000000</f>
        <v>24.956352242580003</v>
      </c>
    </row>
    <row r="39" spans="1:4" x14ac:dyDescent="0.25">
      <c r="A39" s="2"/>
      <c r="B39" s="3" t="s">
        <v>9</v>
      </c>
      <c r="C39" s="5">
        <v>43788635.619999997</v>
      </c>
    </row>
    <row r="40" spans="1:4" x14ac:dyDescent="0.25">
      <c r="A40" s="2"/>
      <c r="B40" s="3" t="s">
        <v>6</v>
      </c>
      <c r="C40" s="5">
        <v>4769712422.1099997</v>
      </c>
    </row>
    <row r="41" spans="1:4" x14ac:dyDescent="0.25">
      <c r="A41" s="2"/>
      <c r="B41" s="3" t="s">
        <v>4</v>
      </c>
      <c r="C41" s="5">
        <v>207585962.5</v>
      </c>
    </row>
    <row r="42" spans="1:4" x14ac:dyDescent="0.25">
      <c r="A42" s="2"/>
      <c r="B42" s="3" t="s">
        <v>10</v>
      </c>
      <c r="C42" s="5">
        <v>49367239.969999999</v>
      </c>
    </row>
    <row r="43" spans="1:4" x14ac:dyDescent="0.25">
      <c r="A43" s="2"/>
      <c r="B43" s="3" t="s">
        <v>7</v>
      </c>
      <c r="C43" s="5">
        <v>2142638.1</v>
      </c>
    </row>
    <row r="44" spans="1:4" ht="45" x14ac:dyDescent="0.25">
      <c r="A44" s="2"/>
      <c r="B44" s="3" t="s">
        <v>5</v>
      </c>
      <c r="C44" s="5">
        <v>196738652.93000001</v>
      </c>
    </row>
    <row r="45" spans="1:4" ht="45" x14ac:dyDescent="0.25">
      <c r="A45" s="2"/>
      <c r="B45" s="3" t="s">
        <v>11</v>
      </c>
      <c r="C45" s="5">
        <v>47247037.829999998</v>
      </c>
    </row>
    <row r="46" spans="1:4" ht="45" x14ac:dyDescent="0.25">
      <c r="A46" s="2"/>
      <c r="B46" s="3" t="s">
        <v>8</v>
      </c>
      <c r="C46" s="5">
        <v>11745719.82</v>
      </c>
    </row>
    <row r="47" spans="1:4" x14ac:dyDescent="0.25">
      <c r="A47" s="2">
        <v>2004</v>
      </c>
      <c r="B47" s="3" t="s">
        <v>3</v>
      </c>
      <c r="C47" s="5">
        <v>22807429512.290001</v>
      </c>
      <c r="D47">
        <f>SUM(C47:C55)/1000000000</f>
        <v>28.269333316919997</v>
      </c>
    </row>
    <row r="48" spans="1:4" x14ac:dyDescent="0.25">
      <c r="A48" s="2"/>
      <c r="B48" s="3" t="s">
        <v>9</v>
      </c>
      <c r="C48" s="5">
        <v>47927635.350000001</v>
      </c>
    </row>
    <row r="49" spans="1:4" x14ac:dyDescent="0.25">
      <c r="A49" s="2"/>
      <c r="B49" s="3" t="s">
        <v>6</v>
      </c>
      <c r="C49" s="5">
        <v>4884509100.1300001</v>
      </c>
    </row>
    <row r="50" spans="1:4" x14ac:dyDescent="0.25">
      <c r="A50" s="2"/>
      <c r="B50" s="3" t="s">
        <v>4</v>
      </c>
      <c r="C50" s="5">
        <v>187048319.53</v>
      </c>
    </row>
    <row r="51" spans="1:4" x14ac:dyDescent="0.25">
      <c r="A51" s="2"/>
      <c r="B51" s="3" t="s">
        <v>10</v>
      </c>
      <c r="C51" s="5">
        <v>61770235.340000004</v>
      </c>
    </row>
    <row r="52" spans="1:4" x14ac:dyDescent="0.25">
      <c r="A52" s="2"/>
      <c r="B52" s="3" t="s">
        <v>7</v>
      </c>
      <c r="C52" s="5">
        <v>1958876.07</v>
      </c>
    </row>
    <row r="53" spans="1:4" ht="45" x14ac:dyDescent="0.25">
      <c r="A53" s="2"/>
      <c r="B53" s="3" t="s">
        <v>5</v>
      </c>
      <c r="C53" s="5">
        <v>212253307.37</v>
      </c>
    </row>
    <row r="54" spans="1:4" ht="45" x14ac:dyDescent="0.25">
      <c r="A54" s="2"/>
      <c r="B54" s="3" t="s">
        <v>11</v>
      </c>
      <c r="C54" s="5">
        <v>53921314.939999998</v>
      </c>
    </row>
    <row r="55" spans="1:4" ht="45" x14ac:dyDescent="0.25">
      <c r="A55" s="2"/>
      <c r="B55" s="3" t="s">
        <v>8</v>
      </c>
      <c r="C55" s="5">
        <v>12515015.9</v>
      </c>
    </row>
    <row r="56" spans="1:4" x14ac:dyDescent="0.25">
      <c r="A56" s="2">
        <v>2005</v>
      </c>
      <c r="B56" s="3" t="s">
        <v>3</v>
      </c>
      <c r="C56" s="5">
        <v>25895270542.049999</v>
      </c>
      <c r="D56">
        <f>SUM(C56:C64)/1000000000</f>
        <v>32.24787701727</v>
      </c>
    </row>
    <row r="57" spans="1:4" x14ac:dyDescent="0.25">
      <c r="A57" s="2"/>
      <c r="B57" s="3" t="s">
        <v>9</v>
      </c>
      <c r="C57" s="5">
        <v>43876100.689999998</v>
      </c>
    </row>
    <row r="58" spans="1:4" x14ac:dyDescent="0.25">
      <c r="A58" s="2"/>
      <c r="B58" s="3" t="s">
        <v>6</v>
      </c>
      <c r="C58" s="5">
        <v>5764750916.1800003</v>
      </c>
    </row>
    <row r="59" spans="1:4" x14ac:dyDescent="0.25">
      <c r="A59" s="2"/>
      <c r="B59" s="3" t="s">
        <v>4</v>
      </c>
      <c r="C59" s="5">
        <v>188756175.02000001</v>
      </c>
    </row>
    <row r="60" spans="1:4" x14ac:dyDescent="0.25">
      <c r="A60" s="2"/>
      <c r="B60" s="3" t="s">
        <v>10</v>
      </c>
      <c r="C60" s="5">
        <v>61116941.590000004</v>
      </c>
    </row>
    <row r="61" spans="1:4" x14ac:dyDescent="0.25">
      <c r="A61" s="2"/>
      <c r="B61" s="3" t="s">
        <v>7</v>
      </c>
      <c r="C61" s="5">
        <v>2195957.92</v>
      </c>
    </row>
    <row r="62" spans="1:4" ht="45" x14ac:dyDescent="0.25">
      <c r="A62" s="2"/>
      <c r="B62" s="3" t="s">
        <v>5</v>
      </c>
      <c r="C62" s="5">
        <v>228749836.83000001</v>
      </c>
    </row>
    <row r="63" spans="1:4" ht="45" x14ac:dyDescent="0.25">
      <c r="A63" s="2"/>
      <c r="B63" s="3" t="s">
        <v>11</v>
      </c>
      <c r="C63" s="5">
        <v>48124983.159999996</v>
      </c>
    </row>
    <row r="64" spans="1:4" ht="45" x14ac:dyDescent="0.25">
      <c r="A64" s="2"/>
      <c r="B64" s="3" t="s">
        <v>8</v>
      </c>
      <c r="C64" s="5">
        <v>15035563.83</v>
      </c>
    </row>
    <row r="65" spans="1:4" x14ac:dyDescent="0.25">
      <c r="A65" s="2">
        <v>2006</v>
      </c>
      <c r="B65" s="3" t="s">
        <v>3</v>
      </c>
      <c r="C65" s="5">
        <v>29229222054.029999</v>
      </c>
      <c r="D65">
        <f>SUM(C65:C73)/1000000000</f>
        <v>36.505404629329995</v>
      </c>
    </row>
    <row r="66" spans="1:4" x14ac:dyDescent="0.25">
      <c r="A66" s="2"/>
      <c r="B66" s="3" t="s">
        <v>9</v>
      </c>
      <c r="C66" s="5">
        <v>38583850.409999996</v>
      </c>
    </row>
    <row r="67" spans="1:4" x14ac:dyDescent="0.25">
      <c r="A67" s="2"/>
      <c r="B67" s="3" t="s">
        <v>6</v>
      </c>
      <c r="C67" s="5">
        <v>6654165255.5900002</v>
      </c>
    </row>
    <row r="68" spans="1:4" x14ac:dyDescent="0.25">
      <c r="A68" s="2"/>
      <c r="B68" s="3" t="s">
        <v>4</v>
      </c>
      <c r="C68" s="5">
        <v>196251423.71000001</v>
      </c>
    </row>
    <row r="69" spans="1:4" x14ac:dyDescent="0.25">
      <c r="A69" s="2"/>
      <c r="B69" s="3" t="s">
        <v>10</v>
      </c>
      <c r="C69" s="5">
        <v>80003116.650000006</v>
      </c>
    </row>
    <row r="70" spans="1:4" x14ac:dyDescent="0.25">
      <c r="A70" s="2"/>
      <c r="B70" s="3" t="s">
        <v>7</v>
      </c>
      <c r="C70" s="5">
        <v>2698288.1</v>
      </c>
    </row>
    <row r="71" spans="1:4" ht="45" x14ac:dyDescent="0.25">
      <c r="A71" s="2"/>
      <c r="B71" s="3" t="s">
        <v>5</v>
      </c>
      <c r="C71" s="5">
        <v>239441498.59999999</v>
      </c>
    </row>
    <row r="72" spans="1:4" ht="45" x14ac:dyDescent="0.25">
      <c r="A72" s="2"/>
      <c r="B72" s="3" t="s">
        <v>11</v>
      </c>
      <c r="C72" s="5">
        <v>48240944.920000002</v>
      </c>
    </row>
    <row r="73" spans="1:4" ht="45" x14ac:dyDescent="0.25">
      <c r="A73" s="2"/>
      <c r="B73" s="3" t="s">
        <v>8</v>
      </c>
      <c r="C73" s="5">
        <v>16798197.32</v>
      </c>
    </row>
    <row r="74" spans="1:4" x14ac:dyDescent="0.25">
      <c r="A74" s="2">
        <v>2007</v>
      </c>
      <c r="B74" s="3" t="s">
        <v>3</v>
      </c>
      <c r="C74" s="5">
        <v>33335847335.549999</v>
      </c>
      <c r="D74">
        <f>SUM(C74:C82)/1000000000</f>
        <v>41.630508849160002</v>
      </c>
    </row>
    <row r="75" spans="1:4" x14ac:dyDescent="0.25">
      <c r="A75" s="2"/>
      <c r="B75" s="3" t="s">
        <v>9</v>
      </c>
      <c r="C75" s="5">
        <v>40140944.659999996</v>
      </c>
    </row>
    <row r="76" spans="1:4" x14ac:dyDescent="0.25">
      <c r="A76" s="2"/>
      <c r="B76" s="3" t="s">
        <v>6</v>
      </c>
      <c r="C76" s="5">
        <v>7632283079.3699999</v>
      </c>
    </row>
    <row r="77" spans="1:4" x14ac:dyDescent="0.25">
      <c r="A77" s="2"/>
      <c r="B77" s="3" t="s">
        <v>4</v>
      </c>
      <c r="C77" s="5">
        <v>207894346.66999999</v>
      </c>
    </row>
    <row r="78" spans="1:4" x14ac:dyDescent="0.25">
      <c r="A78" s="2"/>
      <c r="B78" s="3" t="s">
        <v>10</v>
      </c>
      <c r="C78" s="5">
        <v>67238176.790000007</v>
      </c>
    </row>
    <row r="79" spans="1:4" x14ac:dyDescent="0.25">
      <c r="A79" s="2"/>
      <c r="B79" s="3" t="s">
        <v>7</v>
      </c>
      <c r="C79" s="5">
        <v>2833923.73</v>
      </c>
    </row>
    <row r="80" spans="1:4" ht="45" x14ac:dyDescent="0.25">
      <c r="A80" s="2"/>
      <c r="B80" s="3" t="s">
        <v>5</v>
      </c>
      <c r="C80" s="5">
        <v>265765210.96000001</v>
      </c>
    </row>
    <row r="81" spans="1:4" ht="45" x14ac:dyDescent="0.25">
      <c r="A81" s="2"/>
      <c r="B81" s="3" t="s">
        <v>11</v>
      </c>
      <c r="C81" s="5">
        <v>40482474.439999998</v>
      </c>
    </row>
    <row r="82" spans="1:4" ht="45" x14ac:dyDescent="0.25">
      <c r="A82" s="2"/>
      <c r="B82" s="3" t="s">
        <v>8</v>
      </c>
      <c r="C82" s="5">
        <v>38023356.990000002</v>
      </c>
    </row>
    <row r="83" spans="1:4" x14ac:dyDescent="0.25">
      <c r="A83" s="2">
        <v>2008</v>
      </c>
      <c r="B83" s="3" t="s">
        <v>3</v>
      </c>
      <c r="C83" s="5">
        <v>38885847666.379997</v>
      </c>
      <c r="D83">
        <f>SUM(C83:C91)/1000000000</f>
        <v>48.714379836640006</v>
      </c>
    </row>
    <row r="84" spans="1:4" x14ac:dyDescent="0.25">
      <c r="A84" s="2"/>
      <c r="B84" s="3" t="s">
        <v>9</v>
      </c>
      <c r="C84" s="5">
        <v>25971395.34</v>
      </c>
    </row>
    <row r="85" spans="1:4" x14ac:dyDescent="0.25">
      <c r="A85" s="2"/>
      <c r="B85" s="3" t="s">
        <v>6</v>
      </c>
      <c r="C85" s="5">
        <v>9133355733</v>
      </c>
    </row>
    <row r="86" spans="1:4" x14ac:dyDescent="0.25">
      <c r="A86" s="2"/>
      <c r="B86" s="3" t="s">
        <v>4</v>
      </c>
      <c r="C86" s="5">
        <v>210151803.55000001</v>
      </c>
    </row>
    <row r="87" spans="1:4" x14ac:dyDescent="0.25">
      <c r="A87" s="2"/>
      <c r="B87" s="3" t="s">
        <v>10</v>
      </c>
      <c r="C87" s="5">
        <v>62767182.369999997</v>
      </c>
    </row>
    <row r="88" spans="1:4" x14ac:dyDescent="0.25">
      <c r="A88" s="2"/>
      <c r="B88" s="3" t="s">
        <v>7</v>
      </c>
      <c r="C88" s="5">
        <v>3024663.12</v>
      </c>
    </row>
    <row r="89" spans="1:4" ht="45" x14ac:dyDescent="0.25">
      <c r="A89" s="2"/>
      <c r="B89" s="3" t="s">
        <v>5</v>
      </c>
      <c r="C89" s="5">
        <v>285923064.14999998</v>
      </c>
    </row>
    <row r="90" spans="1:4" ht="45" x14ac:dyDescent="0.25">
      <c r="A90" s="2"/>
      <c r="B90" s="3" t="s">
        <v>11</v>
      </c>
      <c r="C90" s="5">
        <v>39580763.649999999</v>
      </c>
    </row>
    <row r="91" spans="1:4" ht="45" x14ac:dyDescent="0.25">
      <c r="A91" s="2"/>
      <c r="B91" s="3" t="s">
        <v>8</v>
      </c>
      <c r="C91" s="5">
        <v>67757565.079999998</v>
      </c>
    </row>
    <row r="92" spans="1:4" x14ac:dyDescent="0.25">
      <c r="A92" s="2">
        <v>2009</v>
      </c>
      <c r="B92" s="3" t="s">
        <v>3</v>
      </c>
      <c r="C92" s="5">
        <v>43089601983.660004</v>
      </c>
      <c r="D92">
        <f>SUM(C92:C100)/1000000000</f>
        <v>54.725947860410002</v>
      </c>
    </row>
    <row r="93" spans="1:4" x14ac:dyDescent="0.25">
      <c r="A93" s="2"/>
      <c r="B93" s="3" t="s">
        <v>9</v>
      </c>
      <c r="C93" s="5">
        <v>24275748</v>
      </c>
    </row>
    <row r="94" spans="1:4" x14ac:dyDescent="0.25">
      <c r="A94" s="2"/>
      <c r="B94" s="3" t="s">
        <v>6</v>
      </c>
      <c r="C94" s="5">
        <v>10898151825.43</v>
      </c>
    </row>
    <row r="95" spans="1:4" x14ac:dyDescent="0.25">
      <c r="A95" s="2"/>
      <c r="B95" s="3" t="s">
        <v>4</v>
      </c>
      <c r="C95" s="5">
        <v>191946517.94999999</v>
      </c>
    </row>
    <row r="96" spans="1:4" x14ac:dyDescent="0.25">
      <c r="A96" s="2"/>
      <c r="B96" s="3" t="s">
        <v>10</v>
      </c>
      <c r="C96" s="5">
        <v>59959179.93</v>
      </c>
    </row>
    <row r="97" spans="1:4" x14ac:dyDescent="0.25">
      <c r="A97" s="2"/>
      <c r="B97" s="3" t="s">
        <v>7</v>
      </c>
      <c r="C97" s="5">
        <v>3462270.45</v>
      </c>
    </row>
    <row r="98" spans="1:4" ht="45" x14ac:dyDescent="0.25">
      <c r="A98" s="2"/>
      <c r="B98" s="3" t="s">
        <v>5</v>
      </c>
      <c r="C98" s="5">
        <v>319742841.87</v>
      </c>
    </row>
    <row r="99" spans="1:4" ht="45" x14ac:dyDescent="0.25">
      <c r="A99" s="2"/>
      <c r="B99" s="3" t="s">
        <v>11</v>
      </c>
      <c r="C99" s="5">
        <v>53165799.619999997</v>
      </c>
    </row>
    <row r="100" spans="1:4" ht="45" x14ac:dyDescent="0.25">
      <c r="A100" s="2"/>
      <c r="B100" s="3" t="s">
        <v>8</v>
      </c>
      <c r="C100" s="5">
        <v>85641693.5</v>
      </c>
    </row>
    <row r="101" spans="1:4" x14ac:dyDescent="0.25">
      <c r="A101" s="2">
        <v>2010</v>
      </c>
      <c r="B101" s="3" t="s">
        <v>3</v>
      </c>
      <c r="C101" s="5">
        <v>50267654636.709999</v>
      </c>
      <c r="D101">
        <f>SUM(C101:C109)/1000000000</f>
        <v>61.797213442769994</v>
      </c>
    </row>
    <row r="102" spans="1:4" x14ac:dyDescent="0.25">
      <c r="A102" s="2"/>
      <c r="B102" s="3" t="s">
        <v>9</v>
      </c>
      <c r="C102" s="5">
        <v>23358127.23</v>
      </c>
    </row>
    <row r="103" spans="1:4" x14ac:dyDescent="0.25">
      <c r="A103" s="2"/>
      <c r="B103" s="3" t="s">
        <v>6</v>
      </c>
      <c r="C103" s="5">
        <v>10739080083.58</v>
      </c>
    </row>
    <row r="104" spans="1:4" x14ac:dyDescent="0.25">
      <c r="A104" s="2"/>
      <c r="B104" s="3" t="s">
        <v>4</v>
      </c>
      <c r="C104" s="5">
        <v>187267932.50999999</v>
      </c>
    </row>
    <row r="105" spans="1:4" x14ac:dyDescent="0.25">
      <c r="A105" s="2"/>
      <c r="B105" s="3" t="s">
        <v>10</v>
      </c>
      <c r="C105" s="5">
        <v>58633375.43</v>
      </c>
    </row>
    <row r="106" spans="1:4" x14ac:dyDescent="0.25">
      <c r="A106" s="2"/>
      <c r="B106" s="3" t="s">
        <v>7</v>
      </c>
      <c r="C106" s="5">
        <v>3135219.92</v>
      </c>
    </row>
    <row r="107" spans="1:4" ht="45" x14ac:dyDescent="0.25">
      <c r="A107" s="2"/>
      <c r="B107" s="3" t="s">
        <v>5</v>
      </c>
      <c r="C107" s="5">
        <v>361022096.69999999</v>
      </c>
    </row>
    <row r="108" spans="1:4" ht="45" x14ac:dyDescent="0.25">
      <c r="A108" s="2"/>
      <c r="B108" s="3" t="s">
        <v>11</v>
      </c>
      <c r="C108" s="5">
        <v>71760028.170000002</v>
      </c>
    </row>
    <row r="109" spans="1:4" ht="45" x14ac:dyDescent="0.25">
      <c r="A109" s="2"/>
      <c r="B109" s="3" t="s">
        <v>8</v>
      </c>
      <c r="C109" s="5">
        <v>85301942.519999996</v>
      </c>
    </row>
    <row r="110" spans="1:4" x14ac:dyDescent="0.25">
      <c r="A110" s="2">
        <v>2011</v>
      </c>
      <c r="B110" s="3" t="s">
        <v>3</v>
      </c>
      <c r="C110" s="5">
        <v>58803936517.099998</v>
      </c>
      <c r="D110">
        <f>SUM(C110:C118)/1000000000</f>
        <v>72.26093929261998</v>
      </c>
    </row>
    <row r="111" spans="1:4" x14ac:dyDescent="0.25">
      <c r="A111" s="2"/>
      <c r="B111" s="3" t="s">
        <v>9</v>
      </c>
      <c r="C111" s="5">
        <v>27685970.239999998</v>
      </c>
    </row>
    <row r="112" spans="1:4" x14ac:dyDescent="0.25">
      <c r="A112" s="2"/>
      <c r="B112" s="3" t="s">
        <v>6</v>
      </c>
      <c r="C112" s="5">
        <v>12609326199.17</v>
      </c>
    </row>
    <row r="113" spans="1:4" x14ac:dyDescent="0.25">
      <c r="A113" s="2"/>
      <c r="B113" s="3" t="s">
        <v>4</v>
      </c>
      <c r="C113" s="5">
        <v>198652822.84</v>
      </c>
    </row>
    <row r="114" spans="1:4" x14ac:dyDescent="0.25">
      <c r="A114" s="2"/>
      <c r="B114" s="3" t="s">
        <v>10</v>
      </c>
      <c r="C114" s="5">
        <v>57806074.369999997</v>
      </c>
    </row>
    <row r="115" spans="1:4" x14ac:dyDescent="0.25">
      <c r="A115" s="2"/>
      <c r="B115" s="3" t="s">
        <v>7</v>
      </c>
      <c r="C115" s="5">
        <v>3933754.51</v>
      </c>
    </row>
    <row r="116" spans="1:4" ht="45" x14ac:dyDescent="0.25">
      <c r="A116" s="2"/>
      <c r="B116" s="3" t="s">
        <v>5</v>
      </c>
      <c r="C116" s="5">
        <v>401291857.01999998</v>
      </c>
    </row>
    <row r="117" spans="1:4" ht="45" x14ac:dyDescent="0.25">
      <c r="A117" s="2"/>
      <c r="B117" s="3" t="s">
        <v>11</v>
      </c>
      <c r="C117" s="5">
        <v>57224246.25</v>
      </c>
    </row>
    <row r="118" spans="1:4" ht="45" x14ac:dyDescent="0.25">
      <c r="A118" s="2"/>
      <c r="B118" s="3" t="s">
        <v>8</v>
      </c>
      <c r="C118" s="5">
        <v>101081851.12</v>
      </c>
    </row>
    <row r="119" spans="1:4" x14ac:dyDescent="0.25">
      <c r="A119" s="2">
        <v>2012</v>
      </c>
      <c r="B119" s="3" t="s">
        <v>3</v>
      </c>
      <c r="C119" s="5">
        <v>67447977060.400002</v>
      </c>
      <c r="D119">
        <f>SUM(C119:C127)/1000000000</f>
        <v>83.033513518829992</v>
      </c>
    </row>
    <row r="120" spans="1:4" x14ac:dyDescent="0.25">
      <c r="A120" s="2"/>
      <c r="B120" s="3" t="s">
        <v>9</v>
      </c>
      <c r="C120" s="5">
        <v>38262104.890000001</v>
      </c>
    </row>
    <row r="121" spans="1:4" x14ac:dyDescent="0.25">
      <c r="A121" s="2"/>
      <c r="B121" s="3" t="s">
        <v>6</v>
      </c>
      <c r="C121" s="5">
        <v>14648919812.280001</v>
      </c>
    </row>
    <row r="122" spans="1:4" x14ac:dyDescent="0.25">
      <c r="A122" s="2"/>
      <c r="B122" s="3" t="s">
        <v>4</v>
      </c>
      <c r="C122" s="5">
        <v>192472312.13999999</v>
      </c>
    </row>
    <row r="123" spans="1:4" x14ac:dyDescent="0.25">
      <c r="A123" s="2"/>
      <c r="B123" s="3" t="s">
        <v>10</v>
      </c>
      <c r="C123" s="5">
        <v>72156115.260000005</v>
      </c>
    </row>
    <row r="124" spans="1:4" x14ac:dyDescent="0.25">
      <c r="A124" s="2"/>
      <c r="B124" s="3" t="s">
        <v>7</v>
      </c>
      <c r="C124" s="5">
        <v>3935107.17</v>
      </c>
    </row>
    <row r="125" spans="1:4" ht="45" x14ac:dyDescent="0.25">
      <c r="A125" s="2"/>
      <c r="B125" s="3" t="s">
        <v>5</v>
      </c>
      <c r="C125" s="5">
        <v>452820697.27999997</v>
      </c>
    </row>
    <row r="126" spans="1:4" ht="45" x14ac:dyDescent="0.25">
      <c r="A126" s="2"/>
      <c r="B126" s="3" t="s">
        <v>11</v>
      </c>
      <c r="C126" s="5">
        <v>61178760.789999999</v>
      </c>
    </row>
    <row r="127" spans="1:4" ht="45" x14ac:dyDescent="0.25">
      <c r="A127" s="2"/>
      <c r="B127" s="3" t="s">
        <v>8</v>
      </c>
      <c r="C127" s="5">
        <v>115791548.62</v>
      </c>
    </row>
    <row r="128" spans="1:4" x14ac:dyDescent="0.25">
      <c r="A128" s="2">
        <v>2013</v>
      </c>
      <c r="B128" s="3" t="s">
        <v>3</v>
      </c>
      <c r="C128" s="5">
        <v>76186497539.160004</v>
      </c>
      <c r="D128">
        <f>SUM(C128:C136)/1000000000</f>
        <v>94.415141165540021</v>
      </c>
    </row>
    <row r="129" spans="1:4" x14ac:dyDescent="0.25">
      <c r="A129" s="2"/>
      <c r="B129" s="3" t="s">
        <v>9</v>
      </c>
      <c r="C129" s="5">
        <v>35817669.130000003</v>
      </c>
    </row>
    <row r="130" spans="1:4" x14ac:dyDescent="0.25">
      <c r="A130" s="2"/>
      <c r="B130" s="3" t="s">
        <v>6</v>
      </c>
      <c r="C130" s="5">
        <v>17214305711.450001</v>
      </c>
    </row>
    <row r="131" spans="1:4" x14ac:dyDescent="0.25">
      <c r="A131" s="2"/>
      <c r="B131" s="3" t="s">
        <v>4</v>
      </c>
      <c r="C131" s="5">
        <v>185608226.56999999</v>
      </c>
    </row>
    <row r="132" spans="1:4" x14ac:dyDescent="0.25">
      <c r="A132" s="2"/>
      <c r="B132" s="3" t="s">
        <v>10</v>
      </c>
      <c r="C132" s="5">
        <v>63275584.719999999</v>
      </c>
    </row>
    <row r="133" spans="1:4" x14ac:dyDescent="0.25">
      <c r="A133" s="2"/>
      <c r="B133" s="3" t="s">
        <v>7</v>
      </c>
      <c r="C133" s="5">
        <v>4236524.3600000003</v>
      </c>
    </row>
    <row r="134" spans="1:4" ht="45" x14ac:dyDescent="0.25">
      <c r="A134" s="2"/>
      <c r="B134" s="3" t="s">
        <v>5</v>
      </c>
      <c r="C134" s="5">
        <v>531199304.52999997</v>
      </c>
    </row>
    <row r="135" spans="1:4" ht="45" x14ac:dyDescent="0.25">
      <c r="A135" s="2"/>
      <c r="B135" s="3" t="s">
        <v>11</v>
      </c>
      <c r="C135" s="5">
        <v>55348409.770000003</v>
      </c>
    </row>
    <row r="136" spans="1:4" ht="45" x14ac:dyDescent="0.25">
      <c r="A136" s="2"/>
      <c r="B136" s="3" t="s">
        <v>8</v>
      </c>
      <c r="C136" s="5">
        <v>138852195.84999999</v>
      </c>
    </row>
    <row r="137" spans="1:4" x14ac:dyDescent="0.25">
      <c r="A137" s="2">
        <v>2014</v>
      </c>
      <c r="B137" s="3" t="s">
        <v>3</v>
      </c>
      <c r="C137" s="5">
        <v>84372050539.490005</v>
      </c>
      <c r="D137">
        <f>SUM(C137:C145)/1000000000</f>
        <v>104.74419295153999</v>
      </c>
    </row>
    <row r="138" spans="1:4" x14ac:dyDescent="0.25">
      <c r="A138" s="2"/>
      <c r="B138" s="3" t="s">
        <v>9</v>
      </c>
      <c r="C138" s="5">
        <v>42793725.280000001</v>
      </c>
    </row>
    <row r="139" spans="1:4" x14ac:dyDescent="0.25">
      <c r="A139" s="2"/>
      <c r="B139" s="3" t="s">
        <v>6</v>
      </c>
      <c r="C139" s="5">
        <v>19240118524.119999</v>
      </c>
    </row>
    <row r="140" spans="1:4" x14ac:dyDescent="0.25">
      <c r="A140" s="2"/>
      <c r="B140" s="3" t="s">
        <v>4</v>
      </c>
      <c r="C140" s="5">
        <v>203967420.28</v>
      </c>
    </row>
    <row r="141" spans="1:4" x14ac:dyDescent="0.25">
      <c r="A141" s="2"/>
      <c r="B141" s="3" t="s">
        <v>10</v>
      </c>
      <c r="C141" s="5">
        <v>68855701.400000006</v>
      </c>
    </row>
    <row r="142" spans="1:4" x14ac:dyDescent="0.25">
      <c r="A142" s="2"/>
      <c r="B142" s="3" t="s">
        <v>7</v>
      </c>
      <c r="C142" s="5">
        <v>5991338.8200000003</v>
      </c>
    </row>
    <row r="143" spans="1:4" ht="45" x14ac:dyDescent="0.25">
      <c r="A143" s="2"/>
      <c r="B143" s="3" t="s">
        <v>5</v>
      </c>
      <c r="C143" s="5">
        <v>598803025.90999997</v>
      </c>
    </row>
    <row r="144" spans="1:4" ht="45" x14ac:dyDescent="0.25">
      <c r="A144" s="2"/>
      <c r="B144" s="3" t="s">
        <v>11</v>
      </c>
      <c r="C144" s="5">
        <v>58074711.619999997</v>
      </c>
    </row>
    <row r="145" spans="1:4" ht="45" x14ac:dyDescent="0.25">
      <c r="A145" s="2"/>
      <c r="B145" s="3" t="s">
        <v>8</v>
      </c>
      <c r="C145" s="5">
        <v>153537964.62</v>
      </c>
    </row>
    <row r="146" spans="1:4" x14ac:dyDescent="0.25">
      <c r="A146" s="2">
        <v>2015</v>
      </c>
      <c r="B146" s="3" t="s">
        <v>3</v>
      </c>
      <c r="C146" s="5">
        <v>89171052043.929993</v>
      </c>
      <c r="D146">
        <f>SUM(C146:C154)/1000000000</f>
        <v>113.52938475098</v>
      </c>
    </row>
    <row r="147" spans="1:4" x14ac:dyDescent="0.25">
      <c r="A147" s="2"/>
      <c r="B147" s="3" t="s">
        <v>9</v>
      </c>
      <c r="C147" s="5">
        <v>53670714.399999999</v>
      </c>
    </row>
    <row r="148" spans="1:4" x14ac:dyDescent="0.25">
      <c r="A148" s="2"/>
      <c r="B148" s="3" t="s">
        <v>6</v>
      </c>
      <c r="C148" s="5">
        <v>23180321293.549999</v>
      </c>
    </row>
    <row r="149" spans="1:4" x14ac:dyDescent="0.25">
      <c r="A149" s="2"/>
      <c r="B149" s="3" t="s">
        <v>4</v>
      </c>
      <c r="C149" s="5">
        <v>207996969.59</v>
      </c>
    </row>
    <row r="150" spans="1:4" x14ac:dyDescent="0.25">
      <c r="A150" s="2"/>
      <c r="B150" s="3" t="s">
        <v>10</v>
      </c>
      <c r="C150" s="5">
        <v>62686680.170000002</v>
      </c>
    </row>
    <row r="151" spans="1:4" x14ac:dyDescent="0.25">
      <c r="A151" s="2"/>
      <c r="B151" s="3" t="s">
        <v>7</v>
      </c>
      <c r="C151" s="5">
        <v>6959383.9100000001</v>
      </c>
    </row>
    <row r="152" spans="1:4" ht="45" x14ac:dyDescent="0.25">
      <c r="A152" s="2"/>
      <c r="B152" s="3" t="s">
        <v>5</v>
      </c>
      <c r="C152" s="5">
        <v>625002681.58000004</v>
      </c>
    </row>
    <row r="153" spans="1:4" ht="45" x14ac:dyDescent="0.25">
      <c r="A153" s="2"/>
      <c r="B153" s="3" t="s">
        <v>11</v>
      </c>
      <c r="C153" s="5">
        <v>48962086.969999999</v>
      </c>
    </row>
    <row r="154" spans="1:4" ht="45" x14ac:dyDescent="0.25">
      <c r="A154" s="2"/>
      <c r="B154" s="3" t="s">
        <v>8</v>
      </c>
      <c r="C154" s="5">
        <v>172732896.88</v>
      </c>
    </row>
    <row r="155" spans="1:4" x14ac:dyDescent="0.25">
      <c r="A155" s="2">
        <v>2016</v>
      </c>
      <c r="B155" s="3" t="s">
        <v>3</v>
      </c>
      <c r="C155" s="5">
        <v>84298574167.990005</v>
      </c>
      <c r="D155">
        <f>SUM(C155:C163)/1000000000</f>
        <v>107.32753182264999</v>
      </c>
    </row>
    <row r="156" spans="1:4" x14ac:dyDescent="0.25">
      <c r="A156" s="2"/>
      <c r="B156" s="3" t="s">
        <v>9</v>
      </c>
      <c r="C156" s="5">
        <v>64246062.509999998</v>
      </c>
    </row>
    <row r="157" spans="1:4" x14ac:dyDescent="0.25">
      <c r="A157" s="2"/>
      <c r="B157" s="3" t="s">
        <v>6</v>
      </c>
      <c r="C157" s="5">
        <v>21839505241.119999</v>
      </c>
    </row>
    <row r="158" spans="1:4" x14ac:dyDescent="0.25">
      <c r="A158" s="2"/>
      <c r="B158" s="3" t="s">
        <v>4</v>
      </c>
      <c r="C158" s="5">
        <v>215500180.37</v>
      </c>
    </row>
    <row r="159" spans="1:4" x14ac:dyDescent="0.25">
      <c r="B159" t="s">
        <v>10</v>
      </c>
      <c r="C159">
        <v>67771799.390000001</v>
      </c>
    </row>
    <row r="160" spans="1:4" x14ac:dyDescent="0.25">
      <c r="B160" t="s">
        <v>7</v>
      </c>
      <c r="C160">
        <v>8874580.2799999993</v>
      </c>
    </row>
    <row r="161" spans="1:19" x14ac:dyDescent="0.25">
      <c r="B161" t="s">
        <v>5</v>
      </c>
      <c r="C161">
        <v>622237049.37</v>
      </c>
    </row>
    <row r="162" spans="1:19" x14ac:dyDescent="0.25">
      <c r="B162" t="s">
        <v>11</v>
      </c>
      <c r="C162">
        <v>45243741.82</v>
      </c>
    </row>
    <row r="163" spans="1:19" x14ac:dyDescent="0.25">
      <c r="B163" t="s">
        <v>8</v>
      </c>
      <c r="C163">
        <v>165578999.80000001</v>
      </c>
    </row>
    <row r="164" spans="1:19" x14ac:dyDescent="0.25">
      <c r="A164" s="6" t="s">
        <v>12</v>
      </c>
    </row>
    <row r="166" spans="1:19" x14ac:dyDescent="0.25">
      <c r="A166" s="6" t="s">
        <v>13</v>
      </c>
    </row>
    <row r="169" spans="1:19" s="8" customFormat="1" x14ac:dyDescent="0.25">
      <c r="A169" s="8" t="s">
        <v>14</v>
      </c>
      <c r="B169" s="8">
        <v>2000</v>
      </c>
      <c r="C169" s="8">
        <v>2001</v>
      </c>
      <c r="D169" s="8">
        <v>2002</v>
      </c>
      <c r="E169" s="8">
        <v>2003</v>
      </c>
      <c r="F169" s="8">
        <v>2004</v>
      </c>
      <c r="G169" s="8">
        <v>2005</v>
      </c>
      <c r="H169" s="8">
        <v>2006</v>
      </c>
      <c r="I169" s="8">
        <v>2007</v>
      </c>
      <c r="J169" s="8">
        <v>2008</v>
      </c>
      <c r="K169" s="8">
        <v>2009</v>
      </c>
      <c r="L169" s="8">
        <v>2010</v>
      </c>
      <c r="M169" s="8">
        <v>2011</v>
      </c>
      <c r="N169" s="8">
        <v>2012</v>
      </c>
      <c r="O169" s="8">
        <v>2013</v>
      </c>
      <c r="P169" s="8">
        <v>2014</v>
      </c>
      <c r="Q169" s="8">
        <v>2015</v>
      </c>
      <c r="R169" s="8">
        <v>2016</v>
      </c>
      <c r="S169" s="8">
        <v>2017</v>
      </c>
    </row>
    <row r="170" spans="1:19" x14ac:dyDescent="0.25">
      <c r="A170" t="s">
        <v>15</v>
      </c>
      <c r="B170" s="4">
        <v>1800481241.01</v>
      </c>
      <c r="C170" s="4">
        <v>2029716717.8299999</v>
      </c>
      <c r="D170" s="4">
        <v>2197925336.6599998</v>
      </c>
      <c r="E170" s="4">
        <v>2422580747.23</v>
      </c>
      <c r="F170" s="4">
        <v>2705046233.77</v>
      </c>
      <c r="G170" s="4">
        <v>3095584675</v>
      </c>
      <c r="H170" s="4">
        <v>3478286047.6999998</v>
      </c>
      <c r="I170" s="4">
        <v>3961671644.25</v>
      </c>
      <c r="J170" s="4">
        <v>4597505604.6000004</v>
      </c>
      <c r="K170" s="4">
        <v>5355136725.7399998</v>
      </c>
      <c r="L170" s="4">
        <v>5731109042.8900003</v>
      </c>
      <c r="M170" s="4">
        <v>6696032251.9899998</v>
      </c>
      <c r="N170" s="4">
        <v>7826707901.1999998</v>
      </c>
      <c r="O170" s="4">
        <v>8965150593.9699993</v>
      </c>
      <c r="P170" s="4">
        <v>10108135330.200001</v>
      </c>
      <c r="Q170" s="4">
        <v>10884253419.809999</v>
      </c>
      <c r="R170" s="4">
        <v>11489948035.27</v>
      </c>
      <c r="S170" s="4">
        <v>12228736915.07</v>
      </c>
    </row>
    <row r="171" spans="1:19" x14ac:dyDescent="0.25">
      <c r="A171" t="s">
        <v>16</v>
      </c>
      <c r="B171" s="4">
        <v>1509114301.74</v>
      </c>
      <c r="C171" s="4">
        <v>1630080523.54</v>
      </c>
      <c r="D171" s="4">
        <v>1755442312.8800001</v>
      </c>
      <c r="E171" s="4">
        <v>1993514338</v>
      </c>
      <c r="F171" s="4">
        <v>2180072896.0100002</v>
      </c>
      <c r="G171" s="4">
        <v>2462926673.5300002</v>
      </c>
      <c r="H171" s="4">
        <v>2809442862.4299998</v>
      </c>
      <c r="I171" s="4">
        <v>3160896460.4000001</v>
      </c>
      <c r="J171" s="4">
        <v>3665927722.7600002</v>
      </c>
      <c r="K171" s="4">
        <v>4321508330.6999998</v>
      </c>
      <c r="L171" s="4">
        <v>4632907637.5799999</v>
      </c>
      <c r="M171" s="4">
        <v>5581559983.1400003</v>
      </c>
      <c r="N171" s="4">
        <v>6341432324.6099997</v>
      </c>
      <c r="O171" s="4">
        <v>7124148381.96</v>
      </c>
      <c r="P171" s="4">
        <v>8366891521.3999996</v>
      </c>
      <c r="Q171" s="4">
        <v>8891656928.5499992</v>
      </c>
      <c r="R171" s="4">
        <v>9604742893.3099995</v>
      </c>
      <c r="S171" s="4">
        <v>9949325335.6599998</v>
      </c>
    </row>
    <row r="172" spans="1:19" x14ac:dyDescent="0.25">
      <c r="A172" t="s">
        <v>17</v>
      </c>
      <c r="B172" s="4">
        <v>1513193566.0599999</v>
      </c>
      <c r="C172" s="4">
        <v>1674489757.5599999</v>
      </c>
      <c r="D172" s="4">
        <v>1784936482.8499999</v>
      </c>
      <c r="E172" s="4">
        <v>1900012018.0699999</v>
      </c>
      <c r="F172" s="4">
        <v>2298662255.6300001</v>
      </c>
      <c r="G172" s="4">
        <v>2612850090.98</v>
      </c>
      <c r="H172" s="4">
        <v>2966990327.6799998</v>
      </c>
      <c r="I172" s="4">
        <v>3355604038.9000001</v>
      </c>
      <c r="J172" s="4">
        <v>3723049868.8200002</v>
      </c>
      <c r="K172" s="4">
        <v>4416234029.9899998</v>
      </c>
      <c r="L172" s="4">
        <v>4995075937.0500002</v>
      </c>
      <c r="M172" s="4">
        <v>5589253563.5500002</v>
      </c>
      <c r="N172" s="4">
        <v>6616268197.79</v>
      </c>
      <c r="O172" s="4">
        <v>7351823540.71</v>
      </c>
      <c r="P172" s="4">
        <v>7941681082.7600002</v>
      </c>
      <c r="Q172" s="4">
        <v>9176796636.3799992</v>
      </c>
      <c r="R172" s="4">
        <v>9907334603.4799995</v>
      </c>
      <c r="S172" s="4">
        <v>10273860420.709999</v>
      </c>
    </row>
    <row r="173" spans="1:19" x14ac:dyDescent="0.25">
      <c r="A173" t="s">
        <v>18</v>
      </c>
      <c r="B173" s="4">
        <v>1423691490.52</v>
      </c>
      <c r="C173" s="4">
        <v>1634785829.5999999</v>
      </c>
      <c r="D173" s="4">
        <v>1773837437</v>
      </c>
      <c r="E173" s="4">
        <v>1889790369.3199999</v>
      </c>
      <c r="F173" s="4">
        <v>2176308800.73</v>
      </c>
      <c r="G173" s="4">
        <v>2462337031.2399998</v>
      </c>
      <c r="H173" s="4">
        <v>2729928629.4200001</v>
      </c>
      <c r="I173" s="4">
        <v>3147174894.6599998</v>
      </c>
      <c r="J173" s="4">
        <v>3790936283.8299999</v>
      </c>
      <c r="K173" s="4">
        <v>4314964497</v>
      </c>
      <c r="L173" s="4">
        <v>4742815781.2700005</v>
      </c>
      <c r="M173" s="4">
        <v>5511505364.0200005</v>
      </c>
      <c r="N173" s="4">
        <v>6413625717.3199997</v>
      </c>
      <c r="O173" s="4">
        <v>7479150754.1999998</v>
      </c>
      <c r="P173" s="4">
        <v>8214988323.9200001</v>
      </c>
      <c r="Q173" s="4">
        <v>9084629390.9099998</v>
      </c>
      <c r="R173" s="4">
        <v>9472779141.6399994</v>
      </c>
      <c r="S173" s="4">
        <v>9609042671.4099998</v>
      </c>
    </row>
    <row r="174" spans="1:19" x14ac:dyDescent="0.25">
      <c r="A174" t="s">
        <v>19</v>
      </c>
      <c r="B174" s="4">
        <v>1506473970.8099999</v>
      </c>
      <c r="C174" s="4">
        <v>1740248629.03</v>
      </c>
      <c r="D174" s="4">
        <v>1769056272.1400001</v>
      </c>
      <c r="E174" s="4">
        <v>1929061648.0599999</v>
      </c>
      <c r="F174" s="4">
        <v>2194428457.9000001</v>
      </c>
      <c r="G174" s="4">
        <v>2513290354.6799998</v>
      </c>
      <c r="H174" s="4">
        <v>2905193305.54</v>
      </c>
      <c r="I174" s="4">
        <v>3285827694.8000002</v>
      </c>
      <c r="J174" s="4">
        <v>3727382052.9699998</v>
      </c>
      <c r="K174" s="4">
        <v>4254839996.9099998</v>
      </c>
      <c r="L174" s="4">
        <v>4813952315.5600004</v>
      </c>
      <c r="M174" s="4">
        <v>5756180591.6899996</v>
      </c>
      <c r="N174" s="4">
        <v>6650108276.6599998</v>
      </c>
      <c r="O174" s="4">
        <v>7538256864.0299997</v>
      </c>
      <c r="P174" t="s">
        <v>27</v>
      </c>
      <c r="Q174" s="4">
        <v>9001327268.3799992</v>
      </c>
      <c r="R174" s="4">
        <v>9589843924.0200005</v>
      </c>
      <c r="S174" s="4">
        <v>10034514339.030001</v>
      </c>
    </row>
    <row r="175" spans="1:19" x14ac:dyDescent="0.25">
      <c r="A175" t="s">
        <v>20</v>
      </c>
      <c r="B175" s="4">
        <v>1511910475.25</v>
      </c>
      <c r="C175" s="4">
        <v>1682193094.04</v>
      </c>
      <c r="D175" s="4">
        <v>1723384947.0599999</v>
      </c>
      <c r="E175" s="4">
        <v>1988282459.0999999</v>
      </c>
      <c r="F175" s="4">
        <v>2254956300.9000001</v>
      </c>
      <c r="G175" s="4">
        <v>2605511906.3800001</v>
      </c>
      <c r="H175" s="4">
        <v>2934949476.23</v>
      </c>
      <c r="I175" s="4">
        <v>3288373089.29</v>
      </c>
      <c r="J175" s="4">
        <v>3869635927.6300001</v>
      </c>
      <c r="K175" s="4">
        <v>4439730733.8900003</v>
      </c>
      <c r="L175" s="4">
        <v>4864107518.9700003</v>
      </c>
      <c r="M175" s="4">
        <v>5792934100.3000002</v>
      </c>
      <c r="N175" s="4">
        <v>6585513560.54</v>
      </c>
      <c r="O175" s="4">
        <v>7465982936.8999996</v>
      </c>
      <c r="P175" s="4">
        <v>8235864952.5</v>
      </c>
      <c r="Q175" s="4">
        <v>9112752014.9599991</v>
      </c>
      <c r="R175" s="4">
        <v>9664460941.2900009</v>
      </c>
      <c r="S175" s="4">
        <v>10044583238.790001</v>
      </c>
    </row>
    <row r="176" spans="1:19" x14ac:dyDescent="0.25">
      <c r="A176" t="s">
        <v>21</v>
      </c>
      <c r="B176" s="4">
        <v>1503669761.29</v>
      </c>
      <c r="C176" s="4">
        <v>1739559142.3699999</v>
      </c>
      <c r="D176" s="4">
        <v>1826947467.24</v>
      </c>
      <c r="E176" s="4">
        <v>2042655441.5799999</v>
      </c>
      <c r="F176" s="4">
        <v>2285573853.6999998</v>
      </c>
      <c r="G176" s="4">
        <v>2601994285.2600002</v>
      </c>
      <c r="H176" s="4">
        <v>2936979350.8499999</v>
      </c>
      <c r="I176" s="4">
        <v>3379918562.8800001</v>
      </c>
      <c r="J176" s="4">
        <v>4023147772.8200002</v>
      </c>
      <c r="K176" s="4">
        <v>4483874465.3699999</v>
      </c>
      <c r="L176" s="4">
        <v>5018698381.79</v>
      </c>
      <c r="M176" s="4">
        <v>5839222378.3599997</v>
      </c>
      <c r="N176" s="4">
        <v>6718048507.9099998</v>
      </c>
      <c r="O176" s="4">
        <v>7725406854.9799995</v>
      </c>
      <c r="P176" s="4">
        <v>8512701254.8199997</v>
      </c>
      <c r="Q176" s="4">
        <v>9303130730.3799992</v>
      </c>
      <c r="R176" s="4">
        <v>9581767149.0900002</v>
      </c>
      <c r="S176" s="4">
        <v>9892355676.8099995</v>
      </c>
    </row>
    <row r="177" spans="1:19" x14ac:dyDescent="0.25">
      <c r="A177" t="s">
        <v>22</v>
      </c>
      <c r="B177" s="4">
        <v>1563228469.1500001</v>
      </c>
      <c r="C177" s="4">
        <v>1775801808.79</v>
      </c>
      <c r="D177" s="4">
        <v>1863443939.3299999</v>
      </c>
      <c r="E177" s="4">
        <v>2032398984.02</v>
      </c>
      <c r="F177" s="4">
        <v>2329685844.4699998</v>
      </c>
      <c r="G177" s="4">
        <v>2684069940.23</v>
      </c>
      <c r="H177" s="4">
        <v>3069891017.3600001</v>
      </c>
      <c r="I177" s="4">
        <v>3534370308.75</v>
      </c>
      <c r="J177" s="4">
        <v>3988787346.3800001</v>
      </c>
      <c r="K177" s="4">
        <v>4369823101.8999996</v>
      </c>
      <c r="L177" s="4">
        <v>5144033624.2600002</v>
      </c>
      <c r="M177" s="4">
        <v>6068950710.1300001</v>
      </c>
      <c r="N177" s="4">
        <v>6998675593.6300001</v>
      </c>
      <c r="O177" s="4">
        <v>7856910566.0600004</v>
      </c>
      <c r="P177" s="4">
        <v>8519323716.6999998</v>
      </c>
      <c r="Q177" s="4">
        <v>9179180833.6800003</v>
      </c>
      <c r="R177" s="4">
        <v>9661704689.4200001</v>
      </c>
      <c r="S177" s="4">
        <v>10241256788.030001</v>
      </c>
    </row>
    <row r="178" spans="1:19" x14ac:dyDescent="0.25">
      <c r="A178" t="s">
        <v>23</v>
      </c>
      <c r="B178" s="4">
        <v>1468067594.49</v>
      </c>
      <c r="C178" s="4">
        <v>1656082734.0999999</v>
      </c>
      <c r="D178" s="4">
        <v>1802699489.97</v>
      </c>
      <c r="E178" s="4">
        <v>2026309999.46</v>
      </c>
      <c r="F178" s="4">
        <v>2239804474.1100001</v>
      </c>
      <c r="G178" s="4">
        <v>2607442231.9200001</v>
      </c>
      <c r="H178" s="4">
        <v>2927114366.54</v>
      </c>
      <c r="I178" s="4">
        <v>3308584085.3000002</v>
      </c>
      <c r="J178" s="4">
        <v>3997143849.52</v>
      </c>
      <c r="K178" s="4">
        <v>4298476808.0100002</v>
      </c>
      <c r="L178" s="4">
        <v>5039373633.5299997</v>
      </c>
      <c r="M178" s="4">
        <v>5875770179.96</v>
      </c>
      <c r="N178" s="4">
        <v>6566300116.3999996</v>
      </c>
      <c r="O178" s="4">
        <v>7551808110.1700001</v>
      </c>
      <c r="P178" s="4">
        <v>8529740918.5100002</v>
      </c>
      <c r="Q178" s="4">
        <v>8979869793.2999992</v>
      </c>
      <c r="R178" s="4">
        <v>9341651820.9300003</v>
      </c>
      <c r="S178" s="4">
        <v>9871641442.2299995</v>
      </c>
    </row>
    <row r="179" spans="1:19" x14ac:dyDescent="0.25">
      <c r="A179" t="s">
        <v>24</v>
      </c>
      <c r="B179" s="4">
        <v>1492892685.6099999</v>
      </c>
      <c r="C179" s="4">
        <v>1752739660.8099999</v>
      </c>
      <c r="D179" s="4">
        <v>1856486861.5799999</v>
      </c>
      <c r="E179" s="4">
        <v>2053967700</v>
      </c>
      <c r="F179" s="4">
        <v>2284695423.3800001</v>
      </c>
      <c r="G179" s="4">
        <v>2578331813.8899999</v>
      </c>
      <c r="H179" s="4">
        <v>2958118375.0300002</v>
      </c>
      <c r="I179" s="4">
        <v>3454673692.52</v>
      </c>
      <c r="J179" s="4">
        <v>4052767439.2800002</v>
      </c>
      <c r="K179" s="4">
        <v>4374633062.5699997</v>
      </c>
      <c r="L179" s="4">
        <v>5053427085.21</v>
      </c>
      <c r="M179" s="4">
        <v>5995515629.04</v>
      </c>
      <c r="N179" s="4">
        <v>6887278174.9499998</v>
      </c>
      <c r="O179" s="4">
        <v>7835871244.8599997</v>
      </c>
      <c r="P179" s="4">
        <v>8684111567.7900009</v>
      </c>
      <c r="Q179" s="4">
        <v>9116994497.8899994</v>
      </c>
      <c r="R179" s="4">
        <v>9531519871.3600006</v>
      </c>
      <c r="S179" s="4">
        <v>9902097922.6399994</v>
      </c>
    </row>
    <row r="180" spans="1:19" x14ac:dyDescent="0.25">
      <c r="A180" t="s">
        <v>25</v>
      </c>
      <c r="B180" s="4">
        <v>1502072806.97</v>
      </c>
      <c r="C180" s="4">
        <v>1693210145.4400001</v>
      </c>
      <c r="D180" s="4">
        <v>1834643719.5</v>
      </c>
      <c r="E180" s="4">
        <v>2036420789.1700001</v>
      </c>
      <c r="F180" s="4">
        <v>2334284218.0999999</v>
      </c>
      <c r="G180" s="4">
        <v>2668292657.0100002</v>
      </c>
      <c r="H180" s="4">
        <v>3027151372.8899999</v>
      </c>
      <c r="I180" s="4">
        <v>3463173978.3000002</v>
      </c>
      <c r="J180" s="4">
        <v>4060857523.9200001</v>
      </c>
      <c r="K180" s="4">
        <v>4422952539.4799995</v>
      </c>
      <c r="L180" s="4">
        <v>5193981882.4799995</v>
      </c>
      <c r="M180" s="4">
        <v>6026417041.6899996</v>
      </c>
      <c r="N180" s="4">
        <v>6877300394.7200003</v>
      </c>
      <c r="O180" s="4">
        <v>7803111553.5900002</v>
      </c>
      <c r="P180" s="4">
        <v>8552521914.0100002</v>
      </c>
      <c r="Q180" s="4">
        <v>9175431121.9500008</v>
      </c>
      <c r="R180" s="4">
        <v>9481778752.8400002</v>
      </c>
      <c r="S180" s="4">
        <v>9533924057.7600002</v>
      </c>
    </row>
    <row r="181" spans="1:19" x14ac:dyDescent="0.25">
      <c r="A181" t="s">
        <v>26</v>
      </c>
      <c r="B181" s="4">
        <v>1913734164.2</v>
      </c>
      <c r="C181" s="4">
        <v>2065144163.04</v>
      </c>
      <c r="D181" s="4">
        <v>2233192434.2199998</v>
      </c>
      <c r="E181" s="4">
        <v>2641357748.5700002</v>
      </c>
      <c r="F181" s="4">
        <v>2985814558.2199998</v>
      </c>
      <c r="G181" s="4">
        <v>3355245357.1500001</v>
      </c>
      <c r="H181" s="4">
        <v>3761359497.6599998</v>
      </c>
      <c r="I181" s="4">
        <v>4290240399.1100001</v>
      </c>
      <c r="J181" s="4">
        <v>5217238444.1099997</v>
      </c>
      <c r="K181" s="4">
        <v>5673773568.8500004</v>
      </c>
      <c r="L181" s="4">
        <v>6567730602.1800003</v>
      </c>
      <c r="M181" s="4">
        <v>7527597498.75</v>
      </c>
      <c r="N181" s="4">
        <v>8552254753.1000004</v>
      </c>
      <c r="O181" s="4">
        <v>9717519764.1100006</v>
      </c>
      <c r="P181" s="4">
        <v>10697221590.16</v>
      </c>
      <c r="Q181" s="4">
        <v>11623362114.790001</v>
      </c>
      <c r="R181" s="4">
        <v>11761805085.25</v>
      </c>
      <c r="S181" s="4">
        <v>11953668761.799999</v>
      </c>
    </row>
    <row r="182" spans="1:19" x14ac:dyDescent="0.25">
      <c r="B182" s="7">
        <f t="shared" ref="B182:S182" si="0">SUM(B169:B181)</f>
        <v>18708532527.099998</v>
      </c>
      <c r="C182" s="7">
        <f t="shared" si="0"/>
        <v>21074054207.150002</v>
      </c>
      <c r="D182" s="7">
        <f t="shared" si="0"/>
        <v>22421998702.43</v>
      </c>
      <c r="E182" s="7">
        <f t="shared" si="0"/>
        <v>24956354245.580002</v>
      </c>
      <c r="F182" s="7">
        <f t="shared" si="0"/>
        <v>28269335320.920002</v>
      </c>
      <c r="G182" s="7">
        <f t="shared" si="0"/>
        <v>32247879022.270004</v>
      </c>
      <c r="H182" s="7">
        <f t="shared" si="0"/>
        <v>36505406635.330002</v>
      </c>
      <c r="I182" s="7">
        <f t="shared" si="0"/>
        <v>41630510856.160004</v>
      </c>
      <c r="J182" s="7">
        <f t="shared" si="0"/>
        <v>48714381844.639999</v>
      </c>
      <c r="K182" s="7">
        <f t="shared" si="0"/>
        <v>54725949869.409996</v>
      </c>
      <c r="L182" s="7">
        <f t="shared" si="0"/>
        <v>61797215452.769997</v>
      </c>
      <c r="M182" s="7">
        <f t="shared" si="0"/>
        <v>72260941303.619995</v>
      </c>
      <c r="N182" s="7">
        <f t="shared" si="0"/>
        <v>83033515530.830002</v>
      </c>
      <c r="O182" s="7">
        <f t="shared" si="0"/>
        <v>94415143178.539993</v>
      </c>
      <c r="P182" s="7">
        <f t="shared" si="0"/>
        <v>96363184186.770004</v>
      </c>
      <c r="Q182" s="7">
        <f t="shared" si="0"/>
        <v>113529386765.97998</v>
      </c>
      <c r="R182" s="7">
        <f t="shared" si="0"/>
        <v>119089338923.90001</v>
      </c>
      <c r="S182" s="7">
        <f t="shared" si="0"/>
        <v>123535009586.93999</v>
      </c>
    </row>
    <row r="186" spans="1:19" x14ac:dyDescent="0.25">
      <c r="A186">
        <v>2017</v>
      </c>
      <c r="B186" t="s">
        <v>3</v>
      </c>
      <c r="C186" s="9">
        <v>63017783</v>
      </c>
      <c r="D186" s="4">
        <v>97789770032.580002</v>
      </c>
      <c r="E186">
        <f>SUM(D186:D194)/1000000000</f>
        <v>123.53500757002</v>
      </c>
    </row>
    <row r="187" spans="1:19" x14ac:dyDescent="0.25">
      <c r="A187" t="s">
        <v>28</v>
      </c>
      <c r="B187" t="s">
        <v>9</v>
      </c>
      <c r="C187" s="9">
        <v>108277</v>
      </c>
      <c r="D187" s="4">
        <v>97740724.989999995</v>
      </c>
    </row>
    <row r="188" spans="1:19" x14ac:dyDescent="0.25">
      <c r="A188" t="s">
        <v>28</v>
      </c>
      <c r="B188" t="s">
        <v>6</v>
      </c>
      <c r="C188" s="9">
        <v>9580824</v>
      </c>
      <c r="D188" s="4">
        <v>23966596128.459999</v>
      </c>
    </row>
    <row r="189" spans="1:19" x14ac:dyDescent="0.25">
      <c r="A189" t="s">
        <v>28</v>
      </c>
      <c r="B189" t="s">
        <v>4</v>
      </c>
      <c r="C189">
        <v>0</v>
      </c>
      <c r="D189" s="4">
        <v>267897864.75</v>
      </c>
    </row>
    <row r="190" spans="1:19" x14ac:dyDescent="0.25">
      <c r="A190" t="s">
        <v>28</v>
      </c>
      <c r="B190" t="s">
        <v>10</v>
      </c>
      <c r="C190">
        <v>0</v>
      </c>
      <c r="D190" s="4">
        <v>70768073.030000001</v>
      </c>
    </row>
    <row r="191" spans="1:19" x14ac:dyDescent="0.25">
      <c r="A191" t="s">
        <v>28</v>
      </c>
      <c r="B191" t="s">
        <v>7</v>
      </c>
      <c r="C191">
        <v>0</v>
      </c>
      <c r="D191" s="4">
        <v>11197499.550000001</v>
      </c>
    </row>
    <row r="192" spans="1:19" x14ac:dyDescent="0.25">
      <c r="A192" t="s">
        <v>28</v>
      </c>
      <c r="B192" t="s">
        <v>5</v>
      </c>
      <c r="C192">
        <v>0</v>
      </c>
      <c r="D192" s="4">
        <v>1095946728.48</v>
      </c>
    </row>
    <row r="193" spans="1:5" x14ac:dyDescent="0.25">
      <c r="A193" t="s">
        <v>28</v>
      </c>
      <c r="B193" t="s">
        <v>11</v>
      </c>
      <c r="C193">
        <v>0</v>
      </c>
      <c r="D193" s="4">
        <v>57872028.159999996</v>
      </c>
    </row>
    <row r="194" spans="1:5" x14ac:dyDescent="0.25">
      <c r="A194" t="s">
        <v>28</v>
      </c>
      <c r="B194" t="s">
        <v>8</v>
      </c>
      <c r="C194">
        <v>0</v>
      </c>
      <c r="D194" s="4">
        <v>177218490.02000001</v>
      </c>
    </row>
    <row r="195" spans="1:5" x14ac:dyDescent="0.25">
      <c r="A195">
        <v>2018</v>
      </c>
      <c r="B195" t="s">
        <v>3</v>
      </c>
      <c r="C195" s="9">
        <v>60827514</v>
      </c>
      <c r="D195" s="4">
        <v>95436972694.619995</v>
      </c>
      <c r="E195">
        <f>SUM(D195:D203)/1000000000</f>
        <v>120.65828096146998</v>
      </c>
    </row>
    <row r="196" spans="1:5" x14ac:dyDescent="0.25">
      <c r="A196" t="s">
        <v>28</v>
      </c>
      <c r="B196" t="s">
        <v>9</v>
      </c>
      <c r="C196" s="9">
        <v>113818</v>
      </c>
      <c r="D196" s="4">
        <v>109407257.02</v>
      </c>
    </row>
    <row r="197" spans="1:5" x14ac:dyDescent="0.25">
      <c r="A197" t="s">
        <v>28</v>
      </c>
      <c r="B197" t="s">
        <v>6</v>
      </c>
      <c r="C197" s="9">
        <v>9458365</v>
      </c>
      <c r="D197" s="4">
        <v>23828570524.77</v>
      </c>
    </row>
    <row r="198" spans="1:5" x14ac:dyDescent="0.25">
      <c r="A198" t="s">
        <v>28</v>
      </c>
      <c r="B198" t="s">
        <v>4</v>
      </c>
      <c r="C198">
        <v>0</v>
      </c>
      <c r="D198" s="4">
        <v>248047095.75999999</v>
      </c>
    </row>
    <row r="199" spans="1:5" x14ac:dyDescent="0.25">
      <c r="A199" t="s">
        <v>28</v>
      </c>
      <c r="B199" t="s">
        <v>10</v>
      </c>
      <c r="C199">
        <v>0</v>
      </c>
      <c r="D199" s="4">
        <v>90161196.010000005</v>
      </c>
    </row>
    <row r="200" spans="1:5" x14ac:dyDescent="0.25">
      <c r="A200" t="s">
        <v>28</v>
      </c>
      <c r="B200" t="s">
        <v>7</v>
      </c>
      <c r="C200">
        <v>0</v>
      </c>
      <c r="D200" s="4">
        <v>8891250.7200000007</v>
      </c>
    </row>
    <row r="201" spans="1:5" x14ac:dyDescent="0.25">
      <c r="A201" t="s">
        <v>28</v>
      </c>
      <c r="B201" t="s">
        <v>5</v>
      </c>
      <c r="C201">
        <v>0</v>
      </c>
      <c r="D201" s="4">
        <v>703049235.02999997</v>
      </c>
    </row>
    <row r="202" spans="1:5" x14ac:dyDescent="0.25">
      <c r="A202" t="s">
        <v>28</v>
      </c>
      <c r="B202" t="s">
        <v>11</v>
      </c>
      <c r="C202">
        <v>0</v>
      </c>
      <c r="D202" s="4">
        <v>60019898.560000002</v>
      </c>
    </row>
    <row r="203" spans="1:5" x14ac:dyDescent="0.25">
      <c r="A203" t="s">
        <v>28</v>
      </c>
      <c r="B203" t="s">
        <v>8</v>
      </c>
      <c r="C203">
        <v>0</v>
      </c>
      <c r="D203" s="4">
        <v>173161808.97999999</v>
      </c>
    </row>
    <row r="204" spans="1:5" x14ac:dyDescent="0.25">
      <c r="A204">
        <v>2019</v>
      </c>
      <c r="B204" t="s">
        <v>3</v>
      </c>
      <c r="C204" s="9">
        <v>62094390</v>
      </c>
      <c r="D204" s="4">
        <v>100313369261.03</v>
      </c>
      <c r="E204">
        <f>SUM(D204:D212)/1000000000</f>
        <v>128.70962267991001</v>
      </c>
    </row>
    <row r="205" spans="1:5" x14ac:dyDescent="0.25">
      <c r="A205" t="s">
        <v>28</v>
      </c>
      <c r="B205" t="s">
        <v>9</v>
      </c>
      <c r="C205" s="9">
        <v>173873</v>
      </c>
      <c r="D205" s="4">
        <v>202987823.93000001</v>
      </c>
    </row>
    <row r="206" spans="1:5" x14ac:dyDescent="0.25">
      <c r="A206" t="s">
        <v>28</v>
      </c>
      <c r="B206" t="s">
        <v>6</v>
      </c>
      <c r="C206" s="9">
        <v>9635281</v>
      </c>
      <c r="D206" s="4">
        <v>26769743479.02</v>
      </c>
    </row>
    <row r="207" spans="1:5" x14ac:dyDescent="0.25">
      <c r="A207" t="s">
        <v>28</v>
      </c>
      <c r="B207" t="s">
        <v>4</v>
      </c>
      <c r="C207">
        <v>0</v>
      </c>
      <c r="D207" s="4">
        <v>263899865.63999999</v>
      </c>
    </row>
    <row r="208" spans="1:5" x14ac:dyDescent="0.25">
      <c r="A208" t="s">
        <v>28</v>
      </c>
      <c r="B208" t="s">
        <v>10</v>
      </c>
      <c r="C208">
        <v>0</v>
      </c>
      <c r="D208" s="4">
        <v>130194103.16</v>
      </c>
    </row>
    <row r="209" spans="1:8" x14ac:dyDescent="0.25">
      <c r="A209" t="s">
        <v>28</v>
      </c>
      <c r="B209" t="s">
        <v>7</v>
      </c>
      <c r="C209">
        <v>0</v>
      </c>
      <c r="D209" s="4">
        <v>10238735.33</v>
      </c>
    </row>
    <row r="210" spans="1:8" x14ac:dyDescent="0.25">
      <c r="A210" t="s">
        <v>28</v>
      </c>
      <c r="B210" t="s">
        <v>5</v>
      </c>
      <c r="C210">
        <v>0</v>
      </c>
      <c r="D210" s="4">
        <v>747825391.75</v>
      </c>
    </row>
    <row r="211" spans="1:8" x14ac:dyDescent="0.25">
      <c r="A211" t="s">
        <v>28</v>
      </c>
      <c r="B211" t="s">
        <v>11</v>
      </c>
      <c r="C211">
        <v>0</v>
      </c>
      <c r="D211" s="4">
        <v>93069932.519999996</v>
      </c>
    </row>
    <row r="212" spans="1:8" x14ac:dyDescent="0.25">
      <c r="A212" t="s">
        <v>28</v>
      </c>
      <c r="B212" t="s">
        <v>8</v>
      </c>
      <c r="C212">
        <v>0</v>
      </c>
      <c r="D212" s="4">
        <v>178294087.53</v>
      </c>
    </row>
    <row r="213" spans="1:8" x14ac:dyDescent="0.25">
      <c r="A213">
        <v>2020</v>
      </c>
      <c r="E213">
        <f>B243/1000000000</f>
        <v>127.27413977588</v>
      </c>
    </row>
    <row r="214" spans="1:8" x14ac:dyDescent="0.25">
      <c r="A214">
        <v>2021</v>
      </c>
      <c r="E214">
        <f>C243/1000000000</f>
        <v>137.16133031404996</v>
      </c>
      <c r="H214">
        <v>137.16133031404999</v>
      </c>
    </row>
    <row r="215" spans="1:8" x14ac:dyDescent="0.25">
      <c r="A215">
        <v>2022</v>
      </c>
      <c r="E215">
        <f>D243/1000000000</f>
        <v>156.29750849627999</v>
      </c>
    </row>
    <row r="229" spans="1:6" x14ac:dyDescent="0.25">
      <c r="A229" t="s">
        <v>29</v>
      </c>
    </row>
    <row r="230" spans="1:6" x14ac:dyDescent="0.25">
      <c r="B230">
        <v>2020</v>
      </c>
      <c r="C230">
        <v>2021</v>
      </c>
      <c r="D230">
        <v>2022</v>
      </c>
      <c r="E230">
        <v>2023</v>
      </c>
      <c r="F230">
        <v>2024</v>
      </c>
    </row>
    <row r="231" spans="1:6" x14ac:dyDescent="0.25">
      <c r="A231" t="s">
        <v>15</v>
      </c>
      <c r="B231" s="4">
        <v>13502535868.76</v>
      </c>
      <c r="C231" s="4">
        <v>13321724109.209999</v>
      </c>
      <c r="D231" s="4">
        <v>15067358398.26</v>
      </c>
      <c r="E231" s="4">
        <v>17460682384.5</v>
      </c>
    </row>
    <row r="232" spans="1:6" x14ac:dyDescent="0.25">
      <c r="A232" t="s">
        <v>16</v>
      </c>
      <c r="B232" s="4">
        <v>10577244223.780001</v>
      </c>
      <c r="C232" s="4">
        <v>10669635346.280001</v>
      </c>
      <c r="D232" s="4">
        <v>12045140948.950001</v>
      </c>
      <c r="E232" s="4">
        <v>13596575808.030001</v>
      </c>
    </row>
    <row r="233" spans="1:6" x14ac:dyDescent="0.25">
      <c r="A233" t="s">
        <v>30</v>
      </c>
      <c r="B233" s="4">
        <v>10585454126.280001</v>
      </c>
      <c r="C233" s="4">
        <v>10926305078.049999</v>
      </c>
      <c r="D233" s="4">
        <v>12378986302.34</v>
      </c>
      <c r="E233" s="4">
        <v>13982250210.950001</v>
      </c>
    </row>
    <row r="234" spans="1:6" x14ac:dyDescent="0.25">
      <c r="A234" t="s">
        <v>18</v>
      </c>
      <c r="B234" s="4">
        <v>6896089793.0600004</v>
      </c>
      <c r="C234" s="4">
        <v>10727461041.129999</v>
      </c>
      <c r="D234" s="4">
        <v>12180374616.17</v>
      </c>
      <c r="E234" s="4">
        <v>13542269868.27</v>
      </c>
    </row>
    <row r="235" spans="1:6" x14ac:dyDescent="0.25">
      <c r="A235" t="s">
        <v>19</v>
      </c>
      <c r="B235" s="4">
        <v>6807233359.9200001</v>
      </c>
      <c r="C235" s="4">
        <v>9402808557.0100002</v>
      </c>
      <c r="D235" s="4">
        <v>12264626428.5</v>
      </c>
      <c r="E235" s="4">
        <v>13961690733.290001</v>
      </c>
    </row>
    <row r="236" spans="1:6" x14ac:dyDescent="0.25">
      <c r="A236" t="s">
        <v>20</v>
      </c>
      <c r="B236" s="4">
        <v>6314726515.4099998</v>
      </c>
      <c r="C236" s="4">
        <v>9281044945.3899994</v>
      </c>
      <c r="D236" s="4">
        <v>12403692595.66</v>
      </c>
      <c r="E236" s="4">
        <v>14127848266.93</v>
      </c>
    </row>
    <row r="237" spans="1:6" x14ac:dyDescent="0.25">
      <c r="A237" t="s">
        <v>21</v>
      </c>
      <c r="B237" s="4">
        <v>11432884813.370001</v>
      </c>
      <c r="C237" s="4">
        <v>9457232685.5699997</v>
      </c>
      <c r="D237" s="4">
        <v>12539009971.02</v>
      </c>
      <c r="E237" s="4">
        <v>13991240555.75</v>
      </c>
    </row>
    <row r="238" spans="1:6" x14ac:dyDescent="0.25">
      <c r="A238" t="s">
        <v>22</v>
      </c>
      <c r="B238" s="4">
        <v>11782724663.959999</v>
      </c>
      <c r="C238" s="4">
        <v>9609288691</v>
      </c>
      <c r="D238" s="4">
        <v>12906558566.110001</v>
      </c>
      <c r="E238" s="4">
        <v>14405265098.209999</v>
      </c>
    </row>
    <row r="239" spans="1:6" x14ac:dyDescent="0.25">
      <c r="A239" t="s">
        <v>23</v>
      </c>
      <c r="B239" s="4">
        <v>11660719135.59</v>
      </c>
      <c r="C239" s="4">
        <v>12416017991.09</v>
      </c>
      <c r="D239" s="4">
        <v>12626705047.139999</v>
      </c>
      <c r="E239" s="4">
        <v>13809442654.809999</v>
      </c>
    </row>
    <row r="240" spans="1:6" x14ac:dyDescent="0.25">
      <c r="A240" t="s">
        <v>24</v>
      </c>
      <c r="B240" s="4">
        <v>11472098008.959999</v>
      </c>
      <c r="C240" s="4">
        <v>12602604792.23</v>
      </c>
      <c r="D240" s="4">
        <v>12610924827.879999</v>
      </c>
      <c r="E240" s="4">
        <v>14195635616.32</v>
      </c>
    </row>
    <row r="241" spans="1:7" x14ac:dyDescent="0.25">
      <c r="A241" t="s">
        <v>25</v>
      </c>
      <c r="B241" s="4">
        <v>11531241963.379999</v>
      </c>
      <c r="C241" s="4">
        <v>12681995014.4</v>
      </c>
      <c r="D241" s="4">
        <v>12806945150.66</v>
      </c>
      <c r="E241" s="4">
        <v>14165894695.110001</v>
      </c>
    </row>
    <row r="242" spans="1:7" x14ac:dyDescent="0.25">
      <c r="A242" t="s">
        <v>26</v>
      </c>
      <c r="B242" s="4">
        <v>14711187303.41</v>
      </c>
      <c r="C242" s="4">
        <v>16065212062.690001</v>
      </c>
      <c r="D242" s="4">
        <v>16467185643.59</v>
      </c>
      <c r="E242" s="4">
        <v>18194495074.669998</v>
      </c>
    </row>
    <row r="243" spans="1:7" x14ac:dyDescent="0.25">
      <c r="B243" s="10">
        <f>SUM(B231:B242)</f>
        <v>127274139775.88</v>
      </c>
      <c r="C243" s="10">
        <f t="shared" ref="C243:E243" si="1">SUM(C231:C242)</f>
        <v>137161330314.04997</v>
      </c>
      <c r="D243" s="10">
        <f t="shared" si="1"/>
        <v>156297508496.28</v>
      </c>
      <c r="E243" s="10">
        <f t="shared" si="1"/>
        <v>175433290966.83997</v>
      </c>
      <c r="F243" s="10">
        <v>191995000000</v>
      </c>
      <c r="G243" s="10"/>
    </row>
    <row r="244" spans="1:7" x14ac:dyDescent="0.25">
      <c r="B244">
        <f t="shared" ref="B244:E244" si="2">B243/1000000000</f>
        <v>127.27413977588</v>
      </c>
      <c r="C244">
        <f t="shared" si="2"/>
        <v>137.16133031404996</v>
      </c>
      <c r="D244">
        <f t="shared" si="2"/>
        <v>156.29750849627999</v>
      </c>
      <c r="E244">
        <f t="shared" si="2"/>
        <v>175.43329096683996</v>
      </c>
      <c r="F244">
        <f>F243/1000000000</f>
        <v>191.995</v>
      </c>
    </row>
  </sheetData>
  <hyperlinks>
    <hyperlink ref="A164" r:id="rId1" xr:uid="{00000000-0004-0000-0000-000000000000}"/>
    <hyperlink ref="A166" r:id="rId2" xr:uid="{00000000-0004-0000-0000-000001000000}"/>
  </hyperlinks>
  <pageMargins left="0.511811024" right="0.511811024" top="0.78740157499999996" bottom="0.78740157499999996" header="0.31496062000000002" footer="0.31496062000000002"/>
  <pageSetup orientation="portrait" verticalDpi="0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"/>
  <sheetViews>
    <sheetView workbookViewId="0">
      <selection sqref="A1:E14"/>
    </sheetView>
  </sheetViews>
  <sheetFormatPr defaultRowHeight="15" x14ac:dyDescent="0.25"/>
  <cols>
    <col min="2" max="4" width="17.28515625" bestFit="1" customWidth="1"/>
    <col min="5" max="5" width="16.28515625" bestFit="1" customWidth="1"/>
  </cols>
  <sheetData>
    <row r="1" spans="1:5" x14ac:dyDescent="0.25">
      <c r="B1">
        <v>2020</v>
      </c>
      <c r="C1">
        <v>2021</v>
      </c>
      <c r="D1">
        <v>2022</v>
      </c>
      <c r="E1">
        <v>2023</v>
      </c>
    </row>
    <row r="2" spans="1:5" x14ac:dyDescent="0.25">
      <c r="A2" t="s">
        <v>15</v>
      </c>
      <c r="B2" s="4">
        <v>13502535868.76</v>
      </c>
      <c r="C2" s="4">
        <v>13321724109.209999</v>
      </c>
      <c r="D2" s="4">
        <v>15067358398.26</v>
      </c>
      <c r="E2" s="4">
        <v>17460682384.5</v>
      </c>
    </row>
    <row r="3" spans="1:5" x14ac:dyDescent="0.25">
      <c r="A3" t="s">
        <v>16</v>
      </c>
      <c r="B3" s="4">
        <v>10577244223.780001</v>
      </c>
      <c r="C3" s="4">
        <v>10669635346.280001</v>
      </c>
      <c r="D3" s="4">
        <v>12045140948.950001</v>
      </c>
      <c r="E3" s="4">
        <v>13596575808.030001</v>
      </c>
    </row>
    <row r="4" spans="1:5" x14ac:dyDescent="0.25">
      <c r="A4" t="s">
        <v>30</v>
      </c>
      <c r="B4" s="4">
        <v>10585454126.280001</v>
      </c>
      <c r="C4" s="4">
        <v>10926305078.049999</v>
      </c>
      <c r="D4" s="4">
        <v>12378986302.34</v>
      </c>
    </row>
    <row r="5" spans="1:5" x14ac:dyDescent="0.25">
      <c r="A5" t="s">
        <v>18</v>
      </c>
      <c r="B5" s="4">
        <v>6896089793.0600004</v>
      </c>
      <c r="C5" s="4">
        <v>10727461041.129999</v>
      </c>
      <c r="D5" s="4">
        <v>12180374616.17</v>
      </c>
    </row>
    <row r="6" spans="1:5" x14ac:dyDescent="0.25">
      <c r="A6" t="s">
        <v>19</v>
      </c>
      <c r="B6" s="4">
        <v>6807233359.9200001</v>
      </c>
      <c r="C6" s="4">
        <v>9402808557.0100002</v>
      </c>
      <c r="D6" s="4">
        <v>12264626428.5</v>
      </c>
    </row>
    <row r="7" spans="1:5" x14ac:dyDescent="0.25">
      <c r="A7" t="s">
        <v>20</v>
      </c>
      <c r="B7" s="4">
        <v>6314726515.4099998</v>
      </c>
      <c r="C7" s="4">
        <v>9281044945.3899994</v>
      </c>
      <c r="D7" s="4">
        <v>12403692595.66</v>
      </c>
    </row>
    <row r="8" spans="1:5" x14ac:dyDescent="0.25">
      <c r="A8" t="s">
        <v>21</v>
      </c>
      <c r="B8" s="4">
        <v>11432884813.370001</v>
      </c>
      <c r="C8" s="4">
        <v>9457232685.5699997</v>
      </c>
      <c r="D8" s="4">
        <v>12539009971.02</v>
      </c>
    </row>
    <row r="9" spans="1:5" x14ac:dyDescent="0.25">
      <c r="A9" t="s">
        <v>22</v>
      </c>
      <c r="B9" s="4">
        <v>11782724663.959999</v>
      </c>
      <c r="C9" s="4">
        <v>9609288691</v>
      </c>
      <c r="D9" s="4">
        <v>12906558566.110001</v>
      </c>
    </row>
    <row r="10" spans="1:5" x14ac:dyDescent="0.25">
      <c r="A10" t="s">
        <v>23</v>
      </c>
      <c r="B10" s="4">
        <v>11660719135.59</v>
      </c>
      <c r="C10" s="4">
        <v>12416017991.09</v>
      </c>
      <c r="D10" s="4">
        <v>12626705047.139999</v>
      </c>
    </row>
    <row r="11" spans="1:5" x14ac:dyDescent="0.25">
      <c r="A11" t="s">
        <v>24</v>
      </c>
      <c r="B11" s="4">
        <v>11472098008.959999</v>
      </c>
      <c r="C11" s="4">
        <v>12602604792.23</v>
      </c>
      <c r="D11" s="4">
        <v>12610924827.879999</v>
      </c>
    </row>
    <row r="12" spans="1:5" x14ac:dyDescent="0.25">
      <c r="A12" t="s">
        <v>25</v>
      </c>
      <c r="B12" s="4">
        <v>11531241963.379999</v>
      </c>
      <c r="C12" s="4">
        <v>12681995014.4</v>
      </c>
      <c r="D12" s="4">
        <v>12806945150.66</v>
      </c>
    </row>
    <row r="13" spans="1:5" x14ac:dyDescent="0.25">
      <c r="A13" t="s">
        <v>26</v>
      </c>
      <c r="B13" s="4">
        <v>14711187303.41</v>
      </c>
      <c r="C13" s="4">
        <v>16065212062.690001</v>
      </c>
      <c r="D13" s="4">
        <v>16467185643.59</v>
      </c>
    </row>
    <row r="14" spans="1:5" x14ac:dyDescent="0.25">
      <c r="B14" s="10">
        <f>SUM(B2:B13)</f>
        <v>127274139775.88</v>
      </c>
      <c r="C14" s="10">
        <f t="shared" ref="C14:D14" si="0">SUM(C2:C13)</f>
        <v>137161330314.04997</v>
      </c>
      <c r="D14" s="10">
        <f t="shared" si="0"/>
        <v>156297508496.28</v>
      </c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Kleber</dc:creator>
  <cp:lastModifiedBy>Kleber Castro</cp:lastModifiedBy>
  <dcterms:created xsi:type="dcterms:W3CDTF">2015-04-12T14:31:33Z</dcterms:created>
  <dcterms:modified xsi:type="dcterms:W3CDTF">2025-11-18T19:05:58Z</dcterms:modified>
</cp:coreProperties>
</file>