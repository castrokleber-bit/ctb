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9ff083dff33069/Trabalho/Finance/AD-CTB/Dados Primários/"/>
    </mc:Choice>
  </mc:AlternateContent>
  <xr:revisionPtr revIDLastSave="19" documentId="13_ncr:1_{2B919454-8D07-4F27-A333-4CCB047FA20D}" xr6:coauthVersionLast="47" xr6:coauthVersionMax="47" xr10:uidLastSave="{1E098848-F645-45CD-AF66-DF9AD0F0EDD3}"/>
  <bookViews>
    <workbookView xWindow="-22815" yWindow="1905" windowWidth="21600" windowHeight="11295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1" l="1"/>
  <c r="C40" i="1"/>
  <c r="D40" i="1"/>
  <c r="E40" i="1"/>
  <c r="E39" i="1"/>
  <c r="C39" i="1"/>
  <c r="B25" i="1" s="1"/>
  <c r="C25" i="1" s="1"/>
  <c r="D39" i="1"/>
  <c r="B26" i="1" s="1"/>
  <c r="C26" i="1" s="1"/>
  <c r="C24" i="1" l="1"/>
  <c r="B39" i="1"/>
  <c r="C23" i="1"/>
  <c r="C21" i="1"/>
  <c r="C22" i="1"/>
  <c r="C20" i="1"/>
  <c r="C19" i="1"/>
  <c r="C18" i="1" l="1"/>
  <c r="C17" i="1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3" i="1"/>
</calcChain>
</file>

<file path=xl/sharedStrings.xml><?xml version="1.0" encoding="utf-8"?>
<sst xmlns="http://schemas.openxmlformats.org/spreadsheetml/2006/main" count="11" uniqueCount="11">
  <si>
    <t>Sistema S - R$ Milhões</t>
  </si>
  <si>
    <t>Fonte: Cetad/RFB.</t>
  </si>
  <si>
    <t>SENAI</t>
  </si>
  <si>
    <t>SESI</t>
  </si>
  <si>
    <t>SENAC</t>
  </si>
  <si>
    <t>SESC</t>
  </si>
  <si>
    <t>SEBRAE</t>
  </si>
  <si>
    <t>SENAR</t>
  </si>
  <si>
    <t>SEST</t>
  </si>
  <si>
    <t>SENAT</t>
  </si>
  <si>
    <t>SESCOOP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</si>
</sst>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tabSelected="1" topLeftCell="A31" workbookViewId="0">
      <selection activeCell="E40" sqref="E40"/>
    </sheetView>
  </sheetViews>
  <sheetFormatPr defaultRowHeight="15" x14ac:dyDescent="0.25"/>
  <cols>
    <col min="2" max="2" width="21" bestFit="1" customWidth="1"/>
    <col min="3" max="3" width="16.42578125" bestFit="1" customWidth="1"/>
    <col min="4" max="4" width="18" customWidth="1"/>
    <col min="5" max="5" width="16.42578125" bestFit="1" customWidth="1"/>
  </cols>
  <sheetData>
    <row r="2" spans="1:3" x14ac:dyDescent="0.25">
      <c r="B2" t="s">
        <v>0</v>
      </c>
    </row>
    <row r="3" spans="1:3" x14ac:dyDescent="0.25">
      <c r="A3">
        <v>2000</v>
      </c>
      <c r="B3" s="2">
        <v>2646</v>
      </c>
      <c r="C3">
        <f>B3/1000</f>
        <v>2.6459999999999999</v>
      </c>
    </row>
    <row r="4" spans="1:3" x14ac:dyDescent="0.25">
      <c r="A4">
        <v>2001</v>
      </c>
      <c r="B4" s="2">
        <v>3235</v>
      </c>
      <c r="C4">
        <f t="shared" ref="C4:C20" si="0">B4/1000</f>
        <v>3.2349999999999999</v>
      </c>
    </row>
    <row r="5" spans="1:3" x14ac:dyDescent="0.25">
      <c r="A5">
        <v>2002</v>
      </c>
      <c r="B5" s="1">
        <v>3345.7</v>
      </c>
      <c r="C5">
        <f t="shared" si="0"/>
        <v>3.3456999999999999</v>
      </c>
    </row>
    <row r="6" spans="1:3" x14ac:dyDescent="0.25">
      <c r="A6">
        <v>2003</v>
      </c>
      <c r="B6" s="1">
        <v>3902.6</v>
      </c>
      <c r="C6">
        <f t="shared" si="0"/>
        <v>3.9026000000000001</v>
      </c>
    </row>
    <row r="7" spans="1:3" x14ac:dyDescent="0.25">
      <c r="A7">
        <v>2004</v>
      </c>
      <c r="B7" s="1">
        <v>4941.9799999999996</v>
      </c>
      <c r="C7">
        <f t="shared" si="0"/>
        <v>4.9419799999999992</v>
      </c>
    </row>
    <row r="8" spans="1:3" x14ac:dyDescent="0.25">
      <c r="A8">
        <v>2005</v>
      </c>
      <c r="B8" s="1">
        <v>4396.57</v>
      </c>
      <c r="C8">
        <f t="shared" si="0"/>
        <v>4.3965699999999996</v>
      </c>
    </row>
    <row r="9" spans="1:3" x14ac:dyDescent="0.25">
      <c r="A9">
        <v>2006</v>
      </c>
      <c r="B9" s="1">
        <v>5606.29</v>
      </c>
      <c r="C9">
        <f t="shared" si="0"/>
        <v>5.6062899999999996</v>
      </c>
    </row>
    <row r="10" spans="1:3" x14ac:dyDescent="0.25">
      <c r="A10">
        <v>2007</v>
      </c>
      <c r="B10" s="1">
        <v>6591.55</v>
      </c>
      <c r="C10">
        <f t="shared" si="0"/>
        <v>6.5915499999999998</v>
      </c>
    </row>
    <row r="11" spans="1:3" x14ac:dyDescent="0.25">
      <c r="A11">
        <v>2008</v>
      </c>
      <c r="B11" s="1">
        <v>7826.38</v>
      </c>
      <c r="C11">
        <f t="shared" si="0"/>
        <v>7.8263800000000003</v>
      </c>
    </row>
    <row r="12" spans="1:3" x14ac:dyDescent="0.25">
      <c r="A12">
        <v>2009</v>
      </c>
      <c r="B12" s="1">
        <v>8523.52</v>
      </c>
      <c r="C12">
        <f t="shared" si="0"/>
        <v>8.5235200000000013</v>
      </c>
    </row>
    <row r="13" spans="1:3" x14ac:dyDescent="0.25">
      <c r="A13">
        <v>2010</v>
      </c>
      <c r="B13" s="1">
        <v>9887.2000000000007</v>
      </c>
      <c r="C13">
        <f t="shared" si="0"/>
        <v>9.8872</v>
      </c>
    </row>
    <row r="14" spans="1:3" x14ac:dyDescent="0.25">
      <c r="A14">
        <v>2011</v>
      </c>
      <c r="B14" s="1">
        <v>11662.7</v>
      </c>
      <c r="C14">
        <f t="shared" si="0"/>
        <v>11.662700000000001</v>
      </c>
    </row>
    <row r="15" spans="1:3" x14ac:dyDescent="0.25">
      <c r="A15">
        <v>2012</v>
      </c>
      <c r="B15" s="1">
        <v>13518.92</v>
      </c>
      <c r="C15">
        <f t="shared" si="0"/>
        <v>13.51892</v>
      </c>
    </row>
    <row r="16" spans="1:3" x14ac:dyDescent="0.25">
      <c r="A16">
        <v>2013</v>
      </c>
      <c r="B16" s="1">
        <v>15331.59</v>
      </c>
      <c r="C16">
        <f t="shared" si="0"/>
        <v>15.33159</v>
      </c>
    </row>
    <row r="17" spans="1:5" x14ac:dyDescent="0.25">
      <c r="A17">
        <v>2014</v>
      </c>
      <c r="B17" s="1">
        <v>16884</v>
      </c>
      <c r="C17">
        <f t="shared" si="0"/>
        <v>16.884</v>
      </c>
    </row>
    <row r="18" spans="1:5" x14ac:dyDescent="0.25">
      <c r="A18">
        <v>2015</v>
      </c>
      <c r="B18" s="1">
        <v>15695.490916030001</v>
      </c>
      <c r="C18">
        <f t="shared" si="0"/>
        <v>15.695490916030002</v>
      </c>
    </row>
    <row r="19" spans="1:5" x14ac:dyDescent="0.25">
      <c r="A19">
        <v>2016</v>
      </c>
      <c r="B19" s="1">
        <v>15895.638885439999</v>
      </c>
      <c r="C19">
        <f t="shared" si="0"/>
        <v>15.895638885439999</v>
      </c>
    </row>
    <row r="20" spans="1:5" x14ac:dyDescent="0.25">
      <c r="A20">
        <v>2017</v>
      </c>
      <c r="B20" s="1">
        <v>16471.161694499999</v>
      </c>
      <c r="C20">
        <f t="shared" si="0"/>
        <v>16.471161694499997</v>
      </c>
    </row>
    <row r="21" spans="1:5" x14ac:dyDescent="0.25">
      <c r="A21">
        <v>2018</v>
      </c>
      <c r="B21" s="1">
        <v>17082723697.43</v>
      </c>
      <c r="C21">
        <f t="shared" ref="C21:C26" si="1">B21/1000000000</f>
        <v>17.082723697430001</v>
      </c>
    </row>
    <row r="22" spans="1:5" x14ac:dyDescent="0.25">
      <c r="A22">
        <v>2019</v>
      </c>
      <c r="B22" s="1">
        <v>17791306115</v>
      </c>
      <c r="C22">
        <f t="shared" si="1"/>
        <v>17.791306115000001</v>
      </c>
    </row>
    <row r="23" spans="1:5" x14ac:dyDescent="0.25">
      <c r="A23">
        <v>2020</v>
      </c>
      <c r="B23" s="1">
        <v>15935361879.32</v>
      </c>
      <c r="C23">
        <f t="shared" si="1"/>
        <v>15.93536187932</v>
      </c>
    </row>
    <row r="24" spans="1:5" x14ac:dyDescent="0.25">
      <c r="A24">
        <v>2021</v>
      </c>
      <c r="B24" s="1">
        <v>20106946531.209995</v>
      </c>
      <c r="C24">
        <f t="shared" si="1"/>
        <v>20.106946531209996</v>
      </c>
    </row>
    <row r="25" spans="1:5" x14ac:dyDescent="0.25">
      <c r="A25">
        <v>2022</v>
      </c>
      <c r="B25" s="1">
        <f>C39</f>
        <v>23814896662</v>
      </c>
      <c r="C25">
        <f t="shared" si="1"/>
        <v>23.814896661999999</v>
      </c>
    </row>
    <row r="26" spans="1:5" x14ac:dyDescent="0.25">
      <c r="A26">
        <v>2023</v>
      </c>
      <c r="B26" s="1">
        <f>D39</f>
        <v>26918934551</v>
      </c>
      <c r="C26">
        <f t="shared" si="1"/>
        <v>26.918934551</v>
      </c>
    </row>
    <row r="27" spans="1:5" x14ac:dyDescent="0.25">
      <c r="A27">
        <v>2024</v>
      </c>
      <c r="B27" s="1"/>
    </row>
    <row r="28" spans="1:5" x14ac:dyDescent="0.25">
      <c r="A28" t="s">
        <v>1</v>
      </c>
    </row>
    <row r="29" spans="1:5" x14ac:dyDescent="0.25">
      <c r="B29">
        <v>2021</v>
      </c>
      <c r="C29">
        <v>2022</v>
      </c>
      <c r="D29">
        <v>2023</v>
      </c>
      <c r="E29">
        <v>2024</v>
      </c>
    </row>
    <row r="30" spans="1:5" x14ac:dyDescent="0.25">
      <c r="A30" s="3" t="s">
        <v>6</v>
      </c>
      <c r="B30" s="1">
        <v>3760264876.6199999</v>
      </c>
      <c r="C30">
        <v>4355631523</v>
      </c>
      <c r="D30" s="1">
        <v>4936412207</v>
      </c>
      <c r="E30" s="1">
        <v>5388999281.4499998</v>
      </c>
    </row>
    <row r="31" spans="1:5" x14ac:dyDescent="0.25">
      <c r="A31" s="3" t="s">
        <v>4</v>
      </c>
      <c r="B31" s="1">
        <v>3244340806.29</v>
      </c>
      <c r="C31">
        <v>3828505807</v>
      </c>
      <c r="D31" s="1">
        <v>4335312495</v>
      </c>
      <c r="E31" s="1">
        <v>4755450063.9099998</v>
      </c>
    </row>
    <row r="32" spans="1:5" x14ac:dyDescent="0.25">
      <c r="A32" s="3" t="s">
        <v>2</v>
      </c>
      <c r="B32" s="1">
        <v>1663389533.02</v>
      </c>
      <c r="C32">
        <v>1946839119</v>
      </c>
      <c r="D32" s="1">
        <v>2245940322</v>
      </c>
      <c r="E32" s="1">
        <v>2468995061.7600002</v>
      </c>
    </row>
    <row r="33" spans="1:5" x14ac:dyDescent="0.25">
      <c r="A33" s="3" t="s">
        <v>7</v>
      </c>
      <c r="B33" s="1">
        <v>1919852551.0799999</v>
      </c>
      <c r="C33">
        <v>2454733165</v>
      </c>
      <c r="D33" s="1">
        <v>2485712884</v>
      </c>
      <c r="E33" s="1">
        <v>2517943397.0999999</v>
      </c>
    </row>
    <row r="34" spans="1:5" x14ac:dyDescent="0.25">
      <c r="A34" s="3" t="s">
        <v>9</v>
      </c>
      <c r="B34" s="1">
        <v>368440462.77999997</v>
      </c>
      <c r="C34">
        <v>444560662</v>
      </c>
      <c r="D34" s="1">
        <v>542409580</v>
      </c>
      <c r="E34" s="1">
        <v>612092730.30000007</v>
      </c>
    </row>
    <row r="35" spans="1:5" x14ac:dyDescent="0.25">
      <c r="A35" s="3" t="s">
        <v>5</v>
      </c>
      <c r="B35" s="1">
        <v>5705053708.8400002</v>
      </c>
      <c r="C35">
        <v>6689875056</v>
      </c>
      <c r="D35" s="1">
        <v>7561674192</v>
      </c>
      <c r="E35" s="1">
        <v>8245421276.3399992</v>
      </c>
    </row>
    <row r="36" spans="1:5" x14ac:dyDescent="0.25">
      <c r="A36" s="3" t="s">
        <v>10</v>
      </c>
      <c r="B36" s="1">
        <v>475050292.68000001</v>
      </c>
      <c r="C36">
        <v>589612673</v>
      </c>
      <c r="D36" s="1">
        <v>706413681</v>
      </c>
      <c r="E36" s="1">
        <v>795502937.02999997</v>
      </c>
    </row>
    <row r="37" spans="1:5" x14ac:dyDescent="0.25">
      <c r="A37" s="3" t="s">
        <v>3</v>
      </c>
      <c r="B37" s="1">
        <v>2412393906.7399998</v>
      </c>
      <c r="C37">
        <v>2839492123</v>
      </c>
      <c r="D37" s="1">
        <v>3292190879</v>
      </c>
      <c r="E37" s="1">
        <v>3616828036.96</v>
      </c>
    </row>
    <row r="38" spans="1:5" x14ac:dyDescent="0.25">
      <c r="A38" s="3" t="s">
        <v>8</v>
      </c>
      <c r="B38" s="1">
        <v>558160393.15999997</v>
      </c>
      <c r="C38">
        <v>665646534</v>
      </c>
      <c r="D38" s="1">
        <v>812868311</v>
      </c>
      <c r="E38" s="1">
        <v>918525928.76999998</v>
      </c>
    </row>
    <row r="39" spans="1:5" x14ac:dyDescent="0.25">
      <c r="B39" s="1">
        <f>SUM(B30:B38)</f>
        <v>20106946531.210003</v>
      </c>
      <c r="C39" s="1">
        <f t="shared" ref="C39:E39" si="2">SUM(C30:C38)</f>
        <v>23814896662</v>
      </c>
      <c r="D39" s="1">
        <f t="shared" si="2"/>
        <v>26918934551</v>
      </c>
      <c r="E39" s="1">
        <f t="shared" si="2"/>
        <v>29319758713.619999</v>
      </c>
    </row>
    <row r="40" spans="1:5" x14ac:dyDescent="0.25">
      <c r="B40">
        <f t="shared" ref="B40:D40" si="3">B39/1000000000</f>
        <v>20.106946531210003</v>
      </c>
      <c r="C40">
        <f t="shared" si="3"/>
        <v>23.814896661999999</v>
      </c>
      <c r="D40">
        <f t="shared" si="3"/>
        <v>26.918934551</v>
      </c>
      <c r="E40">
        <f>E39/1000000000</f>
        <v>29.319758713620001</v>
      </c>
    </row>
  </sheetData>
  <sortState xmlns:xlrd2="http://schemas.microsoft.com/office/spreadsheetml/2017/richdata2" ref="A30:B38">
    <sortCondition ref="A30:A38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</dc:creator>
  <cp:lastModifiedBy>Kleber Castro</cp:lastModifiedBy>
  <dcterms:created xsi:type="dcterms:W3CDTF">2015-04-12T14:44:29Z</dcterms:created>
  <dcterms:modified xsi:type="dcterms:W3CDTF">2025-11-18T19:05:23Z</dcterms:modified>
</cp:coreProperties>
</file>