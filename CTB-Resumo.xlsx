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a9ff083dff33069/Trabalho/Finance/AD-CTB/"/>
    </mc:Choice>
  </mc:AlternateContent>
  <xr:revisionPtr revIDLastSave="152" documentId="13_ncr:1_{4003694D-D72E-4CB9-8127-BFC00244EC74}" xr6:coauthVersionLast="47" xr6:coauthVersionMax="47" xr10:uidLastSave="{E529C0E1-0CFE-4850-9943-CC94DB68E32C}"/>
  <bookViews>
    <workbookView xWindow="31200" yWindow="2400" windowWidth="21600" windowHeight="11235" tabRatio="601" activeTab="4" xr2:uid="{00000000-000D-0000-FFFF-FFFF00000000}"/>
  </bookViews>
  <sheets>
    <sheet name="byGOVDetalhado" sheetId="8" r:id="rId1"/>
    <sheet name="AD ESFERA" sheetId="1" r:id="rId2"/>
    <sheet name="PRINCIPAIS TRIBUTOS" sheetId="4" r:id="rId3"/>
    <sheet name="Bases de Incidência" sheetId="5" r:id="rId4"/>
    <sheet name="RD ESFERA" sheetId="7" r:id="rId5"/>
    <sheet name="Gráficos" sheetId="9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\0">[1]DIRIND!$U$1</definedName>
    <definedName name="\a">#N/A</definedName>
    <definedName name="A" localSheetId="0" hidden="1">{#N/A,#N/A,FALSE,"TAB A1";#N/A,#N/A,FALSE,"TAB A2";#N/A,#N/A,FALSE,"TAB A3";#N/A,#N/A,FALSE,"TAB A4";#N/A,#N/A,FALSE,"TAB A5";#N/A,#N/A,FALSE,"TAB A6";#N/A,#N/A,FALSE,"TAB A7";#N/A,#N/A,FALSE,"TAB A8";#N/A,#N/A,FALSE,"TAB A9";#N/A,#N/A,FALSE,"TAB A10";#N/A,#N/A,FALSE,"TAB A11";#N/A,#N/A,FALSE,"TAB A12"}</definedName>
    <definedName name="A" localSheetId="4" hidden="1">{#N/A,#N/A,FALSE,"TAB A1";#N/A,#N/A,FALSE,"TAB A2";#N/A,#N/A,FALSE,"TAB A3";#N/A,#N/A,FALSE,"TAB A4";#N/A,#N/A,FALSE,"TAB A5";#N/A,#N/A,FALSE,"TAB A6";#N/A,#N/A,FALSE,"TAB A7";#N/A,#N/A,FALSE,"TAB A8";#N/A,#N/A,FALSE,"TAB A9";#N/A,#N/A,FALSE,"TAB A10";#N/A,#N/A,FALSE,"TAB A11";#N/A,#N/A,FALSE,"TAB A12"}</definedName>
    <definedName name="A" hidden="1">{#N/A,#N/A,FALSE,"TAB A1";#N/A,#N/A,FALSE,"TAB A2";#N/A,#N/A,FALSE,"TAB A3";#N/A,#N/A,FALSE,"TAB A4";#N/A,#N/A,FALSE,"TAB A5";#N/A,#N/A,FALSE,"TAB A6";#N/A,#N/A,FALSE,"TAB A7";#N/A,#N/A,FALSE,"TAB A8";#N/A,#N/A,FALSE,"TAB A9";#N/A,#N/A,FALSE,"TAB A10";#N/A,#N/A,FALSE,"TAB A11";#N/A,#N/A,FALSE,"TAB A12"}</definedName>
    <definedName name="aa" localSheetId="0" hidden="1">{#N/A,#N/A,FALSE,"TAB A1";#N/A,#N/A,FALSE,"TAB A2";#N/A,#N/A,FALSE,"TAB A3";#N/A,#N/A,FALSE,"TAB A4";#N/A,#N/A,FALSE,"TAB A5";#N/A,#N/A,FALSE,"TAB A6";#N/A,#N/A,FALSE,"TAB A7";#N/A,#N/A,FALSE,"TAB A8";#N/A,#N/A,FALSE,"TAB A9";#N/A,#N/A,FALSE,"TAB A10";#N/A,#N/A,FALSE,"TAB A11";#N/A,#N/A,FALSE,"TAB A12"}</definedName>
    <definedName name="aa" localSheetId="4" hidden="1">{#N/A,#N/A,FALSE,"TAB A1";#N/A,#N/A,FALSE,"TAB A2";#N/A,#N/A,FALSE,"TAB A3";#N/A,#N/A,FALSE,"TAB A4";#N/A,#N/A,FALSE,"TAB A5";#N/A,#N/A,FALSE,"TAB A6";#N/A,#N/A,FALSE,"TAB A7";#N/A,#N/A,FALSE,"TAB A8";#N/A,#N/A,FALSE,"TAB A9";#N/A,#N/A,FALSE,"TAB A10";#N/A,#N/A,FALSE,"TAB A11";#N/A,#N/A,FALSE,"TAB A12"}</definedName>
    <definedName name="aa" hidden="1">{#N/A,#N/A,FALSE,"TAB A1";#N/A,#N/A,FALSE,"TAB A2";#N/A,#N/A,FALSE,"TAB A3";#N/A,#N/A,FALSE,"TAB A4";#N/A,#N/A,FALSE,"TAB A5";#N/A,#N/A,FALSE,"TAB A6";#N/A,#N/A,FALSE,"TAB A7";#N/A,#N/A,FALSE,"TAB A8";#N/A,#N/A,FALSE,"TAB A9";#N/A,#N/A,FALSE,"TAB A10";#N/A,#N/A,FALSE,"TAB A11";#N/A,#N/A,FALSE,"TAB A12"}</definedName>
    <definedName name="_xlnm.Print_Area" localSheetId="1">'AD ESFERA'!$A$1:$AZ$24</definedName>
    <definedName name="_xlnm.Print_Area" localSheetId="3">'Bases de Incidência'!$A$1:$AU$16</definedName>
    <definedName name="_xlnm.Print_Area" localSheetId="0">byGOVDetalhado!$A$1:$AR$43</definedName>
    <definedName name="_xlnm.Print_Area" localSheetId="2">'PRINCIPAIS TRIBUTOS'!$A$1:$AZ$26</definedName>
    <definedName name="_xlnm.Print_Area" localSheetId="4">'RD ESFERA'!$A$1:$AY$37</definedName>
    <definedName name="RECADM">#N/A</definedName>
    <definedName name="wrn.Imprime_Tudo." localSheetId="0" hidden="1">{#N/A,#N/A,FALSE,"TAB A1";#N/A,#N/A,FALSE,"TAB A2";#N/A,#N/A,FALSE,"TAB A3";#N/A,#N/A,FALSE,"TAB A4";#N/A,#N/A,FALSE,"TAB A5";#N/A,#N/A,FALSE,"TAB A6";#N/A,#N/A,FALSE,"TAB A7";#N/A,#N/A,FALSE,"TAB A8";#N/A,#N/A,FALSE,"TAB A9";#N/A,#N/A,FALSE,"TAB A10";#N/A,#N/A,FALSE,"TAB A11";#N/A,#N/A,FALSE,"TAB A12"}</definedName>
    <definedName name="wrn.Imprime_Tudo." localSheetId="4" hidden="1">{#N/A,#N/A,FALSE,"TAB A1";#N/A,#N/A,FALSE,"TAB A2";#N/A,#N/A,FALSE,"TAB A3";#N/A,#N/A,FALSE,"TAB A4";#N/A,#N/A,FALSE,"TAB A5";#N/A,#N/A,FALSE,"TAB A6";#N/A,#N/A,FALSE,"TAB A7";#N/A,#N/A,FALSE,"TAB A8";#N/A,#N/A,FALSE,"TAB A9";#N/A,#N/A,FALSE,"TAB A10";#N/A,#N/A,FALSE,"TAB A11";#N/A,#N/A,FALSE,"TAB A12"}</definedName>
    <definedName name="wrn.Imprime_Tudo." hidden="1">{#N/A,#N/A,FALSE,"TAB A1";#N/A,#N/A,FALSE,"TAB A2";#N/A,#N/A,FALSE,"TAB A3";#N/A,#N/A,FALSE,"TAB A4";#N/A,#N/A,FALSE,"TAB A5";#N/A,#N/A,FALSE,"TAB A6";#N/A,#N/A,FALSE,"TAB A7";#N/A,#N/A,FALSE,"TAB A8";#N/A,#N/A,FALSE,"TAB A9";#N/A,#N/A,FALSE,"TAB A10";#N/A,#N/A,FALSE,"TAB A11";#N/A,#N/A,FALSE,"TAB A12"}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U5" i="7" l="1"/>
  <c r="CV5" i="7"/>
  <c r="CW5" i="7"/>
  <c r="CU6" i="7"/>
  <c r="CV6" i="7"/>
  <c r="CW6" i="7"/>
  <c r="CU7" i="7"/>
  <c r="CV7" i="7"/>
  <c r="CW7" i="7"/>
  <c r="CU8" i="7"/>
  <c r="CV8" i="7"/>
  <c r="CW8" i="7"/>
  <c r="CU9" i="7"/>
  <c r="CV9" i="7"/>
  <c r="H55" i="9" s="1"/>
  <c r="CW9" i="7"/>
  <c r="CU10" i="7"/>
  <c r="CV10" i="7"/>
  <c r="CW10" i="7"/>
  <c r="CU11" i="7"/>
  <c r="CV11" i="7"/>
  <c r="CW11" i="7"/>
  <c r="CU12" i="7"/>
  <c r="CV12" i="7"/>
  <c r="CW12" i="7"/>
  <c r="CU13" i="7"/>
  <c r="CX13" i="7" s="1"/>
  <c r="CV13" i="7"/>
  <c r="CW13" i="7"/>
  <c r="CU14" i="7"/>
  <c r="CV14" i="7"/>
  <c r="CW14" i="7"/>
  <c r="CU15" i="7"/>
  <c r="CV15" i="7"/>
  <c r="CW15" i="7"/>
  <c r="CU16" i="7"/>
  <c r="CV16" i="7"/>
  <c r="CW16" i="7"/>
  <c r="CU17" i="7"/>
  <c r="CV17" i="7"/>
  <c r="CW17" i="7"/>
  <c r="CU18" i="7"/>
  <c r="CV18" i="7"/>
  <c r="CW18" i="7"/>
  <c r="CU19" i="7"/>
  <c r="CV19" i="7"/>
  <c r="CW19" i="7"/>
  <c r="CU20" i="7"/>
  <c r="CV20" i="7"/>
  <c r="CW20" i="7"/>
  <c r="CU21" i="7"/>
  <c r="CV21" i="7"/>
  <c r="CW21" i="7"/>
  <c r="CU22" i="7"/>
  <c r="CV22" i="7"/>
  <c r="CW22" i="7"/>
  <c r="CU23" i="7"/>
  <c r="CV23" i="7"/>
  <c r="CW23" i="7"/>
  <c r="CU24" i="7"/>
  <c r="CV24" i="7"/>
  <c r="CW24" i="7"/>
  <c r="CU25" i="7"/>
  <c r="CV25" i="7"/>
  <c r="CW25" i="7"/>
  <c r="CU26" i="7"/>
  <c r="CV26" i="7"/>
  <c r="CW26" i="7"/>
  <c r="CU27" i="7"/>
  <c r="CV27" i="7"/>
  <c r="CW27" i="7"/>
  <c r="CU28" i="7"/>
  <c r="CV28" i="7"/>
  <c r="CW28" i="7"/>
  <c r="CU29" i="7"/>
  <c r="CV29" i="7"/>
  <c r="CW29" i="7"/>
  <c r="CU30" i="7"/>
  <c r="CV30" i="7"/>
  <c r="CW30" i="7"/>
  <c r="CU31" i="7"/>
  <c r="CX31" i="7" s="1"/>
  <c r="CY31" i="7" s="1"/>
  <c r="CT53" i="7" s="1"/>
  <c r="CV31" i="7"/>
  <c r="CW31" i="7"/>
  <c r="CU32" i="7"/>
  <c r="CV32" i="7"/>
  <c r="CW32" i="7"/>
  <c r="CU33" i="7"/>
  <c r="CV33" i="7"/>
  <c r="CW33" i="7"/>
  <c r="CU34" i="7"/>
  <c r="CV34" i="7"/>
  <c r="CW34" i="7"/>
  <c r="CU35" i="7"/>
  <c r="CX35" i="7" s="1"/>
  <c r="CY35" i="7" s="1"/>
  <c r="CT51" i="7" s="1"/>
  <c r="CT50" i="7" s="1"/>
  <c r="CV35" i="7"/>
  <c r="CW35" i="7"/>
  <c r="CU36" i="7"/>
  <c r="CV36" i="7"/>
  <c r="CW36" i="7"/>
  <c r="CU37" i="7"/>
  <c r="CV37" i="7"/>
  <c r="CW37" i="7"/>
  <c r="CU38" i="7"/>
  <c r="CV38" i="7"/>
  <c r="CW38" i="7"/>
  <c r="CU39" i="7"/>
  <c r="CV39" i="7"/>
  <c r="CW39" i="7"/>
  <c r="CU40" i="7"/>
  <c r="CV40" i="7"/>
  <c r="CW40" i="7"/>
  <c r="CU41" i="7"/>
  <c r="CV41" i="7"/>
  <c r="CW41" i="7"/>
  <c r="CU42" i="7"/>
  <c r="CX42" i="7" s="1"/>
  <c r="CY42" i="7" s="1"/>
  <c r="CT54" i="7" s="1"/>
  <c r="CV42" i="7"/>
  <c r="CW42" i="7"/>
  <c r="CU43" i="7"/>
  <c r="CV43" i="7"/>
  <c r="CW43" i="7"/>
  <c r="CU44" i="7"/>
  <c r="CV44" i="7"/>
  <c r="CW44" i="7"/>
  <c r="CU45" i="7"/>
  <c r="CX45" i="7" s="1"/>
  <c r="CY45" i="7" s="1"/>
  <c r="CT52" i="7" s="1"/>
  <c r="CV45" i="7"/>
  <c r="CW45" i="7"/>
  <c r="CU46" i="7"/>
  <c r="CV46" i="7"/>
  <c r="CW46" i="7"/>
  <c r="CT6" i="7"/>
  <c r="CT7" i="7"/>
  <c r="CT8" i="7"/>
  <c r="CT9" i="7"/>
  <c r="CT10" i="7"/>
  <c r="CT11" i="7"/>
  <c r="CT12" i="7"/>
  <c r="CT13" i="7"/>
  <c r="CT14" i="7"/>
  <c r="CT15" i="7"/>
  <c r="CT16" i="7"/>
  <c r="CT17" i="7"/>
  <c r="CT18" i="7"/>
  <c r="CT19" i="7"/>
  <c r="CT20" i="7"/>
  <c r="CT21" i="7"/>
  <c r="CT22" i="7"/>
  <c r="CT23" i="7"/>
  <c r="CT24" i="7"/>
  <c r="CT25" i="7"/>
  <c r="CT26" i="7"/>
  <c r="CT27" i="7"/>
  <c r="CT28" i="7"/>
  <c r="CT29" i="7"/>
  <c r="CT30" i="7"/>
  <c r="CT31" i="7"/>
  <c r="CT32" i="7"/>
  <c r="CT33" i="7"/>
  <c r="CT34" i="7"/>
  <c r="CT35" i="7"/>
  <c r="CT36" i="7"/>
  <c r="CT37" i="7"/>
  <c r="CT38" i="7"/>
  <c r="CT39" i="7"/>
  <c r="CT40" i="7"/>
  <c r="CT41" i="7"/>
  <c r="CT42" i="7"/>
  <c r="CT43" i="7"/>
  <c r="CT44" i="7"/>
  <c r="CT45" i="7"/>
  <c r="CT46" i="7"/>
  <c r="CT5" i="7"/>
  <c r="CU5" i="5"/>
  <c r="CV5" i="5"/>
  <c r="CW5" i="5"/>
  <c r="CU6" i="5"/>
  <c r="CV6" i="5"/>
  <c r="CW6" i="5"/>
  <c r="CU7" i="5"/>
  <c r="CV7" i="5"/>
  <c r="CW7" i="5"/>
  <c r="CU8" i="5"/>
  <c r="CV8" i="5"/>
  <c r="CW8" i="5"/>
  <c r="CU9" i="5"/>
  <c r="CV9" i="5"/>
  <c r="CW9" i="5"/>
  <c r="CU10" i="5"/>
  <c r="CV10" i="5"/>
  <c r="CW10" i="5"/>
  <c r="CU11" i="5"/>
  <c r="CV11" i="5"/>
  <c r="CW11" i="5"/>
  <c r="CU12" i="5"/>
  <c r="CV12" i="5"/>
  <c r="CW12" i="5"/>
  <c r="CU13" i="5"/>
  <c r="CV13" i="5"/>
  <c r="CW13" i="5"/>
  <c r="CU14" i="5"/>
  <c r="CV14" i="5"/>
  <c r="CW14" i="5"/>
  <c r="CU15" i="5"/>
  <c r="CV15" i="5"/>
  <c r="CW15" i="5"/>
  <c r="CU16" i="5"/>
  <c r="CV16" i="5"/>
  <c r="CW16" i="5"/>
  <c r="CT6" i="5"/>
  <c r="CT7" i="5"/>
  <c r="CT8" i="5"/>
  <c r="CT9" i="5"/>
  <c r="CT10" i="5"/>
  <c r="CT11" i="5"/>
  <c r="CT12" i="5"/>
  <c r="CT13" i="5"/>
  <c r="CT14" i="5"/>
  <c r="CT15" i="5"/>
  <c r="CT16" i="5"/>
  <c r="CT5" i="5"/>
  <c r="CU5" i="4"/>
  <c r="CV5" i="4"/>
  <c r="CW5" i="4"/>
  <c r="CU6" i="4"/>
  <c r="CV6" i="4"/>
  <c r="CW6" i="4"/>
  <c r="CU7" i="4"/>
  <c r="CV7" i="4"/>
  <c r="CW7" i="4"/>
  <c r="CU8" i="4"/>
  <c r="CV8" i="4"/>
  <c r="CW8" i="4"/>
  <c r="CU9" i="4"/>
  <c r="CV9" i="4"/>
  <c r="CW9" i="4"/>
  <c r="CU10" i="4"/>
  <c r="CV10" i="4"/>
  <c r="CW10" i="4"/>
  <c r="CU11" i="4"/>
  <c r="CV11" i="4"/>
  <c r="CW11" i="4"/>
  <c r="CU12" i="4"/>
  <c r="CV12" i="4"/>
  <c r="CW12" i="4"/>
  <c r="CU13" i="4"/>
  <c r="CV13" i="4"/>
  <c r="CW13" i="4"/>
  <c r="CU14" i="4"/>
  <c r="CV14" i="4"/>
  <c r="CW14" i="4"/>
  <c r="CU15" i="4"/>
  <c r="CV15" i="4"/>
  <c r="CW15" i="4"/>
  <c r="CU16" i="4"/>
  <c r="CV16" i="4"/>
  <c r="CW16" i="4"/>
  <c r="CU17" i="4"/>
  <c r="CV17" i="4"/>
  <c r="CW17" i="4"/>
  <c r="CU18" i="4"/>
  <c r="CV18" i="4"/>
  <c r="CW18" i="4"/>
  <c r="CU19" i="4"/>
  <c r="CV19" i="4"/>
  <c r="CW19" i="4"/>
  <c r="CU20" i="4"/>
  <c r="CV20" i="4"/>
  <c r="CW20" i="4"/>
  <c r="CU21" i="4"/>
  <c r="CV21" i="4"/>
  <c r="CW21" i="4"/>
  <c r="CU22" i="4"/>
  <c r="CV22" i="4"/>
  <c r="CW22" i="4"/>
  <c r="CU23" i="4"/>
  <c r="CV23" i="4"/>
  <c r="CW23" i="4"/>
  <c r="CU24" i="4"/>
  <c r="CV24" i="4"/>
  <c r="CW24" i="4"/>
  <c r="CU25" i="4"/>
  <c r="CV25" i="4"/>
  <c r="CW25" i="4"/>
  <c r="CU26" i="4"/>
  <c r="CV26" i="4"/>
  <c r="CW26" i="4"/>
  <c r="CT6" i="4"/>
  <c r="CT7" i="4"/>
  <c r="CT8" i="4"/>
  <c r="CT9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CT23" i="4"/>
  <c r="CT24" i="4"/>
  <c r="CT25" i="4"/>
  <c r="CT26" i="4"/>
  <c r="CT5" i="4"/>
  <c r="CU5" i="1"/>
  <c r="CV5" i="1"/>
  <c r="CW5" i="1"/>
  <c r="CU6" i="1"/>
  <c r="CV6" i="1"/>
  <c r="CW6" i="1"/>
  <c r="CU7" i="1"/>
  <c r="CV7" i="1"/>
  <c r="CW7" i="1"/>
  <c r="CU8" i="1"/>
  <c r="CV8" i="1"/>
  <c r="CW8" i="1"/>
  <c r="CU9" i="1"/>
  <c r="CV9" i="1"/>
  <c r="CW9" i="1"/>
  <c r="CU10" i="1"/>
  <c r="CV10" i="1"/>
  <c r="CW10" i="1"/>
  <c r="CU11" i="1"/>
  <c r="CV11" i="1"/>
  <c r="CW11" i="1"/>
  <c r="CU12" i="1"/>
  <c r="CV12" i="1"/>
  <c r="CW12" i="1"/>
  <c r="CU13" i="1"/>
  <c r="CV13" i="1"/>
  <c r="CW13" i="1"/>
  <c r="CU14" i="1"/>
  <c r="CV14" i="1"/>
  <c r="CW14" i="1"/>
  <c r="CU15" i="1"/>
  <c r="CV15" i="1"/>
  <c r="CW15" i="1"/>
  <c r="CU16" i="1"/>
  <c r="CV16" i="1"/>
  <c r="CW16" i="1"/>
  <c r="CU17" i="1"/>
  <c r="CV17" i="1"/>
  <c r="CW17" i="1"/>
  <c r="CU18" i="1"/>
  <c r="CV18" i="1"/>
  <c r="CW18" i="1"/>
  <c r="CU19" i="1"/>
  <c r="CV19" i="1"/>
  <c r="CW19" i="1"/>
  <c r="CU20" i="1"/>
  <c r="CV20" i="1"/>
  <c r="CW20" i="1"/>
  <c r="CU21" i="1"/>
  <c r="CV21" i="1"/>
  <c r="CW21" i="1"/>
  <c r="CU22" i="1"/>
  <c r="CV22" i="1"/>
  <c r="CW22" i="1"/>
  <c r="CU23" i="1"/>
  <c r="CV23" i="1"/>
  <c r="CW23" i="1"/>
  <c r="CU24" i="1"/>
  <c r="CV24" i="1"/>
  <c r="CW24" i="1"/>
  <c r="CT6" i="1"/>
  <c r="CT7" i="1"/>
  <c r="CT8" i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5" i="1"/>
  <c r="CU5" i="8"/>
  <c r="CV5" i="8"/>
  <c r="CW5" i="8"/>
  <c r="CU6" i="8"/>
  <c r="CV6" i="8"/>
  <c r="CW6" i="8"/>
  <c r="CU7" i="8"/>
  <c r="C25" i="9" s="1"/>
  <c r="F55" i="9" s="1"/>
  <c r="CV7" i="8"/>
  <c r="CW7" i="8"/>
  <c r="CU8" i="8"/>
  <c r="CV8" i="8"/>
  <c r="CW8" i="8"/>
  <c r="CU9" i="8"/>
  <c r="CV9" i="8"/>
  <c r="G55" i="9" s="1"/>
  <c r="CW9" i="8"/>
  <c r="CU10" i="8"/>
  <c r="CV10" i="8"/>
  <c r="CW10" i="8"/>
  <c r="CU11" i="8"/>
  <c r="CV11" i="8"/>
  <c r="CW11" i="8"/>
  <c r="CU12" i="8"/>
  <c r="CV12" i="8"/>
  <c r="CW12" i="8"/>
  <c r="CU13" i="8"/>
  <c r="CV13" i="8"/>
  <c r="CW13" i="8"/>
  <c r="CU14" i="8"/>
  <c r="CV14" i="8"/>
  <c r="CW14" i="8"/>
  <c r="CU15" i="8"/>
  <c r="CV15" i="8"/>
  <c r="CW15" i="8"/>
  <c r="CU16" i="8"/>
  <c r="CV16" i="8"/>
  <c r="CW16" i="8"/>
  <c r="CU17" i="8"/>
  <c r="CV17" i="8"/>
  <c r="CW17" i="8"/>
  <c r="CU18" i="8"/>
  <c r="CV18" i="8"/>
  <c r="CW18" i="8"/>
  <c r="CU19" i="8"/>
  <c r="CV19" i="8"/>
  <c r="CW19" i="8"/>
  <c r="CU20" i="8"/>
  <c r="CV20" i="8"/>
  <c r="CW20" i="8"/>
  <c r="CU21" i="8"/>
  <c r="CV21" i="8"/>
  <c r="CW21" i="8"/>
  <c r="CU22" i="8"/>
  <c r="CV22" i="8"/>
  <c r="CW22" i="8"/>
  <c r="CU23" i="8"/>
  <c r="CV23" i="8"/>
  <c r="CW23" i="8"/>
  <c r="CU24" i="8"/>
  <c r="CV24" i="8"/>
  <c r="CW24" i="8"/>
  <c r="CU25" i="8"/>
  <c r="CV25" i="8"/>
  <c r="CW25" i="8"/>
  <c r="CU26" i="8"/>
  <c r="CV26" i="8"/>
  <c r="CW26" i="8"/>
  <c r="CU27" i="8"/>
  <c r="CV27" i="8"/>
  <c r="CW27" i="8"/>
  <c r="CU28" i="8"/>
  <c r="CV28" i="8"/>
  <c r="CW28" i="8"/>
  <c r="CU29" i="8"/>
  <c r="CV29" i="8"/>
  <c r="CW29" i="8"/>
  <c r="CU30" i="8"/>
  <c r="CV30" i="8"/>
  <c r="CW30" i="8"/>
  <c r="CU31" i="8"/>
  <c r="CV31" i="8"/>
  <c r="CW31" i="8"/>
  <c r="CU32" i="8"/>
  <c r="CV32" i="8"/>
  <c r="CW32" i="8"/>
  <c r="CU33" i="8"/>
  <c r="CV33" i="8"/>
  <c r="CW33" i="8"/>
  <c r="CU34" i="8"/>
  <c r="CV34" i="8"/>
  <c r="CW34" i="8"/>
  <c r="CU35" i="8"/>
  <c r="CV35" i="8"/>
  <c r="CW35" i="8"/>
  <c r="CU36" i="8"/>
  <c r="CV36" i="8"/>
  <c r="CW36" i="8"/>
  <c r="CU37" i="8"/>
  <c r="CV37" i="8"/>
  <c r="CW37" i="8"/>
  <c r="CU38" i="8"/>
  <c r="CV38" i="8"/>
  <c r="CW38" i="8"/>
  <c r="CU39" i="8"/>
  <c r="CV39" i="8"/>
  <c r="CW39" i="8"/>
  <c r="CU40" i="8"/>
  <c r="CX40" i="8" s="1"/>
  <c r="CT55" i="7" s="1"/>
  <c r="CV40" i="8"/>
  <c r="CW40" i="8"/>
  <c r="CU41" i="8"/>
  <c r="CV41" i="8"/>
  <c r="CW41" i="8"/>
  <c r="CU42" i="8"/>
  <c r="CV42" i="8"/>
  <c r="CW42" i="8"/>
  <c r="CU43" i="8"/>
  <c r="CX43" i="8" s="1"/>
  <c r="CV43" i="8"/>
  <c r="CW43" i="8"/>
  <c r="CU44" i="8"/>
  <c r="CV44" i="8"/>
  <c r="CW44" i="8"/>
  <c r="CU45" i="8"/>
  <c r="CV45" i="8"/>
  <c r="CW45" i="8"/>
  <c r="CU46" i="8"/>
  <c r="CV46" i="8"/>
  <c r="CW46" i="8"/>
  <c r="CU47" i="8"/>
  <c r="CV47" i="8"/>
  <c r="CW47" i="8"/>
  <c r="CT6" i="8"/>
  <c r="CT7" i="8"/>
  <c r="CT8" i="8"/>
  <c r="CT9" i="8"/>
  <c r="CT10" i="8"/>
  <c r="CT11" i="8"/>
  <c r="CT12" i="8"/>
  <c r="CT13" i="8"/>
  <c r="CT14" i="8"/>
  <c r="CT15" i="8"/>
  <c r="CT16" i="8"/>
  <c r="CT17" i="8"/>
  <c r="CT18" i="8"/>
  <c r="CT19" i="8"/>
  <c r="CT20" i="8"/>
  <c r="CT21" i="8"/>
  <c r="CT22" i="8"/>
  <c r="CT23" i="8"/>
  <c r="CT24" i="8"/>
  <c r="CT25" i="8"/>
  <c r="CT26" i="8"/>
  <c r="CT27" i="8"/>
  <c r="CT28" i="8"/>
  <c r="CT29" i="8"/>
  <c r="CT30" i="8"/>
  <c r="CT31" i="8"/>
  <c r="CT32" i="8"/>
  <c r="CT33" i="8"/>
  <c r="CT34" i="8"/>
  <c r="CT35" i="8"/>
  <c r="CT36" i="8"/>
  <c r="CT37" i="8"/>
  <c r="CT38" i="8"/>
  <c r="CT39" i="8"/>
  <c r="CT40" i="8"/>
  <c r="CT41" i="8"/>
  <c r="CT42" i="8"/>
  <c r="CT43" i="8"/>
  <c r="CT44" i="8"/>
  <c r="CT45" i="8"/>
  <c r="CT46" i="8"/>
  <c r="CT47" i="8"/>
  <c r="CT5" i="8"/>
  <c r="CQ5" i="7"/>
  <c r="CR5" i="7"/>
  <c r="CS5" i="7"/>
  <c r="CQ6" i="7"/>
  <c r="CR6" i="7"/>
  <c r="CS6" i="7"/>
  <c r="CQ7" i="7"/>
  <c r="CR7" i="7"/>
  <c r="CS7" i="7"/>
  <c r="CQ8" i="7"/>
  <c r="CR8" i="7"/>
  <c r="CS8" i="7"/>
  <c r="CQ9" i="7"/>
  <c r="CR9" i="7"/>
  <c r="H54" i="9" s="1"/>
  <c r="CS9" i="7"/>
  <c r="CQ10" i="7"/>
  <c r="CR10" i="7"/>
  <c r="CS10" i="7"/>
  <c r="CQ11" i="7"/>
  <c r="CR11" i="7"/>
  <c r="CS11" i="7"/>
  <c r="CQ12" i="7"/>
  <c r="CR12" i="7"/>
  <c r="CS12" i="7"/>
  <c r="CQ13" i="7"/>
  <c r="CR13" i="7"/>
  <c r="CS13" i="7"/>
  <c r="CQ14" i="7"/>
  <c r="CR14" i="7"/>
  <c r="CS14" i="7"/>
  <c r="CQ15" i="7"/>
  <c r="CR15" i="7"/>
  <c r="CS15" i="7"/>
  <c r="CQ16" i="7"/>
  <c r="CR16" i="7"/>
  <c r="CS16" i="7"/>
  <c r="CQ17" i="7"/>
  <c r="CR17" i="7"/>
  <c r="CS17" i="7"/>
  <c r="CQ18" i="7"/>
  <c r="CR18" i="7"/>
  <c r="CS18" i="7"/>
  <c r="CQ19" i="7"/>
  <c r="CR19" i="7"/>
  <c r="CS19" i="7"/>
  <c r="CQ20" i="7"/>
  <c r="CR20" i="7"/>
  <c r="CS20" i="7"/>
  <c r="CQ21" i="7"/>
  <c r="CR21" i="7"/>
  <c r="CS21" i="7"/>
  <c r="CQ22" i="7"/>
  <c r="CR22" i="7"/>
  <c r="CS22" i="7"/>
  <c r="CQ23" i="7"/>
  <c r="CR23" i="7"/>
  <c r="CS23" i="7"/>
  <c r="CQ24" i="7"/>
  <c r="CR24" i="7"/>
  <c r="CS24" i="7"/>
  <c r="CQ25" i="7"/>
  <c r="CR25" i="7"/>
  <c r="CS25" i="7"/>
  <c r="CQ26" i="7"/>
  <c r="CR26" i="7"/>
  <c r="CS26" i="7"/>
  <c r="CQ27" i="7"/>
  <c r="CR27" i="7"/>
  <c r="CS27" i="7"/>
  <c r="CQ28" i="7"/>
  <c r="CR28" i="7"/>
  <c r="CS28" i="7"/>
  <c r="CQ29" i="7"/>
  <c r="CR29" i="7"/>
  <c r="CS29" i="7"/>
  <c r="CQ30" i="7"/>
  <c r="CR30" i="7"/>
  <c r="CS30" i="7"/>
  <c r="CQ31" i="7"/>
  <c r="CR31" i="7"/>
  <c r="CS31" i="7"/>
  <c r="CQ32" i="7"/>
  <c r="CR32" i="7"/>
  <c r="CS32" i="7"/>
  <c r="CQ33" i="7"/>
  <c r="CR33" i="7"/>
  <c r="CS33" i="7"/>
  <c r="CQ34" i="7"/>
  <c r="CR34" i="7"/>
  <c r="CS34" i="7"/>
  <c r="CQ35" i="7"/>
  <c r="CR35" i="7"/>
  <c r="CS35" i="7"/>
  <c r="CQ36" i="7"/>
  <c r="CR36" i="7"/>
  <c r="CS36" i="7"/>
  <c r="CQ37" i="7"/>
  <c r="CR37" i="7"/>
  <c r="CS37" i="7"/>
  <c r="CQ38" i="7"/>
  <c r="CR38" i="7"/>
  <c r="CS38" i="7"/>
  <c r="CQ39" i="7"/>
  <c r="CR39" i="7"/>
  <c r="CS39" i="7"/>
  <c r="CQ40" i="7"/>
  <c r="CR40" i="7"/>
  <c r="CS40" i="7"/>
  <c r="CQ41" i="7"/>
  <c r="CR41" i="7"/>
  <c r="CS41" i="7"/>
  <c r="CQ42" i="7"/>
  <c r="CR42" i="7"/>
  <c r="CS42" i="7"/>
  <c r="CQ43" i="7"/>
  <c r="CR43" i="7"/>
  <c r="CS43" i="7"/>
  <c r="CQ44" i="7"/>
  <c r="CR44" i="7"/>
  <c r="CS44" i="7"/>
  <c r="CQ45" i="7"/>
  <c r="CR45" i="7"/>
  <c r="CS45" i="7"/>
  <c r="CQ46" i="7"/>
  <c r="CR46" i="7"/>
  <c r="CS46" i="7"/>
  <c r="CP6" i="7"/>
  <c r="CP7" i="7"/>
  <c r="CP8" i="7"/>
  <c r="CP9" i="7"/>
  <c r="CP10" i="7"/>
  <c r="CP11" i="7"/>
  <c r="CP12" i="7"/>
  <c r="CP13" i="7"/>
  <c r="CP14" i="7"/>
  <c r="CP15" i="7"/>
  <c r="CP16" i="7"/>
  <c r="CP17" i="7"/>
  <c r="CP18" i="7"/>
  <c r="CP19" i="7"/>
  <c r="CP20" i="7"/>
  <c r="CP21" i="7"/>
  <c r="CP22" i="7"/>
  <c r="CP23" i="7"/>
  <c r="CP24" i="7"/>
  <c r="CP25" i="7"/>
  <c r="CP26" i="7"/>
  <c r="CP27" i="7"/>
  <c r="CP28" i="7"/>
  <c r="CP29" i="7"/>
  <c r="CP30" i="7"/>
  <c r="CP31" i="7"/>
  <c r="CP32" i="7"/>
  <c r="CP33" i="7"/>
  <c r="CP34" i="7"/>
  <c r="CP35" i="7"/>
  <c r="CP36" i="7"/>
  <c r="CP37" i="7"/>
  <c r="CP38" i="7"/>
  <c r="CP39" i="7"/>
  <c r="CP40" i="7"/>
  <c r="CP41" i="7"/>
  <c r="CP42" i="7"/>
  <c r="CP43" i="7"/>
  <c r="CP44" i="7"/>
  <c r="CP45" i="7"/>
  <c r="CP46" i="7"/>
  <c r="CP5" i="7"/>
  <c r="CS47" i="7"/>
  <c r="CR47" i="7"/>
  <c r="CQ47" i="7"/>
  <c r="CP47" i="7"/>
  <c r="CQ5" i="5"/>
  <c r="CR5" i="5"/>
  <c r="CS5" i="5"/>
  <c r="CQ6" i="5"/>
  <c r="CR6" i="5"/>
  <c r="CS6" i="5"/>
  <c r="CQ7" i="5"/>
  <c r="CR7" i="5"/>
  <c r="CS7" i="5"/>
  <c r="CQ8" i="5"/>
  <c r="CR8" i="5"/>
  <c r="CS8" i="5"/>
  <c r="CQ9" i="5"/>
  <c r="CR9" i="5"/>
  <c r="CS9" i="5"/>
  <c r="CQ10" i="5"/>
  <c r="CR10" i="5"/>
  <c r="CS10" i="5"/>
  <c r="CQ11" i="5"/>
  <c r="CR11" i="5"/>
  <c r="CS11" i="5"/>
  <c r="CQ12" i="5"/>
  <c r="CR12" i="5"/>
  <c r="CS12" i="5"/>
  <c r="CQ13" i="5"/>
  <c r="CR13" i="5"/>
  <c r="CS13" i="5"/>
  <c r="CQ14" i="5"/>
  <c r="CR14" i="5"/>
  <c r="CS14" i="5"/>
  <c r="CQ15" i="5"/>
  <c r="CR15" i="5"/>
  <c r="CS15" i="5"/>
  <c r="CQ16" i="5"/>
  <c r="CR16" i="5"/>
  <c r="CS16" i="5"/>
  <c r="CP6" i="5"/>
  <c r="CP7" i="5"/>
  <c r="CP8" i="5"/>
  <c r="CP9" i="5"/>
  <c r="CP10" i="5"/>
  <c r="CP11" i="5"/>
  <c r="CP12" i="5"/>
  <c r="CP13" i="5"/>
  <c r="CP14" i="5"/>
  <c r="CP15" i="5"/>
  <c r="CP16" i="5"/>
  <c r="CP5" i="5"/>
  <c r="CQ5" i="4"/>
  <c r="CR5" i="4"/>
  <c r="CS5" i="4"/>
  <c r="CQ6" i="4"/>
  <c r="CR6" i="4"/>
  <c r="CS6" i="4"/>
  <c r="CQ7" i="4"/>
  <c r="CR7" i="4"/>
  <c r="CS7" i="4"/>
  <c r="CQ8" i="4"/>
  <c r="CR8" i="4"/>
  <c r="CS8" i="4"/>
  <c r="CQ9" i="4"/>
  <c r="CR9" i="4"/>
  <c r="CS9" i="4"/>
  <c r="CQ10" i="4"/>
  <c r="CR10" i="4"/>
  <c r="CS10" i="4"/>
  <c r="CQ11" i="4"/>
  <c r="CR11" i="4"/>
  <c r="CS11" i="4"/>
  <c r="CQ12" i="4"/>
  <c r="CR12" i="4"/>
  <c r="CS12" i="4"/>
  <c r="CQ13" i="4"/>
  <c r="CR13" i="4"/>
  <c r="CS13" i="4"/>
  <c r="CQ14" i="4"/>
  <c r="CR14" i="4"/>
  <c r="CS14" i="4"/>
  <c r="CQ15" i="4"/>
  <c r="CR15" i="4"/>
  <c r="CS15" i="4"/>
  <c r="CQ16" i="4"/>
  <c r="CR16" i="4"/>
  <c r="CS16" i="4"/>
  <c r="CQ17" i="4"/>
  <c r="CR17" i="4"/>
  <c r="CS17" i="4"/>
  <c r="CQ18" i="4"/>
  <c r="CR18" i="4"/>
  <c r="CS18" i="4"/>
  <c r="CQ19" i="4"/>
  <c r="CR19" i="4"/>
  <c r="CS19" i="4"/>
  <c r="CQ20" i="4"/>
  <c r="CR20" i="4"/>
  <c r="CS20" i="4"/>
  <c r="CQ21" i="4"/>
  <c r="CR21" i="4"/>
  <c r="CS21" i="4"/>
  <c r="CQ22" i="4"/>
  <c r="CR22" i="4"/>
  <c r="CS22" i="4"/>
  <c r="CQ23" i="4"/>
  <c r="CR23" i="4"/>
  <c r="CS23" i="4"/>
  <c r="CQ24" i="4"/>
  <c r="CR24" i="4"/>
  <c r="CS24" i="4"/>
  <c r="CQ25" i="4"/>
  <c r="CR25" i="4"/>
  <c r="CS25" i="4"/>
  <c r="CQ26" i="4"/>
  <c r="CR26" i="4"/>
  <c r="CS26" i="4"/>
  <c r="CP6" i="4"/>
  <c r="CP7" i="4"/>
  <c r="CP8" i="4"/>
  <c r="CP9" i="4"/>
  <c r="CP10" i="4"/>
  <c r="CP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5" i="4"/>
  <c r="CQ5" i="1"/>
  <c r="CR5" i="1"/>
  <c r="CS5" i="1"/>
  <c r="CQ6" i="1"/>
  <c r="CR6" i="1"/>
  <c r="CS6" i="1"/>
  <c r="CQ7" i="1"/>
  <c r="CR7" i="1"/>
  <c r="CS7" i="1"/>
  <c r="CQ8" i="1"/>
  <c r="CR8" i="1"/>
  <c r="CS8" i="1"/>
  <c r="CQ9" i="1"/>
  <c r="CR9" i="1"/>
  <c r="CS9" i="1"/>
  <c r="CQ10" i="1"/>
  <c r="CR10" i="1"/>
  <c r="CS10" i="1"/>
  <c r="CQ11" i="1"/>
  <c r="CR11" i="1"/>
  <c r="CS11" i="1"/>
  <c r="CQ12" i="1"/>
  <c r="CR12" i="1"/>
  <c r="CS12" i="1"/>
  <c r="CQ13" i="1"/>
  <c r="CR13" i="1"/>
  <c r="CS13" i="1"/>
  <c r="CQ14" i="1"/>
  <c r="CR14" i="1"/>
  <c r="CS14" i="1"/>
  <c r="CQ15" i="1"/>
  <c r="CR15" i="1"/>
  <c r="CS15" i="1"/>
  <c r="CQ16" i="1"/>
  <c r="CR16" i="1"/>
  <c r="CS16" i="1"/>
  <c r="CQ17" i="1"/>
  <c r="CR17" i="1"/>
  <c r="CS17" i="1"/>
  <c r="CQ18" i="1"/>
  <c r="CR18" i="1"/>
  <c r="CS18" i="1"/>
  <c r="CQ19" i="1"/>
  <c r="CR19" i="1"/>
  <c r="CS19" i="1"/>
  <c r="CQ20" i="1"/>
  <c r="CR20" i="1"/>
  <c r="CS20" i="1"/>
  <c r="CQ21" i="1"/>
  <c r="CR21" i="1"/>
  <c r="CS21" i="1"/>
  <c r="CQ22" i="1"/>
  <c r="CR22" i="1"/>
  <c r="CS22" i="1"/>
  <c r="CQ23" i="1"/>
  <c r="CR23" i="1"/>
  <c r="CS23" i="1"/>
  <c r="CQ24" i="1"/>
  <c r="CR24" i="1"/>
  <c r="CS24" i="1"/>
  <c r="CP6" i="1"/>
  <c r="CP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5" i="1"/>
  <c r="CQ5" i="8"/>
  <c r="CR5" i="8"/>
  <c r="CS5" i="8"/>
  <c r="CQ6" i="8"/>
  <c r="CR6" i="8"/>
  <c r="CS6" i="8"/>
  <c r="CQ7" i="8"/>
  <c r="C24" i="9" s="1"/>
  <c r="CR7" i="8"/>
  <c r="CS7" i="8"/>
  <c r="CQ8" i="8"/>
  <c r="CR8" i="8"/>
  <c r="CS8" i="8"/>
  <c r="CQ9" i="8"/>
  <c r="CR9" i="8"/>
  <c r="G54" i="9" s="1"/>
  <c r="CS9" i="8"/>
  <c r="CQ10" i="8"/>
  <c r="CR10" i="8"/>
  <c r="CS10" i="8"/>
  <c r="CQ11" i="8"/>
  <c r="CR11" i="8"/>
  <c r="CS11" i="8"/>
  <c r="CQ12" i="8"/>
  <c r="CR12" i="8"/>
  <c r="CS12" i="8"/>
  <c r="CQ13" i="8"/>
  <c r="CR13" i="8"/>
  <c r="CS13" i="8"/>
  <c r="CQ14" i="8"/>
  <c r="CR14" i="8"/>
  <c r="CS14" i="8"/>
  <c r="CQ15" i="8"/>
  <c r="CR15" i="8"/>
  <c r="CS15" i="8"/>
  <c r="CQ16" i="8"/>
  <c r="CR16" i="8"/>
  <c r="CS16" i="8"/>
  <c r="CQ17" i="8"/>
  <c r="CR17" i="8"/>
  <c r="CS17" i="8"/>
  <c r="CQ18" i="8"/>
  <c r="CR18" i="8"/>
  <c r="CS18" i="8"/>
  <c r="CQ19" i="8"/>
  <c r="CR19" i="8"/>
  <c r="CS19" i="8"/>
  <c r="CQ20" i="8"/>
  <c r="CR20" i="8"/>
  <c r="CS20" i="8"/>
  <c r="CQ21" i="8"/>
  <c r="CR21" i="8"/>
  <c r="CS21" i="8"/>
  <c r="CQ22" i="8"/>
  <c r="CR22" i="8"/>
  <c r="CS22" i="8"/>
  <c r="CQ23" i="8"/>
  <c r="CR23" i="8"/>
  <c r="CS23" i="8"/>
  <c r="CQ24" i="8"/>
  <c r="CR24" i="8"/>
  <c r="CS24" i="8"/>
  <c r="CQ25" i="8"/>
  <c r="CR25" i="8"/>
  <c r="CS25" i="8"/>
  <c r="CQ26" i="8"/>
  <c r="CR26" i="8"/>
  <c r="CS26" i="8"/>
  <c r="CQ27" i="8"/>
  <c r="CR27" i="8"/>
  <c r="CS27" i="8"/>
  <c r="CQ28" i="8"/>
  <c r="CR28" i="8"/>
  <c r="CS28" i="8"/>
  <c r="CQ29" i="8"/>
  <c r="CR29" i="8"/>
  <c r="CS29" i="8"/>
  <c r="CQ30" i="8"/>
  <c r="CR30" i="8"/>
  <c r="CS30" i="8"/>
  <c r="CQ31" i="8"/>
  <c r="CR31" i="8"/>
  <c r="CS31" i="8"/>
  <c r="CQ32" i="8"/>
  <c r="CR32" i="8"/>
  <c r="CS32" i="8"/>
  <c r="CQ33" i="8"/>
  <c r="CR33" i="8"/>
  <c r="CS33" i="8"/>
  <c r="CQ34" i="8"/>
  <c r="CR34" i="8"/>
  <c r="CS34" i="8"/>
  <c r="CQ35" i="8"/>
  <c r="CR35" i="8"/>
  <c r="CS35" i="8"/>
  <c r="CQ36" i="8"/>
  <c r="CR36" i="8"/>
  <c r="CS36" i="8"/>
  <c r="CQ37" i="8"/>
  <c r="CR37" i="8"/>
  <c r="CS37" i="8"/>
  <c r="CQ38" i="8"/>
  <c r="CR38" i="8"/>
  <c r="CS38" i="8"/>
  <c r="CQ39" i="8"/>
  <c r="CR39" i="8"/>
  <c r="CS39" i="8"/>
  <c r="CQ40" i="8"/>
  <c r="CR40" i="8"/>
  <c r="CS40" i="8"/>
  <c r="CQ41" i="8"/>
  <c r="CR41" i="8"/>
  <c r="CS41" i="8"/>
  <c r="CQ42" i="8"/>
  <c r="CR42" i="8"/>
  <c r="CS42" i="8"/>
  <c r="CQ43" i="8"/>
  <c r="CR43" i="8"/>
  <c r="CS43" i="8"/>
  <c r="CQ44" i="8"/>
  <c r="CR44" i="8"/>
  <c r="CS44" i="8"/>
  <c r="CQ45" i="8"/>
  <c r="CR45" i="8"/>
  <c r="CS45" i="8"/>
  <c r="CQ46" i="8"/>
  <c r="CR46" i="8"/>
  <c r="CS46" i="8"/>
  <c r="CQ47" i="8"/>
  <c r="CR47" i="8"/>
  <c r="CS47" i="8"/>
  <c r="CP6" i="8"/>
  <c r="CP7" i="8"/>
  <c r="CP8" i="8"/>
  <c r="CP9" i="8"/>
  <c r="CP10" i="8"/>
  <c r="CP11" i="8"/>
  <c r="CP12" i="8"/>
  <c r="CP13" i="8"/>
  <c r="CP14" i="8"/>
  <c r="CP15" i="8"/>
  <c r="CP16" i="8"/>
  <c r="CP17" i="8"/>
  <c r="CP18" i="8"/>
  <c r="CP19" i="8"/>
  <c r="CP20" i="8"/>
  <c r="CP21" i="8"/>
  <c r="CP22" i="8"/>
  <c r="CP23" i="8"/>
  <c r="CP24" i="8"/>
  <c r="CP25" i="8"/>
  <c r="CP26" i="8"/>
  <c r="CP27" i="8"/>
  <c r="CP28" i="8"/>
  <c r="CP29" i="8"/>
  <c r="CP30" i="8"/>
  <c r="CP31" i="8"/>
  <c r="CP32" i="8"/>
  <c r="CP33" i="8"/>
  <c r="CP34" i="8"/>
  <c r="CP35" i="8"/>
  <c r="CP36" i="8"/>
  <c r="CP37" i="8"/>
  <c r="CP38" i="8"/>
  <c r="CP39" i="8"/>
  <c r="CP40" i="8"/>
  <c r="CP41" i="8"/>
  <c r="CP42" i="8"/>
  <c r="CP43" i="8"/>
  <c r="CP44" i="8"/>
  <c r="CP45" i="8"/>
  <c r="CP46" i="8"/>
  <c r="CP47" i="8"/>
  <c r="CP5" i="8"/>
  <c r="CM5" i="7"/>
  <c r="CN5" i="7"/>
  <c r="CO5" i="7"/>
  <c r="CM6" i="7"/>
  <c r="CN6" i="7"/>
  <c r="CO6" i="7"/>
  <c r="CM8" i="7"/>
  <c r="CN8" i="7"/>
  <c r="CO8" i="7"/>
  <c r="CM10" i="7"/>
  <c r="CN10" i="7"/>
  <c r="CO10" i="7"/>
  <c r="CM12" i="7"/>
  <c r="CN12" i="7"/>
  <c r="CO12" i="7"/>
  <c r="CM14" i="7"/>
  <c r="CN14" i="7"/>
  <c r="CO14" i="7"/>
  <c r="CM15" i="7"/>
  <c r="CN15" i="7"/>
  <c r="CO15" i="7"/>
  <c r="CM16" i="7"/>
  <c r="CN16" i="7"/>
  <c r="CO16" i="7"/>
  <c r="CM40" i="7"/>
  <c r="CN40" i="7"/>
  <c r="CO40" i="7"/>
  <c r="CM46" i="7"/>
  <c r="CN46" i="7"/>
  <c r="CO46" i="7"/>
  <c r="CM47" i="7"/>
  <c r="CN47" i="7"/>
  <c r="CO47" i="7"/>
  <c r="CL8" i="7"/>
  <c r="CL10" i="7"/>
  <c r="CL12" i="7"/>
  <c r="CL14" i="7"/>
  <c r="CL15" i="7"/>
  <c r="CL16" i="7"/>
  <c r="CL18" i="7"/>
  <c r="CL19" i="7"/>
  <c r="CL20" i="7"/>
  <c r="CL21" i="7"/>
  <c r="CL22" i="7"/>
  <c r="CL23" i="7"/>
  <c r="CL24" i="7"/>
  <c r="CL25" i="7"/>
  <c r="CL31" i="7"/>
  <c r="CL32" i="7"/>
  <c r="CL33" i="7"/>
  <c r="CL34" i="7"/>
  <c r="CL35" i="7"/>
  <c r="CL36" i="7"/>
  <c r="CL37" i="7"/>
  <c r="CL40" i="7"/>
  <c r="CL44" i="7"/>
  <c r="CL45" i="7"/>
  <c r="CL46" i="7"/>
  <c r="CL47" i="7"/>
  <c r="CM5" i="5"/>
  <c r="CN5" i="5"/>
  <c r="CO5" i="5"/>
  <c r="CM6" i="5"/>
  <c r="CN6" i="5"/>
  <c r="CO6" i="5"/>
  <c r="CM8" i="5"/>
  <c r="CN8" i="5"/>
  <c r="CO8" i="5"/>
  <c r="CL8" i="5"/>
  <c r="CL13" i="5"/>
  <c r="CL15" i="5"/>
  <c r="CM5" i="4"/>
  <c r="CN5" i="4"/>
  <c r="CO5" i="4"/>
  <c r="CM6" i="4"/>
  <c r="CN6" i="4"/>
  <c r="CO6" i="4"/>
  <c r="CM8" i="4"/>
  <c r="CN8" i="4"/>
  <c r="CL8" i="4"/>
  <c r="CL10" i="4"/>
  <c r="CL12" i="4"/>
  <c r="CL13" i="4"/>
  <c r="CL14" i="4"/>
  <c r="CL15" i="4"/>
  <c r="CL16" i="4"/>
  <c r="CL18" i="4"/>
  <c r="CL21" i="4"/>
  <c r="CL24" i="4"/>
  <c r="CL25" i="4"/>
  <c r="CM5" i="1"/>
  <c r="CN5" i="1"/>
  <c r="CO5" i="1"/>
  <c r="CM6" i="1"/>
  <c r="CN6" i="1"/>
  <c r="CO6" i="1"/>
  <c r="CM8" i="1"/>
  <c r="CN8" i="1"/>
  <c r="CM15" i="1"/>
  <c r="CN15" i="1"/>
  <c r="CM20" i="1"/>
  <c r="CN20" i="1"/>
  <c r="CL8" i="1"/>
  <c r="CL9" i="1"/>
  <c r="CL10" i="1"/>
  <c r="CL11" i="1"/>
  <c r="CL12" i="1"/>
  <c r="CL13" i="1"/>
  <c r="CL14" i="1"/>
  <c r="CL15" i="1"/>
  <c r="CL20" i="1"/>
  <c r="CM5" i="8"/>
  <c r="CN5" i="8"/>
  <c r="CO5" i="8"/>
  <c r="CM6" i="8"/>
  <c r="CN6" i="8"/>
  <c r="CO6" i="8"/>
  <c r="CM8" i="8"/>
  <c r="CN8" i="8"/>
  <c r="CO8" i="8"/>
  <c r="CM28" i="8"/>
  <c r="CN28" i="8"/>
  <c r="CO28" i="8"/>
  <c r="CM38" i="8"/>
  <c r="CN38" i="8"/>
  <c r="CO38" i="8"/>
  <c r="CL6" i="8"/>
  <c r="CL8" i="8"/>
  <c r="CL9" i="8"/>
  <c r="CL10" i="8"/>
  <c r="CL11" i="8"/>
  <c r="CL12" i="8"/>
  <c r="CL13" i="8"/>
  <c r="CL14" i="8"/>
  <c r="CL15" i="8"/>
  <c r="CL16" i="8"/>
  <c r="CL17" i="8"/>
  <c r="CL18" i="8"/>
  <c r="CL19" i="8"/>
  <c r="CL20" i="8"/>
  <c r="CL21" i="8"/>
  <c r="CL22" i="8"/>
  <c r="CL23" i="8"/>
  <c r="CL24" i="8"/>
  <c r="CL25" i="8"/>
  <c r="CL26" i="8"/>
  <c r="CL27" i="8"/>
  <c r="CL28" i="8"/>
  <c r="CL38" i="8"/>
  <c r="CL43" i="8"/>
  <c r="CL44" i="8"/>
  <c r="CL45" i="8"/>
  <c r="CL46" i="8"/>
  <c r="CL47" i="8"/>
  <c r="CL5" i="8"/>
  <c r="F54" i="9" l="1"/>
  <c r="CL28" i="7"/>
  <c r="CL39" i="7"/>
  <c r="CL30" i="7" l="1"/>
  <c r="CL17" i="7" l="1"/>
  <c r="CL9" i="7" l="1"/>
  <c r="CI7" i="7" l="1"/>
  <c r="CJ7" i="7"/>
  <c r="CK7" i="7"/>
  <c r="CI9" i="7"/>
  <c r="CJ9" i="7"/>
  <c r="H52" i="9" s="1"/>
  <c r="CK9" i="7"/>
  <c r="CI11" i="7"/>
  <c r="CJ11" i="7"/>
  <c r="CK11" i="7"/>
  <c r="CI13" i="7"/>
  <c r="CJ13" i="7"/>
  <c r="CK13" i="7"/>
  <c r="CI17" i="7"/>
  <c r="CJ17" i="7"/>
  <c r="CK17" i="7"/>
  <c r="CI18" i="7"/>
  <c r="CJ18" i="7"/>
  <c r="CK18" i="7"/>
  <c r="CI19" i="7"/>
  <c r="CJ19" i="7"/>
  <c r="CK19" i="7"/>
  <c r="CI20" i="7"/>
  <c r="CJ20" i="7"/>
  <c r="CK20" i="7"/>
  <c r="CI21" i="7"/>
  <c r="CJ21" i="7"/>
  <c r="CK21" i="7"/>
  <c r="CI22" i="7"/>
  <c r="CJ22" i="7"/>
  <c r="CK22" i="7"/>
  <c r="CI23" i="7"/>
  <c r="CJ23" i="7"/>
  <c r="CK23" i="7"/>
  <c r="CI24" i="7"/>
  <c r="CJ24" i="7"/>
  <c r="CK24" i="7"/>
  <c r="CI25" i="7"/>
  <c r="CJ25" i="7"/>
  <c r="CK25" i="7"/>
  <c r="CI28" i="7"/>
  <c r="CJ28" i="7"/>
  <c r="CK28" i="7"/>
  <c r="CI30" i="7"/>
  <c r="CJ30" i="7"/>
  <c r="CK30" i="7"/>
  <c r="CI31" i="7"/>
  <c r="CJ31" i="7"/>
  <c r="CK31" i="7"/>
  <c r="CI32" i="7"/>
  <c r="CJ32" i="7"/>
  <c r="CK32" i="7"/>
  <c r="CI33" i="7"/>
  <c r="CJ33" i="7"/>
  <c r="CK33" i="7"/>
  <c r="CI34" i="7"/>
  <c r="CJ34" i="7"/>
  <c r="CK34" i="7"/>
  <c r="CI35" i="7"/>
  <c r="CJ35" i="7"/>
  <c r="CK35" i="7"/>
  <c r="CI36" i="7"/>
  <c r="CJ36" i="7"/>
  <c r="CK36" i="7"/>
  <c r="CI37" i="7"/>
  <c r="CJ37" i="7"/>
  <c r="CK37" i="7"/>
  <c r="CI39" i="7"/>
  <c r="CJ39" i="7"/>
  <c r="CK39" i="7"/>
  <c r="CI41" i="7"/>
  <c r="CJ41" i="7"/>
  <c r="CK41" i="7"/>
  <c r="CI42" i="7"/>
  <c r="CJ42" i="7"/>
  <c r="CK42" i="7"/>
  <c r="CI43" i="7"/>
  <c r="CJ43" i="7"/>
  <c r="CK43" i="7"/>
  <c r="CI44" i="7"/>
  <c r="CJ44" i="7"/>
  <c r="CK44" i="7"/>
  <c r="CI45" i="7"/>
  <c r="CJ45" i="7"/>
  <c r="CK45" i="7"/>
  <c r="CH41" i="7"/>
  <c r="CH42" i="7"/>
  <c r="CH43" i="7"/>
  <c r="CH44" i="7"/>
  <c r="CH45" i="7"/>
  <c r="CH39" i="7"/>
  <c r="CH30" i="7"/>
  <c r="CH31" i="7"/>
  <c r="CH32" i="7"/>
  <c r="CH33" i="7"/>
  <c r="CH34" i="7"/>
  <c r="CH35" i="7"/>
  <c r="CH36" i="7"/>
  <c r="CH37" i="7"/>
  <c r="CH28" i="7"/>
  <c r="CH6" i="7"/>
  <c r="CH7" i="7"/>
  <c r="CH9" i="7"/>
  <c r="CH11" i="7"/>
  <c r="CH13" i="7"/>
  <c r="CH17" i="7"/>
  <c r="CH18" i="7"/>
  <c r="CH19" i="7"/>
  <c r="CH20" i="7"/>
  <c r="CH21" i="7"/>
  <c r="CH22" i="7"/>
  <c r="CH23" i="7"/>
  <c r="CH24" i="7"/>
  <c r="CH25" i="7"/>
  <c r="CH5" i="7"/>
  <c r="CI5" i="5"/>
  <c r="CJ5" i="5"/>
  <c r="CK5" i="5"/>
  <c r="CI6" i="5"/>
  <c r="CJ6" i="5"/>
  <c r="CK6" i="5"/>
  <c r="CI7" i="5"/>
  <c r="CJ7" i="5"/>
  <c r="CK7" i="5"/>
  <c r="CI8" i="5"/>
  <c r="CJ8" i="5"/>
  <c r="CK8" i="5"/>
  <c r="CI9" i="5"/>
  <c r="CJ9" i="5"/>
  <c r="CK9" i="5"/>
  <c r="CI10" i="5"/>
  <c r="CJ10" i="5"/>
  <c r="CK10" i="5"/>
  <c r="CI11" i="5"/>
  <c r="CJ11" i="5"/>
  <c r="CK11" i="5"/>
  <c r="CI12" i="5"/>
  <c r="CJ12" i="5"/>
  <c r="CK12" i="5"/>
  <c r="CI13" i="5"/>
  <c r="CJ13" i="5"/>
  <c r="CK13" i="5"/>
  <c r="CI14" i="5"/>
  <c r="CJ14" i="5"/>
  <c r="CK14" i="5"/>
  <c r="CI15" i="5"/>
  <c r="CJ15" i="5"/>
  <c r="CK15" i="5"/>
  <c r="CI16" i="5"/>
  <c r="CJ16" i="5"/>
  <c r="CK16" i="5"/>
  <c r="CH6" i="5"/>
  <c r="CH7" i="5"/>
  <c r="CH8" i="5"/>
  <c r="CH9" i="5"/>
  <c r="CH10" i="5"/>
  <c r="CH11" i="5"/>
  <c r="CH12" i="5"/>
  <c r="CH13" i="5"/>
  <c r="CH14" i="5"/>
  <c r="CH15" i="5"/>
  <c r="CH16" i="5"/>
  <c r="CH5" i="5"/>
  <c r="CI5" i="4"/>
  <c r="CJ5" i="4"/>
  <c r="CK5" i="4"/>
  <c r="CI6" i="4"/>
  <c r="CJ6" i="4"/>
  <c r="CK6" i="4"/>
  <c r="CI7" i="4"/>
  <c r="CJ7" i="4"/>
  <c r="CK7" i="4"/>
  <c r="CI8" i="4"/>
  <c r="CJ8" i="4"/>
  <c r="CK8" i="4"/>
  <c r="CI9" i="4"/>
  <c r="CJ9" i="4"/>
  <c r="CK9" i="4"/>
  <c r="CI10" i="4"/>
  <c r="CJ10" i="4"/>
  <c r="CK10" i="4"/>
  <c r="CI11" i="4"/>
  <c r="CJ11" i="4"/>
  <c r="CK11" i="4"/>
  <c r="CI12" i="4"/>
  <c r="CJ12" i="4"/>
  <c r="CK12" i="4"/>
  <c r="CI13" i="4"/>
  <c r="CJ13" i="4"/>
  <c r="CK13" i="4"/>
  <c r="CI14" i="4"/>
  <c r="CJ14" i="4"/>
  <c r="CK14" i="4"/>
  <c r="CI15" i="4"/>
  <c r="CJ15" i="4"/>
  <c r="CK15" i="4"/>
  <c r="CI16" i="4"/>
  <c r="CJ16" i="4"/>
  <c r="CK16" i="4"/>
  <c r="CI17" i="4"/>
  <c r="CJ17" i="4"/>
  <c r="CK17" i="4"/>
  <c r="CI18" i="4"/>
  <c r="CJ18" i="4"/>
  <c r="CK18" i="4"/>
  <c r="CI19" i="4"/>
  <c r="CJ19" i="4"/>
  <c r="CK19" i="4"/>
  <c r="CI20" i="4"/>
  <c r="CJ20" i="4"/>
  <c r="CK20" i="4"/>
  <c r="CI21" i="4"/>
  <c r="CJ21" i="4"/>
  <c r="CK21" i="4"/>
  <c r="CI22" i="4"/>
  <c r="CJ22" i="4"/>
  <c r="CK22" i="4"/>
  <c r="CI23" i="4"/>
  <c r="CJ23" i="4"/>
  <c r="CK23" i="4"/>
  <c r="CI24" i="4"/>
  <c r="CJ24" i="4"/>
  <c r="CK24" i="4"/>
  <c r="CI25" i="4"/>
  <c r="CJ25" i="4"/>
  <c r="CK25" i="4"/>
  <c r="CI26" i="4"/>
  <c r="CJ26" i="4"/>
  <c r="CK26" i="4"/>
  <c r="CH6" i="4"/>
  <c r="CH7" i="4"/>
  <c r="CH8" i="4"/>
  <c r="CH9" i="4"/>
  <c r="CH10" i="4"/>
  <c r="CH11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5" i="4"/>
  <c r="CI5" i="1"/>
  <c r="CJ5" i="1"/>
  <c r="CK5" i="1"/>
  <c r="CI6" i="1"/>
  <c r="CJ6" i="1"/>
  <c r="CK6" i="1"/>
  <c r="CI7" i="1"/>
  <c r="CJ7" i="1"/>
  <c r="CK7" i="1"/>
  <c r="CI8" i="1"/>
  <c r="CJ8" i="1"/>
  <c r="CK8" i="1"/>
  <c r="CI9" i="1"/>
  <c r="CJ9" i="1"/>
  <c r="CK9" i="1"/>
  <c r="CI10" i="1"/>
  <c r="CJ10" i="1"/>
  <c r="CK10" i="1"/>
  <c r="CI11" i="1"/>
  <c r="CJ11" i="1"/>
  <c r="CK11" i="1"/>
  <c r="CI12" i="1"/>
  <c r="CJ12" i="1"/>
  <c r="CK12" i="1"/>
  <c r="CI13" i="1"/>
  <c r="CJ13" i="1"/>
  <c r="CK13" i="1"/>
  <c r="CI14" i="1"/>
  <c r="CJ14" i="1"/>
  <c r="CK14" i="1"/>
  <c r="CI15" i="1"/>
  <c r="CJ15" i="1"/>
  <c r="CK15" i="1"/>
  <c r="CI16" i="1"/>
  <c r="CJ16" i="1"/>
  <c r="CK16" i="1"/>
  <c r="CI17" i="1"/>
  <c r="CJ17" i="1"/>
  <c r="CK17" i="1"/>
  <c r="CI18" i="1"/>
  <c r="CJ18" i="1"/>
  <c r="CK18" i="1"/>
  <c r="CI19" i="1"/>
  <c r="CJ19" i="1"/>
  <c r="CK19" i="1"/>
  <c r="CI20" i="1"/>
  <c r="CJ20" i="1"/>
  <c r="CK20" i="1"/>
  <c r="CI21" i="1"/>
  <c r="CJ21" i="1"/>
  <c r="CK21" i="1"/>
  <c r="CI22" i="1"/>
  <c r="CJ22" i="1"/>
  <c r="CK22" i="1"/>
  <c r="CI23" i="1"/>
  <c r="CJ23" i="1"/>
  <c r="CK23" i="1"/>
  <c r="CI24" i="1"/>
  <c r="CJ24" i="1"/>
  <c r="CK24" i="1"/>
  <c r="CH6" i="1"/>
  <c r="CH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5" i="1"/>
  <c r="CI5" i="8"/>
  <c r="CJ5" i="8"/>
  <c r="CK5" i="8"/>
  <c r="CI6" i="8"/>
  <c r="CJ6" i="8"/>
  <c r="CK6" i="8"/>
  <c r="CI7" i="8"/>
  <c r="CJ7" i="8"/>
  <c r="CK7" i="8"/>
  <c r="CI8" i="8"/>
  <c r="CJ8" i="8"/>
  <c r="CK8" i="8"/>
  <c r="CI9" i="8"/>
  <c r="CJ9" i="8"/>
  <c r="G52" i="9" s="1"/>
  <c r="CK9" i="8"/>
  <c r="CI10" i="8"/>
  <c r="CJ10" i="8"/>
  <c r="CK10" i="8"/>
  <c r="CI11" i="8"/>
  <c r="CJ11" i="8"/>
  <c r="CK11" i="8"/>
  <c r="CI12" i="8"/>
  <c r="CJ12" i="8"/>
  <c r="CK12" i="8"/>
  <c r="CI13" i="8"/>
  <c r="CJ13" i="8"/>
  <c r="CK13" i="8"/>
  <c r="CI14" i="8"/>
  <c r="CJ14" i="8"/>
  <c r="CK14" i="8"/>
  <c r="CI15" i="8"/>
  <c r="CJ15" i="8"/>
  <c r="CK15" i="8"/>
  <c r="CI16" i="8"/>
  <c r="CJ16" i="8"/>
  <c r="CK16" i="8"/>
  <c r="CI17" i="8"/>
  <c r="CJ17" i="8"/>
  <c r="CK17" i="8"/>
  <c r="CI18" i="8"/>
  <c r="CJ18" i="8"/>
  <c r="CK18" i="8"/>
  <c r="CI19" i="8"/>
  <c r="CJ19" i="8"/>
  <c r="CK19" i="8"/>
  <c r="CI20" i="8"/>
  <c r="CJ20" i="8"/>
  <c r="CK20" i="8"/>
  <c r="CI21" i="8"/>
  <c r="CJ21" i="8"/>
  <c r="CK21" i="8"/>
  <c r="CI22" i="8"/>
  <c r="CJ22" i="8"/>
  <c r="CK22" i="8"/>
  <c r="CI23" i="8"/>
  <c r="CJ23" i="8"/>
  <c r="CK23" i="8"/>
  <c r="CI24" i="8"/>
  <c r="CJ24" i="8"/>
  <c r="CK24" i="8"/>
  <c r="CI25" i="8"/>
  <c r="CJ25" i="8"/>
  <c r="CK25" i="8"/>
  <c r="CI26" i="8"/>
  <c r="CJ26" i="8"/>
  <c r="CK26" i="8"/>
  <c r="CI27" i="8"/>
  <c r="CJ27" i="8"/>
  <c r="CK27" i="8"/>
  <c r="CI28" i="8"/>
  <c r="CJ28" i="8"/>
  <c r="CK28" i="8"/>
  <c r="CI29" i="8"/>
  <c r="CJ29" i="8"/>
  <c r="CK29" i="8"/>
  <c r="CI30" i="8"/>
  <c r="CJ30" i="8"/>
  <c r="CK30" i="8"/>
  <c r="CI31" i="8"/>
  <c r="CJ31" i="8"/>
  <c r="CK31" i="8"/>
  <c r="CI32" i="8"/>
  <c r="CJ32" i="8"/>
  <c r="CK32" i="8"/>
  <c r="CI33" i="8"/>
  <c r="CJ33" i="8"/>
  <c r="CK33" i="8"/>
  <c r="CI34" i="8"/>
  <c r="CJ34" i="8"/>
  <c r="CK34" i="8"/>
  <c r="CI35" i="8"/>
  <c r="CJ35" i="8"/>
  <c r="CK35" i="8"/>
  <c r="CI36" i="8"/>
  <c r="CJ36" i="8"/>
  <c r="CK36" i="8"/>
  <c r="CI37" i="8"/>
  <c r="CJ37" i="8"/>
  <c r="CK37" i="8"/>
  <c r="CI38" i="8"/>
  <c r="CJ38" i="8"/>
  <c r="CK38" i="8"/>
  <c r="CI39" i="8"/>
  <c r="CJ39" i="8"/>
  <c r="CK39" i="8"/>
  <c r="CI40" i="8"/>
  <c r="CJ40" i="8"/>
  <c r="CK40" i="8"/>
  <c r="CI41" i="8"/>
  <c r="CJ41" i="8"/>
  <c r="CK41" i="8"/>
  <c r="CI42" i="8"/>
  <c r="CJ42" i="8"/>
  <c r="CK42" i="8"/>
  <c r="CI43" i="8"/>
  <c r="CJ43" i="8"/>
  <c r="CK43" i="8"/>
  <c r="CI44" i="8"/>
  <c r="CJ44" i="8"/>
  <c r="CK44" i="8"/>
  <c r="CI45" i="8"/>
  <c r="CJ45" i="8"/>
  <c r="CK45" i="8"/>
  <c r="CI46" i="8"/>
  <c r="CJ46" i="8"/>
  <c r="CK46" i="8"/>
  <c r="CI47" i="8"/>
  <c r="CJ47" i="8"/>
  <c r="CK47" i="8"/>
  <c r="CH6" i="8"/>
  <c r="CH7" i="8"/>
  <c r="CH8" i="8"/>
  <c r="CH9" i="8"/>
  <c r="CH10" i="8"/>
  <c r="CH11" i="8"/>
  <c r="CH12" i="8"/>
  <c r="CH13" i="8"/>
  <c r="CH14" i="8"/>
  <c r="CH15" i="8"/>
  <c r="CH16" i="8"/>
  <c r="CH17" i="8"/>
  <c r="CH18" i="8"/>
  <c r="CH19" i="8"/>
  <c r="CH20" i="8"/>
  <c r="CH21" i="8"/>
  <c r="CH22" i="8"/>
  <c r="CH23" i="8"/>
  <c r="CH24" i="8"/>
  <c r="CH25" i="8"/>
  <c r="CH26" i="8"/>
  <c r="CH27" i="8"/>
  <c r="CH28" i="8"/>
  <c r="CH29" i="8"/>
  <c r="CH30" i="8"/>
  <c r="CH31" i="8"/>
  <c r="CH32" i="8"/>
  <c r="CH33" i="8"/>
  <c r="CH34" i="8"/>
  <c r="CH35" i="8"/>
  <c r="CH36" i="8"/>
  <c r="CH37" i="8"/>
  <c r="CH38" i="8"/>
  <c r="CH39" i="8"/>
  <c r="CH40" i="8"/>
  <c r="CH41" i="8"/>
  <c r="CH42" i="8"/>
  <c r="CH43" i="8"/>
  <c r="CH44" i="8"/>
  <c r="CH45" i="8"/>
  <c r="CH46" i="8"/>
  <c r="CH47" i="8"/>
  <c r="CH5" i="8"/>
  <c r="CD38" i="7"/>
  <c r="CE38" i="7"/>
  <c r="CF38" i="7"/>
  <c r="CG38" i="7"/>
  <c r="CD26" i="7"/>
  <c r="CE26" i="7"/>
  <c r="CF26" i="7"/>
  <c r="CG26" i="7"/>
  <c r="C22" i="9" l="1"/>
  <c r="CE5" i="7"/>
  <c r="CF5" i="7"/>
  <c r="CG5" i="7"/>
  <c r="CE6" i="7"/>
  <c r="CF6" i="7"/>
  <c r="CG6" i="7"/>
  <c r="CE8" i="7"/>
  <c r="CF8" i="7"/>
  <c r="CG8" i="7"/>
  <c r="CE10" i="7"/>
  <c r="CF10" i="7"/>
  <c r="CG10" i="7"/>
  <c r="CE12" i="7"/>
  <c r="CF12" i="7"/>
  <c r="CG12" i="7"/>
  <c r="CE14" i="7"/>
  <c r="CF14" i="7"/>
  <c r="CG14" i="7"/>
  <c r="CE15" i="7"/>
  <c r="CF15" i="7"/>
  <c r="CG15" i="7"/>
  <c r="CE16" i="7"/>
  <c r="CF16" i="7"/>
  <c r="CG16" i="7"/>
  <c r="CE29" i="7"/>
  <c r="CF29" i="7"/>
  <c r="CG29" i="7"/>
  <c r="CE40" i="7"/>
  <c r="CF40" i="7"/>
  <c r="CG40" i="7"/>
  <c r="CD8" i="7"/>
  <c r="CD10" i="7"/>
  <c r="CD12" i="7"/>
  <c r="CD14" i="7"/>
  <c r="CD15" i="7"/>
  <c r="CD16" i="7"/>
  <c r="CD29" i="7"/>
  <c r="CD40" i="7"/>
  <c r="CE5" i="5"/>
  <c r="CF5" i="5"/>
  <c r="CG5" i="5"/>
  <c r="CE6" i="5"/>
  <c r="CF6" i="5"/>
  <c r="CG6" i="5"/>
  <c r="CE7" i="5"/>
  <c r="CF7" i="5"/>
  <c r="CG7" i="5"/>
  <c r="CE8" i="5"/>
  <c r="CF8" i="5"/>
  <c r="CG8" i="5"/>
  <c r="CE9" i="5"/>
  <c r="CF9" i="5"/>
  <c r="CG9" i="5"/>
  <c r="CE10" i="5"/>
  <c r="CF10" i="5"/>
  <c r="CG10" i="5"/>
  <c r="CE11" i="5"/>
  <c r="CF11" i="5"/>
  <c r="CG11" i="5"/>
  <c r="CE12" i="5"/>
  <c r="CF12" i="5"/>
  <c r="CG12" i="5"/>
  <c r="CE13" i="5"/>
  <c r="CF13" i="5"/>
  <c r="CG13" i="5"/>
  <c r="CE14" i="5"/>
  <c r="CF14" i="5"/>
  <c r="CG14" i="5"/>
  <c r="CE15" i="5"/>
  <c r="CF15" i="5"/>
  <c r="CG15" i="5"/>
  <c r="CE16" i="5"/>
  <c r="CF16" i="5"/>
  <c r="CG16" i="5"/>
  <c r="CD6" i="5"/>
  <c r="CD7" i="5"/>
  <c r="CD8" i="5"/>
  <c r="CD9" i="5"/>
  <c r="CD10" i="5"/>
  <c r="CD11" i="5"/>
  <c r="CD12" i="5"/>
  <c r="CD13" i="5"/>
  <c r="CD14" i="5"/>
  <c r="CD15" i="5"/>
  <c r="CD16" i="5"/>
  <c r="CD5" i="5"/>
  <c r="CE5" i="4"/>
  <c r="CF5" i="4"/>
  <c r="CG5" i="4"/>
  <c r="CE6" i="4"/>
  <c r="CF6" i="4"/>
  <c r="CG6" i="4"/>
  <c r="CE7" i="4"/>
  <c r="CF7" i="4"/>
  <c r="CG7" i="4"/>
  <c r="CE8" i="4"/>
  <c r="CF8" i="4"/>
  <c r="CG8" i="4"/>
  <c r="CE9" i="4"/>
  <c r="CF9" i="4"/>
  <c r="CG9" i="4"/>
  <c r="CE10" i="4"/>
  <c r="CF10" i="4"/>
  <c r="CG10" i="4"/>
  <c r="CE11" i="4"/>
  <c r="CF11" i="4"/>
  <c r="CG11" i="4"/>
  <c r="CE12" i="4"/>
  <c r="CF12" i="4"/>
  <c r="CG12" i="4"/>
  <c r="CE13" i="4"/>
  <c r="CF13" i="4"/>
  <c r="CG13" i="4"/>
  <c r="CE14" i="4"/>
  <c r="CF14" i="4"/>
  <c r="CG14" i="4"/>
  <c r="CE15" i="4"/>
  <c r="CF15" i="4"/>
  <c r="CG15" i="4"/>
  <c r="CE16" i="4"/>
  <c r="CF16" i="4"/>
  <c r="CG16" i="4"/>
  <c r="CE17" i="4"/>
  <c r="CF17" i="4"/>
  <c r="CG17" i="4"/>
  <c r="CE18" i="4"/>
  <c r="CF18" i="4"/>
  <c r="CG18" i="4"/>
  <c r="CE19" i="4"/>
  <c r="CF19" i="4"/>
  <c r="CG19" i="4"/>
  <c r="CE20" i="4"/>
  <c r="CF20" i="4"/>
  <c r="CG20" i="4"/>
  <c r="CE21" i="4"/>
  <c r="CF21" i="4"/>
  <c r="CG21" i="4"/>
  <c r="CE22" i="4"/>
  <c r="CF22" i="4"/>
  <c r="CG22" i="4"/>
  <c r="CE23" i="4"/>
  <c r="CF23" i="4"/>
  <c r="CG23" i="4"/>
  <c r="CE24" i="4"/>
  <c r="CF24" i="4"/>
  <c r="CG24" i="4"/>
  <c r="CE25" i="4"/>
  <c r="CF25" i="4"/>
  <c r="CG25" i="4"/>
  <c r="CE26" i="4"/>
  <c r="CF26" i="4"/>
  <c r="CG26" i="4"/>
  <c r="CD6" i="4"/>
  <c r="CD7" i="4"/>
  <c r="CD8" i="4"/>
  <c r="CD9" i="4"/>
  <c r="CD10" i="4"/>
  <c r="CD11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5" i="4"/>
  <c r="CE5" i="1"/>
  <c r="CF5" i="1"/>
  <c r="CG5" i="1"/>
  <c r="CE6" i="1"/>
  <c r="CF6" i="1"/>
  <c r="CG6" i="1"/>
  <c r="CE7" i="1"/>
  <c r="CF7" i="1"/>
  <c r="CG7" i="1"/>
  <c r="CE8" i="1"/>
  <c r="CF8" i="1"/>
  <c r="CG8" i="1"/>
  <c r="CE9" i="1"/>
  <c r="CF9" i="1"/>
  <c r="CG9" i="1"/>
  <c r="CE10" i="1"/>
  <c r="CF10" i="1"/>
  <c r="CG10" i="1"/>
  <c r="CE11" i="1"/>
  <c r="CF11" i="1"/>
  <c r="CG11" i="1"/>
  <c r="CE12" i="1"/>
  <c r="CF12" i="1"/>
  <c r="CG12" i="1"/>
  <c r="CE13" i="1"/>
  <c r="CF13" i="1"/>
  <c r="CG13" i="1"/>
  <c r="CE14" i="1"/>
  <c r="CF14" i="1"/>
  <c r="CG14" i="1"/>
  <c r="CE15" i="1"/>
  <c r="CF15" i="1"/>
  <c r="CG15" i="1"/>
  <c r="CE16" i="1"/>
  <c r="CF16" i="1"/>
  <c r="CG16" i="1"/>
  <c r="CE17" i="1"/>
  <c r="CF17" i="1"/>
  <c r="CG17" i="1"/>
  <c r="CE18" i="1"/>
  <c r="CF18" i="1"/>
  <c r="CG18" i="1"/>
  <c r="CE19" i="1"/>
  <c r="CF19" i="1"/>
  <c r="CG19" i="1"/>
  <c r="CE20" i="1"/>
  <c r="CF20" i="1"/>
  <c r="CG20" i="1"/>
  <c r="CE21" i="1"/>
  <c r="CF21" i="1"/>
  <c r="CG21" i="1"/>
  <c r="CE22" i="1"/>
  <c r="CF22" i="1"/>
  <c r="CG22" i="1"/>
  <c r="CE23" i="1"/>
  <c r="CF23" i="1"/>
  <c r="CG23" i="1"/>
  <c r="CE24" i="1"/>
  <c r="CF24" i="1"/>
  <c r="CG24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5" i="1"/>
  <c r="CE5" i="8"/>
  <c r="CF5" i="8"/>
  <c r="CG5" i="8"/>
  <c r="CE6" i="8"/>
  <c r="CF6" i="8"/>
  <c r="CG6" i="8"/>
  <c r="CE7" i="8"/>
  <c r="CF7" i="8"/>
  <c r="CG7" i="8"/>
  <c r="CE8" i="8"/>
  <c r="CF8" i="8"/>
  <c r="CG8" i="8"/>
  <c r="CE9" i="8"/>
  <c r="CF9" i="8"/>
  <c r="G51" i="9" s="1"/>
  <c r="CG9" i="8"/>
  <c r="CE10" i="8"/>
  <c r="CF10" i="8"/>
  <c r="CG10" i="8"/>
  <c r="CE11" i="8"/>
  <c r="CF11" i="8"/>
  <c r="CG11" i="8"/>
  <c r="CE12" i="8"/>
  <c r="CF12" i="8"/>
  <c r="CG12" i="8"/>
  <c r="CE13" i="8"/>
  <c r="CF13" i="8"/>
  <c r="CG13" i="8"/>
  <c r="CE14" i="8"/>
  <c r="CF14" i="8"/>
  <c r="CG14" i="8"/>
  <c r="CE15" i="8"/>
  <c r="CF15" i="8"/>
  <c r="CG15" i="8"/>
  <c r="CE16" i="8"/>
  <c r="CF16" i="8"/>
  <c r="CG16" i="8"/>
  <c r="CE17" i="8"/>
  <c r="CF17" i="8"/>
  <c r="CG17" i="8"/>
  <c r="CE18" i="8"/>
  <c r="CF18" i="8"/>
  <c r="CG18" i="8"/>
  <c r="CE19" i="8"/>
  <c r="CF19" i="8"/>
  <c r="CG19" i="8"/>
  <c r="CE20" i="8"/>
  <c r="CF20" i="8"/>
  <c r="CG20" i="8"/>
  <c r="CE21" i="8"/>
  <c r="CF21" i="8"/>
  <c r="CG21" i="8"/>
  <c r="CE22" i="8"/>
  <c r="CF22" i="8"/>
  <c r="CG22" i="8"/>
  <c r="CE23" i="8"/>
  <c r="CF23" i="8"/>
  <c r="CG23" i="8"/>
  <c r="CE24" i="8"/>
  <c r="CF24" i="8"/>
  <c r="CG24" i="8"/>
  <c r="CE25" i="8"/>
  <c r="CF25" i="8"/>
  <c r="CG25" i="8"/>
  <c r="CE26" i="8"/>
  <c r="CF26" i="8"/>
  <c r="CG26" i="8"/>
  <c r="CE27" i="8"/>
  <c r="CF27" i="8"/>
  <c r="CG27" i="8"/>
  <c r="CE28" i="8"/>
  <c r="CF28" i="8"/>
  <c r="CG28" i="8"/>
  <c r="CE29" i="8"/>
  <c r="CF29" i="8"/>
  <c r="CG29" i="8"/>
  <c r="CE30" i="8"/>
  <c r="CF30" i="8"/>
  <c r="CG30" i="8"/>
  <c r="CE31" i="8"/>
  <c r="CF31" i="8"/>
  <c r="CG31" i="8"/>
  <c r="CE32" i="8"/>
  <c r="CF32" i="8"/>
  <c r="CG32" i="8"/>
  <c r="CE33" i="8"/>
  <c r="CF33" i="8"/>
  <c r="CG33" i="8"/>
  <c r="CE34" i="8"/>
  <c r="CF34" i="8"/>
  <c r="CG34" i="8"/>
  <c r="CE35" i="8"/>
  <c r="CF35" i="8"/>
  <c r="CG35" i="8"/>
  <c r="CE36" i="8"/>
  <c r="CF36" i="8"/>
  <c r="CG36" i="8"/>
  <c r="CE37" i="8"/>
  <c r="CF37" i="8"/>
  <c r="CG37" i="8"/>
  <c r="CE38" i="8"/>
  <c r="CF38" i="8"/>
  <c r="CG38" i="8"/>
  <c r="CE39" i="8"/>
  <c r="CF39" i="8"/>
  <c r="CG39" i="8"/>
  <c r="CE40" i="8"/>
  <c r="CF40" i="8"/>
  <c r="CG40" i="8"/>
  <c r="CE41" i="8"/>
  <c r="CF41" i="8"/>
  <c r="CG41" i="8"/>
  <c r="CE42" i="8"/>
  <c r="CF42" i="8"/>
  <c r="CG42" i="8"/>
  <c r="CE43" i="8"/>
  <c r="CF43" i="8"/>
  <c r="CG43" i="8"/>
  <c r="CE44" i="8"/>
  <c r="CF44" i="8"/>
  <c r="CG44" i="8"/>
  <c r="CE45" i="8"/>
  <c r="CF45" i="8"/>
  <c r="CG45" i="8"/>
  <c r="CE46" i="8"/>
  <c r="CF46" i="8"/>
  <c r="CG46" i="8"/>
  <c r="CE47" i="8"/>
  <c r="CF47" i="8"/>
  <c r="CG47" i="8"/>
  <c r="CD6" i="8"/>
  <c r="CD7" i="8"/>
  <c r="CD8" i="8"/>
  <c r="CD9" i="8"/>
  <c r="CD10" i="8"/>
  <c r="CD11" i="8"/>
  <c r="CD12" i="8"/>
  <c r="CD13" i="8"/>
  <c r="CD14" i="8"/>
  <c r="CD15" i="8"/>
  <c r="CD16" i="8"/>
  <c r="CD17" i="8"/>
  <c r="CD18" i="8"/>
  <c r="CD19" i="8"/>
  <c r="CD20" i="8"/>
  <c r="CD21" i="8"/>
  <c r="CD22" i="8"/>
  <c r="CD23" i="8"/>
  <c r="CD24" i="8"/>
  <c r="CD25" i="8"/>
  <c r="CD26" i="8"/>
  <c r="CD27" i="8"/>
  <c r="CD28" i="8"/>
  <c r="CD29" i="8"/>
  <c r="CD30" i="8"/>
  <c r="CD31" i="8"/>
  <c r="CD32" i="8"/>
  <c r="CD33" i="8"/>
  <c r="CD34" i="8"/>
  <c r="CD35" i="8"/>
  <c r="CD36" i="8"/>
  <c r="CD37" i="8"/>
  <c r="CD38" i="8"/>
  <c r="CD39" i="8"/>
  <c r="CD40" i="8"/>
  <c r="CD41" i="8"/>
  <c r="CD42" i="8"/>
  <c r="CD43" i="8"/>
  <c r="CD44" i="8"/>
  <c r="CD45" i="8"/>
  <c r="CD46" i="8"/>
  <c r="CD47" i="8"/>
  <c r="CD5" i="8"/>
  <c r="CC45" i="7"/>
  <c r="CB45" i="7"/>
  <c r="CA45" i="7"/>
  <c r="BZ45" i="7"/>
  <c r="CC44" i="7"/>
  <c r="CB44" i="7"/>
  <c r="CA44" i="7"/>
  <c r="BZ44" i="7"/>
  <c r="CC43" i="7"/>
  <c r="CB43" i="7"/>
  <c r="CA43" i="7"/>
  <c r="BZ43" i="7"/>
  <c r="CC42" i="7"/>
  <c r="CB42" i="7"/>
  <c r="CA42" i="7"/>
  <c r="BZ42" i="7"/>
  <c r="CC41" i="7"/>
  <c r="CB41" i="7"/>
  <c r="CA41" i="7"/>
  <c r="BZ41" i="7"/>
  <c r="CC40" i="7"/>
  <c r="CB40" i="7"/>
  <c r="CA40" i="7"/>
  <c r="BZ40" i="7"/>
  <c r="CC39" i="7"/>
  <c r="CB39" i="7"/>
  <c r="CA39" i="7"/>
  <c r="BZ39" i="7"/>
  <c r="CC37" i="7"/>
  <c r="CB37" i="7"/>
  <c r="CA37" i="7"/>
  <c r="BZ37" i="7"/>
  <c r="CC36" i="7"/>
  <c r="CB36" i="7"/>
  <c r="CA36" i="7"/>
  <c r="BZ36" i="7"/>
  <c r="CC35" i="7"/>
  <c r="CB35" i="7"/>
  <c r="CA35" i="7"/>
  <c r="BZ35" i="7"/>
  <c r="CC34" i="7"/>
  <c r="CB34" i="7"/>
  <c r="CA34" i="7"/>
  <c r="BZ34" i="7"/>
  <c r="CC33" i="7"/>
  <c r="CB33" i="7"/>
  <c r="CA33" i="7"/>
  <c r="BZ33" i="7"/>
  <c r="CC32" i="7"/>
  <c r="CB32" i="7"/>
  <c r="CA32" i="7"/>
  <c r="BZ32" i="7"/>
  <c r="CC31" i="7"/>
  <c r="CB31" i="7"/>
  <c r="CA31" i="7"/>
  <c r="BZ31" i="7"/>
  <c r="CC30" i="7"/>
  <c r="CB30" i="7"/>
  <c r="CA30" i="7"/>
  <c r="BZ30" i="7"/>
  <c r="CC29" i="7"/>
  <c r="CB29" i="7"/>
  <c r="CA29" i="7"/>
  <c r="BZ29" i="7"/>
  <c r="CC28" i="7"/>
  <c r="CB28" i="7"/>
  <c r="CA28" i="7"/>
  <c r="BZ28" i="7"/>
  <c r="CC25" i="7"/>
  <c r="CB25" i="7"/>
  <c r="CA25" i="7"/>
  <c r="BZ25" i="7"/>
  <c r="CC24" i="7"/>
  <c r="CB24" i="7"/>
  <c r="CA24" i="7"/>
  <c r="BZ24" i="7"/>
  <c r="CC23" i="7"/>
  <c r="CB23" i="7"/>
  <c r="CA23" i="7"/>
  <c r="BZ23" i="7"/>
  <c r="CC22" i="7"/>
  <c r="CB22" i="7"/>
  <c r="CA22" i="7"/>
  <c r="BZ22" i="7"/>
  <c r="CC21" i="7"/>
  <c r="CB21" i="7"/>
  <c r="CA21" i="7"/>
  <c r="BZ21" i="7"/>
  <c r="CC20" i="7"/>
  <c r="CB20" i="7"/>
  <c r="CA20" i="7"/>
  <c r="BZ20" i="7"/>
  <c r="CC19" i="7"/>
  <c r="CB19" i="7"/>
  <c r="CA19" i="7"/>
  <c r="BZ19" i="7"/>
  <c r="CC18" i="7"/>
  <c r="CB18" i="7"/>
  <c r="CA18" i="7"/>
  <c r="BZ18" i="7"/>
  <c r="CC17" i="7"/>
  <c r="CB17" i="7"/>
  <c r="CA17" i="7"/>
  <c r="BZ17" i="7"/>
  <c r="CC16" i="7"/>
  <c r="CB16" i="7"/>
  <c r="CA16" i="7"/>
  <c r="BZ16" i="7"/>
  <c r="CC15" i="7"/>
  <c r="CB15" i="7"/>
  <c r="CA15" i="7"/>
  <c r="BZ15" i="7"/>
  <c r="CC14" i="7"/>
  <c r="CB14" i="7"/>
  <c r="CA14" i="7"/>
  <c r="BZ14" i="7"/>
  <c r="CC13" i="7"/>
  <c r="CB13" i="7"/>
  <c r="CA13" i="7"/>
  <c r="BZ13" i="7"/>
  <c r="CC12" i="7"/>
  <c r="CB12" i="7"/>
  <c r="CA12" i="7"/>
  <c r="BZ12" i="7"/>
  <c r="CC11" i="7"/>
  <c r="CB11" i="7"/>
  <c r="CA11" i="7"/>
  <c r="BZ11" i="7"/>
  <c r="CC10" i="7"/>
  <c r="CB10" i="7"/>
  <c r="CA10" i="7"/>
  <c r="BZ10" i="7"/>
  <c r="CC9" i="7"/>
  <c r="CB9" i="7"/>
  <c r="H50" i="9" s="1"/>
  <c r="CA9" i="7"/>
  <c r="BZ9" i="7"/>
  <c r="CC8" i="7"/>
  <c r="CB8" i="7"/>
  <c r="CA8" i="7"/>
  <c r="BZ8" i="7"/>
  <c r="CC7" i="7"/>
  <c r="CB7" i="7"/>
  <c r="CA7" i="7"/>
  <c r="BZ7" i="7"/>
  <c r="CC6" i="7"/>
  <c r="CB6" i="7"/>
  <c r="CA6" i="7"/>
  <c r="BZ6" i="7"/>
  <c r="CC5" i="7"/>
  <c r="CB5" i="7"/>
  <c r="CA5" i="7"/>
  <c r="BZ5" i="7"/>
  <c r="CC16" i="5"/>
  <c r="CB16" i="5"/>
  <c r="CA16" i="5"/>
  <c r="BZ16" i="5"/>
  <c r="CC15" i="5"/>
  <c r="CB15" i="5"/>
  <c r="CA15" i="5"/>
  <c r="BZ15" i="5"/>
  <c r="CC14" i="5"/>
  <c r="CB14" i="5"/>
  <c r="CA14" i="5"/>
  <c r="BZ14" i="5"/>
  <c r="CC13" i="5"/>
  <c r="CB13" i="5"/>
  <c r="CA13" i="5"/>
  <c r="BZ13" i="5"/>
  <c r="CC12" i="5"/>
  <c r="CB12" i="5"/>
  <c r="CA12" i="5"/>
  <c r="BZ12" i="5"/>
  <c r="CC11" i="5"/>
  <c r="CB11" i="5"/>
  <c r="CA11" i="5"/>
  <c r="BZ11" i="5"/>
  <c r="CC10" i="5"/>
  <c r="CB10" i="5"/>
  <c r="CA10" i="5"/>
  <c r="BZ10" i="5"/>
  <c r="CC9" i="5"/>
  <c r="CB9" i="5"/>
  <c r="CA9" i="5"/>
  <c r="BZ9" i="5"/>
  <c r="CC8" i="5"/>
  <c r="CB8" i="5"/>
  <c r="CA8" i="5"/>
  <c r="BZ8" i="5"/>
  <c r="CC7" i="5"/>
  <c r="CB7" i="5"/>
  <c r="CA7" i="5"/>
  <c r="BZ7" i="5"/>
  <c r="CC6" i="5"/>
  <c r="CB6" i="5"/>
  <c r="CA6" i="5"/>
  <c r="BZ6" i="5"/>
  <c r="CC5" i="5"/>
  <c r="CB5" i="5"/>
  <c r="CA5" i="5"/>
  <c r="BZ5" i="5"/>
  <c r="CC26" i="4"/>
  <c r="CB26" i="4"/>
  <c r="CA26" i="4"/>
  <c r="BZ26" i="4"/>
  <c r="CC25" i="4"/>
  <c r="CB25" i="4"/>
  <c r="CA25" i="4"/>
  <c r="BZ25" i="4"/>
  <c r="CC24" i="4"/>
  <c r="CB24" i="4"/>
  <c r="CA24" i="4"/>
  <c r="BZ24" i="4"/>
  <c r="CC23" i="4"/>
  <c r="CB23" i="4"/>
  <c r="CA23" i="4"/>
  <c r="BZ23" i="4"/>
  <c r="CC22" i="4"/>
  <c r="CB22" i="4"/>
  <c r="CA22" i="4"/>
  <c r="BZ22" i="4"/>
  <c r="CC21" i="4"/>
  <c r="CB21" i="4"/>
  <c r="CA21" i="4"/>
  <c r="BZ21" i="4"/>
  <c r="CC20" i="4"/>
  <c r="CB20" i="4"/>
  <c r="CA20" i="4"/>
  <c r="BZ20" i="4"/>
  <c r="CC19" i="4"/>
  <c r="CB19" i="4"/>
  <c r="CA19" i="4"/>
  <c r="BZ19" i="4"/>
  <c r="CC18" i="4"/>
  <c r="CB18" i="4"/>
  <c r="CA18" i="4"/>
  <c r="BZ18" i="4"/>
  <c r="CC17" i="4"/>
  <c r="CB17" i="4"/>
  <c r="CA17" i="4"/>
  <c r="BZ17" i="4"/>
  <c r="CC16" i="4"/>
  <c r="CB16" i="4"/>
  <c r="CA16" i="4"/>
  <c r="BZ16" i="4"/>
  <c r="CC15" i="4"/>
  <c r="CB15" i="4"/>
  <c r="CA15" i="4"/>
  <c r="BZ15" i="4"/>
  <c r="CC14" i="4"/>
  <c r="CB14" i="4"/>
  <c r="CA14" i="4"/>
  <c r="BZ14" i="4"/>
  <c r="CC13" i="4"/>
  <c r="CB13" i="4"/>
  <c r="CA13" i="4"/>
  <c r="BZ13" i="4"/>
  <c r="CC12" i="4"/>
  <c r="CB12" i="4"/>
  <c r="CA12" i="4"/>
  <c r="BZ12" i="4"/>
  <c r="CC11" i="4"/>
  <c r="CB11" i="4"/>
  <c r="CA11" i="4"/>
  <c r="BZ11" i="4"/>
  <c r="CC10" i="4"/>
  <c r="CB10" i="4"/>
  <c r="CA10" i="4"/>
  <c r="BZ10" i="4"/>
  <c r="CC9" i="4"/>
  <c r="CB9" i="4"/>
  <c r="CA9" i="4"/>
  <c r="BZ9" i="4"/>
  <c r="CC8" i="4"/>
  <c r="CB8" i="4"/>
  <c r="CA8" i="4"/>
  <c r="BZ8" i="4"/>
  <c r="CC7" i="4"/>
  <c r="CB7" i="4"/>
  <c r="CA7" i="4"/>
  <c r="BZ7" i="4"/>
  <c r="CC6" i="4"/>
  <c r="CB6" i="4"/>
  <c r="CA6" i="4"/>
  <c r="BZ6" i="4"/>
  <c r="CC5" i="4"/>
  <c r="CB5" i="4"/>
  <c r="CA5" i="4"/>
  <c r="BZ5" i="4"/>
  <c r="CC24" i="1"/>
  <c r="CB24" i="1"/>
  <c r="CA24" i="1"/>
  <c r="BZ24" i="1"/>
  <c r="CC23" i="1"/>
  <c r="CB23" i="1"/>
  <c r="CA23" i="1"/>
  <c r="BZ23" i="1"/>
  <c r="CC22" i="1"/>
  <c r="CB22" i="1"/>
  <c r="CA22" i="1"/>
  <c r="BZ22" i="1"/>
  <c r="CC21" i="1"/>
  <c r="CB21" i="1"/>
  <c r="CA21" i="1"/>
  <c r="BZ21" i="1"/>
  <c r="CC20" i="1"/>
  <c r="CB20" i="1"/>
  <c r="CA20" i="1"/>
  <c r="BZ20" i="1"/>
  <c r="CC19" i="1"/>
  <c r="CB19" i="1"/>
  <c r="CA19" i="1"/>
  <c r="BZ19" i="1"/>
  <c r="CC18" i="1"/>
  <c r="CB18" i="1"/>
  <c r="CA18" i="1"/>
  <c r="BZ18" i="1"/>
  <c r="CC17" i="1"/>
  <c r="CB17" i="1"/>
  <c r="CA17" i="1"/>
  <c r="BZ17" i="1"/>
  <c r="CC16" i="1"/>
  <c r="CB16" i="1"/>
  <c r="CA16" i="1"/>
  <c r="BZ16" i="1"/>
  <c r="CC15" i="1"/>
  <c r="CB15" i="1"/>
  <c r="CA15" i="1"/>
  <c r="BZ15" i="1"/>
  <c r="CC14" i="1"/>
  <c r="CB14" i="1"/>
  <c r="CA14" i="1"/>
  <c r="BZ14" i="1"/>
  <c r="CC13" i="1"/>
  <c r="CB13" i="1"/>
  <c r="CA13" i="1"/>
  <c r="BZ13" i="1"/>
  <c r="CC12" i="1"/>
  <c r="CB12" i="1"/>
  <c r="CA12" i="1"/>
  <c r="BZ12" i="1"/>
  <c r="CC11" i="1"/>
  <c r="CB11" i="1"/>
  <c r="CA11" i="1"/>
  <c r="BZ11" i="1"/>
  <c r="CC10" i="1"/>
  <c r="CB10" i="1"/>
  <c r="CA10" i="1"/>
  <c r="BZ10" i="1"/>
  <c r="CC9" i="1"/>
  <c r="CB9" i="1"/>
  <c r="CA9" i="1"/>
  <c r="BZ9" i="1"/>
  <c r="CC8" i="1"/>
  <c r="CB8" i="1"/>
  <c r="CA8" i="1"/>
  <c r="BZ8" i="1"/>
  <c r="CC7" i="1"/>
  <c r="CB7" i="1"/>
  <c r="CA7" i="1"/>
  <c r="BZ7" i="1"/>
  <c r="CC6" i="1"/>
  <c r="CB6" i="1"/>
  <c r="CA6" i="1"/>
  <c r="BZ6" i="1"/>
  <c r="CC5" i="1"/>
  <c r="CB5" i="1"/>
  <c r="CA5" i="1"/>
  <c r="BZ5" i="1"/>
  <c r="CC47" i="8"/>
  <c r="CB47" i="8"/>
  <c r="CA47" i="8"/>
  <c r="BZ47" i="8"/>
  <c r="CC46" i="8"/>
  <c r="CB46" i="8"/>
  <c r="CA46" i="8"/>
  <c r="BZ46" i="8"/>
  <c r="CC45" i="8"/>
  <c r="CB45" i="8"/>
  <c r="CA45" i="8"/>
  <c r="BZ45" i="8"/>
  <c r="CC44" i="8"/>
  <c r="CB44" i="8"/>
  <c r="CA44" i="8"/>
  <c r="BZ44" i="8"/>
  <c r="CC43" i="8"/>
  <c r="CB43" i="8"/>
  <c r="CA43" i="8"/>
  <c r="BZ43" i="8"/>
  <c r="CC42" i="8"/>
  <c r="CB42" i="8"/>
  <c r="CA42" i="8"/>
  <c r="BZ42" i="8"/>
  <c r="CC41" i="8"/>
  <c r="CB41" i="8"/>
  <c r="CA41" i="8"/>
  <c r="BZ41" i="8"/>
  <c r="CC40" i="8"/>
  <c r="CB40" i="8"/>
  <c r="CA40" i="8"/>
  <c r="BZ40" i="8"/>
  <c r="CC39" i="8"/>
  <c r="CB39" i="8"/>
  <c r="CA39" i="8"/>
  <c r="BZ39" i="8"/>
  <c r="CC38" i="8"/>
  <c r="CB38" i="8"/>
  <c r="CA38" i="8"/>
  <c r="BZ38" i="8"/>
  <c r="CC37" i="8"/>
  <c r="CB37" i="8"/>
  <c r="CA37" i="8"/>
  <c r="BZ37" i="8"/>
  <c r="CC36" i="8"/>
  <c r="CB36" i="8"/>
  <c r="CA36" i="8"/>
  <c r="BZ36" i="8"/>
  <c r="CC35" i="8"/>
  <c r="CB35" i="8"/>
  <c r="CA35" i="8"/>
  <c r="BZ35" i="8"/>
  <c r="CC34" i="8"/>
  <c r="CB34" i="8"/>
  <c r="CA34" i="8"/>
  <c r="BZ34" i="8"/>
  <c r="CC33" i="8"/>
  <c r="CB33" i="8"/>
  <c r="CA33" i="8"/>
  <c r="BZ33" i="8"/>
  <c r="CC32" i="8"/>
  <c r="CB32" i="8"/>
  <c r="CA32" i="8"/>
  <c r="BZ32" i="8"/>
  <c r="CC31" i="8"/>
  <c r="CB31" i="8"/>
  <c r="CA31" i="8"/>
  <c r="BZ31" i="8"/>
  <c r="CC30" i="8"/>
  <c r="CB30" i="8"/>
  <c r="CA30" i="8"/>
  <c r="BZ30" i="8"/>
  <c r="CC29" i="8"/>
  <c r="CB29" i="8"/>
  <c r="CA29" i="8"/>
  <c r="BZ29" i="8"/>
  <c r="CC28" i="8"/>
  <c r="CB28" i="8"/>
  <c r="CA28" i="8"/>
  <c r="BZ28" i="8"/>
  <c r="CC27" i="8"/>
  <c r="CB27" i="8"/>
  <c r="CA27" i="8"/>
  <c r="BZ27" i="8"/>
  <c r="CC26" i="8"/>
  <c r="CB26" i="8"/>
  <c r="CA26" i="8"/>
  <c r="BZ26" i="8"/>
  <c r="CC25" i="8"/>
  <c r="CB25" i="8"/>
  <c r="CA25" i="8"/>
  <c r="BZ25" i="8"/>
  <c r="CC24" i="8"/>
  <c r="CB24" i="8"/>
  <c r="CA24" i="8"/>
  <c r="BZ24" i="8"/>
  <c r="CC23" i="8"/>
  <c r="CB23" i="8"/>
  <c r="CA23" i="8"/>
  <c r="BZ23" i="8"/>
  <c r="CC22" i="8"/>
  <c r="CB22" i="8"/>
  <c r="CA22" i="8"/>
  <c r="BZ22" i="8"/>
  <c r="CC21" i="8"/>
  <c r="CB21" i="8"/>
  <c r="CA21" i="8"/>
  <c r="BZ21" i="8"/>
  <c r="CC20" i="8"/>
  <c r="CB20" i="8"/>
  <c r="CA20" i="8"/>
  <c r="BZ20" i="8"/>
  <c r="CC19" i="8"/>
  <c r="CB19" i="8"/>
  <c r="CA19" i="8"/>
  <c r="BZ19" i="8"/>
  <c r="CC18" i="8"/>
  <c r="CB18" i="8"/>
  <c r="CA18" i="8"/>
  <c r="BZ18" i="8"/>
  <c r="CC17" i="8"/>
  <c r="CB17" i="8"/>
  <c r="CA17" i="8"/>
  <c r="BZ17" i="8"/>
  <c r="CC16" i="8"/>
  <c r="CB16" i="8"/>
  <c r="CA16" i="8"/>
  <c r="BZ16" i="8"/>
  <c r="CC15" i="8"/>
  <c r="CB15" i="8"/>
  <c r="CA15" i="8"/>
  <c r="BZ15" i="8"/>
  <c r="CC14" i="8"/>
  <c r="CB14" i="8"/>
  <c r="CA14" i="8"/>
  <c r="BZ14" i="8"/>
  <c r="CC13" i="8"/>
  <c r="CB13" i="8"/>
  <c r="CA13" i="8"/>
  <c r="BZ13" i="8"/>
  <c r="CC12" i="8"/>
  <c r="CB12" i="8"/>
  <c r="CA12" i="8"/>
  <c r="BZ12" i="8"/>
  <c r="CC11" i="8"/>
  <c r="CB11" i="8"/>
  <c r="CA11" i="8"/>
  <c r="BZ11" i="8"/>
  <c r="CC10" i="8"/>
  <c r="CB10" i="8"/>
  <c r="CA10" i="8"/>
  <c r="BZ10" i="8"/>
  <c r="CC9" i="8"/>
  <c r="CB9" i="8"/>
  <c r="G50" i="9" s="1"/>
  <c r="CA9" i="8"/>
  <c r="BZ9" i="8"/>
  <c r="CC8" i="8"/>
  <c r="CB8" i="8"/>
  <c r="CA8" i="8"/>
  <c r="BZ8" i="8"/>
  <c r="CC7" i="8"/>
  <c r="CB7" i="8"/>
  <c r="CA7" i="8"/>
  <c r="BZ7" i="8"/>
  <c r="CC6" i="8"/>
  <c r="CB6" i="8"/>
  <c r="CA6" i="8"/>
  <c r="BZ6" i="8"/>
  <c r="CC5" i="8"/>
  <c r="CB5" i="8"/>
  <c r="CA5" i="8"/>
  <c r="BZ5" i="8"/>
  <c r="F52" i="9" l="1"/>
  <c r="C21" i="9"/>
  <c r="F51" i="9" l="1"/>
  <c r="C20" i="9"/>
  <c r="F50" i="9" s="1"/>
  <c r="BN47" i="7" l="1"/>
  <c r="BN46" i="7"/>
  <c r="BW5" i="7" l="1"/>
  <c r="BX5" i="7"/>
  <c r="BY5" i="7"/>
  <c r="BW6" i="7"/>
  <c r="BX6" i="7"/>
  <c r="BY6" i="7"/>
  <c r="BW7" i="7"/>
  <c r="BX7" i="7"/>
  <c r="BY7" i="7"/>
  <c r="BW8" i="7"/>
  <c r="BX8" i="7"/>
  <c r="BY8" i="7"/>
  <c r="BW9" i="7"/>
  <c r="BX9" i="7"/>
  <c r="BY9" i="7"/>
  <c r="BW10" i="7"/>
  <c r="BX10" i="7"/>
  <c r="BY10" i="7"/>
  <c r="BW11" i="7"/>
  <c r="BX11" i="7"/>
  <c r="BY11" i="7"/>
  <c r="BW12" i="7"/>
  <c r="BX12" i="7"/>
  <c r="BY12" i="7"/>
  <c r="BW13" i="7"/>
  <c r="BX13" i="7"/>
  <c r="BY13" i="7"/>
  <c r="BW14" i="7"/>
  <c r="BX14" i="7"/>
  <c r="BY14" i="7"/>
  <c r="BW15" i="7"/>
  <c r="BX15" i="7"/>
  <c r="BY15" i="7"/>
  <c r="BW16" i="7"/>
  <c r="BX16" i="7"/>
  <c r="BY16" i="7"/>
  <c r="BW17" i="7"/>
  <c r="BX17" i="7"/>
  <c r="BY17" i="7"/>
  <c r="BW18" i="7"/>
  <c r="BX18" i="7"/>
  <c r="BY18" i="7"/>
  <c r="BW19" i="7"/>
  <c r="BX19" i="7"/>
  <c r="BY19" i="7"/>
  <c r="BW20" i="7"/>
  <c r="BX20" i="7"/>
  <c r="BY20" i="7"/>
  <c r="BW21" i="7"/>
  <c r="BX21" i="7"/>
  <c r="BY21" i="7"/>
  <c r="BW22" i="7"/>
  <c r="BX22" i="7"/>
  <c r="BY22" i="7"/>
  <c r="BW23" i="7"/>
  <c r="BX23" i="7"/>
  <c r="BY23" i="7"/>
  <c r="BW24" i="7"/>
  <c r="BX24" i="7"/>
  <c r="BY24" i="7"/>
  <c r="BW25" i="7"/>
  <c r="BX25" i="7"/>
  <c r="BY25" i="7"/>
  <c r="BW28" i="7"/>
  <c r="BX28" i="7"/>
  <c r="BY28" i="7"/>
  <c r="BW30" i="7"/>
  <c r="BX30" i="7"/>
  <c r="BY30" i="7"/>
  <c r="BW31" i="7"/>
  <c r="BX31" i="7"/>
  <c r="BY31" i="7"/>
  <c r="BW32" i="7"/>
  <c r="BX32" i="7"/>
  <c r="BY32" i="7"/>
  <c r="BW33" i="7"/>
  <c r="BX33" i="7"/>
  <c r="BY33" i="7"/>
  <c r="BW34" i="7"/>
  <c r="BX34" i="7"/>
  <c r="BY34" i="7"/>
  <c r="BW35" i="7"/>
  <c r="BX35" i="7"/>
  <c r="BY35" i="7"/>
  <c r="BW36" i="7"/>
  <c r="BX36" i="7"/>
  <c r="BY36" i="7"/>
  <c r="BW37" i="7"/>
  <c r="BX37" i="7"/>
  <c r="BY37" i="7"/>
  <c r="BW39" i="7"/>
  <c r="BX39" i="7"/>
  <c r="BY39" i="7"/>
  <c r="BW40" i="7"/>
  <c r="BX40" i="7"/>
  <c r="BY40" i="7"/>
  <c r="BW41" i="7"/>
  <c r="BX41" i="7"/>
  <c r="BY41" i="7"/>
  <c r="BW42" i="7"/>
  <c r="BX42" i="7"/>
  <c r="BY42" i="7"/>
  <c r="BW43" i="7"/>
  <c r="BX43" i="7"/>
  <c r="BY43" i="7"/>
  <c r="BW44" i="7"/>
  <c r="BX44" i="7"/>
  <c r="BY44" i="7"/>
  <c r="BW45" i="7"/>
  <c r="BX45" i="7"/>
  <c r="BY45" i="7"/>
  <c r="BV43" i="7"/>
  <c r="BV44" i="7"/>
  <c r="BV45" i="7"/>
  <c r="BV41" i="7"/>
  <c r="BV42" i="7"/>
  <c r="BV39" i="7"/>
  <c r="BV32" i="7"/>
  <c r="BV33" i="7"/>
  <c r="BV34" i="7"/>
  <c r="BV35" i="7"/>
  <c r="BV36" i="7"/>
  <c r="BV37" i="7"/>
  <c r="BV30" i="7"/>
  <c r="BV31" i="7"/>
  <c r="BV28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40" i="7"/>
  <c r="BV5" i="7"/>
  <c r="BW5" i="5"/>
  <c r="BX5" i="5"/>
  <c r="BY5" i="5"/>
  <c r="BW6" i="5"/>
  <c r="BX6" i="5"/>
  <c r="BY6" i="5"/>
  <c r="BW7" i="5"/>
  <c r="BX7" i="5"/>
  <c r="BY7" i="5"/>
  <c r="BW8" i="5"/>
  <c r="BX8" i="5"/>
  <c r="BY8" i="5"/>
  <c r="BW9" i="5"/>
  <c r="BX9" i="5"/>
  <c r="BY9" i="5"/>
  <c r="BW10" i="5"/>
  <c r="BX10" i="5"/>
  <c r="BY10" i="5"/>
  <c r="BW11" i="5"/>
  <c r="BX11" i="5"/>
  <c r="BY11" i="5"/>
  <c r="BW12" i="5"/>
  <c r="BX12" i="5"/>
  <c r="BY12" i="5"/>
  <c r="BW13" i="5"/>
  <c r="BX13" i="5"/>
  <c r="BY13" i="5"/>
  <c r="BW14" i="5"/>
  <c r="BX14" i="5"/>
  <c r="BY14" i="5"/>
  <c r="BW15" i="5"/>
  <c r="BX15" i="5"/>
  <c r="BY15" i="5"/>
  <c r="BW16" i="5"/>
  <c r="BX16" i="5"/>
  <c r="BY16" i="5"/>
  <c r="BV6" i="5"/>
  <c r="BV7" i="5"/>
  <c r="BV8" i="5"/>
  <c r="BV9" i="5"/>
  <c r="BV10" i="5"/>
  <c r="BV11" i="5"/>
  <c r="BV12" i="5"/>
  <c r="BV13" i="5"/>
  <c r="BV14" i="5"/>
  <c r="BV15" i="5"/>
  <c r="BV16" i="5"/>
  <c r="BV5" i="5"/>
  <c r="BW5" i="4"/>
  <c r="BX5" i="4"/>
  <c r="BY5" i="4"/>
  <c r="BW6" i="4"/>
  <c r="BX6" i="4"/>
  <c r="BY6" i="4"/>
  <c r="BW7" i="4"/>
  <c r="BX7" i="4"/>
  <c r="BY7" i="4"/>
  <c r="BW8" i="4"/>
  <c r="BX8" i="4"/>
  <c r="BY8" i="4"/>
  <c r="BW9" i="4"/>
  <c r="BX9" i="4"/>
  <c r="BY9" i="4"/>
  <c r="BW10" i="4"/>
  <c r="BX10" i="4"/>
  <c r="BY10" i="4"/>
  <c r="BW11" i="4"/>
  <c r="BX11" i="4"/>
  <c r="BY11" i="4"/>
  <c r="BW12" i="4"/>
  <c r="BX12" i="4"/>
  <c r="BY12" i="4"/>
  <c r="BW13" i="4"/>
  <c r="BX13" i="4"/>
  <c r="BY13" i="4"/>
  <c r="BW14" i="4"/>
  <c r="BX14" i="4"/>
  <c r="BY14" i="4"/>
  <c r="BW15" i="4"/>
  <c r="BX15" i="4"/>
  <c r="BY15" i="4"/>
  <c r="BW16" i="4"/>
  <c r="BX16" i="4"/>
  <c r="BY16" i="4"/>
  <c r="BW17" i="4"/>
  <c r="BX17" i="4"/>
  <c r="BY17" i="4"/>
  <c r="BW18" i="4"/>
  <c r="BX18" i="4"/>
  <c r="BY18" i="4"/>
  <c r="BW19" i="4"/>
  <c r="BX19" i="4"/>
  <c r="BY19" i="4"/>
  <c r="BW20" i="4"/>
  <c r="BX20" i="4"/>
  <c r="BY20" i="4"/>
  <c r="BW21" i="4"/>
  <c r="BX21" i="4"/>
  <c r="BY21" i="4"/>
  <c r="BW22" i="4"/>
  <c r="BX22" i="4"/>
  <c r="BY22" i="4"/>
  <c r="BW23" i="4"/>
  <c r="BX23" i="4"/>
  <c r="BY23" i="4"/>
  <c r="BW24" i="4"/>
  <c r="BX24" i="4"/>
  <c r="BY24" i="4"/>
  <c r="BW25" i="4"/>
  <c r="BX25" i="4"/>
  <c r="BY25" i="4"/>
  <c r="BW26" i="4"/>
  <c r="BX26" i="4"/>
  <c r="BY26" i="4"/>
  <c r="BV6" i="4"/>
  <c r="BV7" i="4"/>
  <c r="BV8" i="4"/>
  <c r="BV9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5" i="4"/>
  <c r="BW5" i="1"/>
  <c r="BX5" i="1"/>
  <c r="BY5" i="1"/>
  <c r="BW6" i="1"/>
  <c r="BX6" i="1"/>
  <c r="BY6" i="1"/>
  <c r="BW7" i="1"/>
  <c r="BX7" i="1"/>
  <c r="BY7" i="1"/>
  <c r="BW8" i="1"/>
  <c r="BX8" i="1"/>
  <c r="BY8" i="1"/>
  <c r="BW9" i="1"/>
  <c r="BX9" i="1"/>
  <c r="BY9" i="1"/>
  <c r="BW10" i="1"/>
  <c r="BX10" i="1"/>
  <c r="BY10" i="1"/>
  <c r="BW11" i="1"/>
  <c r="BX11" i="1"/>
  <c r="BY11" i="1"/>
  <c r="BW12" i="1"/>
  <c r="BX12" i="1"/>
  <c r="BY12" i="1"/>
  <c r="BW13" i="1"/>
  <c r="BX13" i="1"/>
  <c r="BY13" i="1"/>
  <c r="BW14" i="1"/>
  <c r="BX14" i="1"/>
  <c r="BY14" i="1"/>
  <c r="BW15" i="1"/>
  <c r="BX15" i="1"/>
  <c r="BY15" i="1"/>
  <c r="BW16" i="1"/>
  <c r="BX16" i="1"/>
  <c r="BY16" i="1"/>
  <c r="BW17" i="1"/>
  <c r="BX17" i="1"/>
  <c r="BY17" i="1"/>
  <c r="BW18" i="1"/>
  <c r="BX18" i="1"/>
  <c r="BY18" i="1"/>
  <c r="BW19" i="1"/>
  <c r="BX19" i="1"/>
  <c r="BY19" i="1"/>
  <c r="BW20" i="1"/>
  <c r="BX20" i="1"/>
  <c r="BY20" i="1"/>
  <c r="BW21" i="1"/>
  <c r="BX21" i="1"/>
  <c r="BY21" i="1"/>
  <c r="BW22" i="1"/>
  <c r="BX22" i="1"/>
  <c r="BY22" i="1"/>
  <c r="BW23" i="1"/>
  <c r="BX23" i="1"/>
  <c r="BY23" i="1"/>
  <c r="BW24" i="1"/>
  <c r="BX24" i="1"/>
  <c r="BY24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5" i="1"/>
  <c r="BW5" i="8"/>
  <c r="BX5" i="8"/>
  <c r="BY5" i="8"/>
  <c r="BW6" i="8"/>
  <c r="BX6" i="8"/>
  <c r="BY6" i="8"/>
  <c r="BW7" i="8"/>
  <c r="BX7" i="8"/>
  <c r="BY7" i="8"/>
  <c r="BW8" i="8"/>
  <c r="BX8" i="8"/>
  <c r="BY8" i="8"/>
  <c r="BW9" i="8"/>
  <c r="BX9" i="8"/>
  <c r="BY9" i="8"/>
  <c r="BW10" i="8"/>
  <c r="BX10" i="8"/>
  <c r="BY10" i="8"/>
  <c r="BW11" i="8"/>
  <c r="BX11" i="8"/>
  <c r="BY11" i="8"/>
  <c r="BW12" i="8"/>
  <c r="BX12" i="8"/>
  <c r="BY12" i="8"/>
  <c r="BW13" i="8"/>
  <c r="BX13" i="8"/>
  <c r="BY13" i="8"/>
  <c r="BW14" i="8"/>
  <c r="BX14" i="8"/>
  <c r="BY14" i="8"/>
  <c r="BW15" i="8"/>
  <c r="BX15" i="8"/>
  <c r="BY15" i="8"/>
  <c r="BW16" i="8"/>
  <c r="BX16" i="8"/>
  <c r="BY16" i="8"/>
  <c r="BW17" i="8"/>
  <c r="BX17" i="8"/>
  <c r="BY17" i="8"/>
  <c r="BW18" i="8"/>
  <c r="BX18" i="8"/>
  <c r="BY18" i="8"/>
  <c r="BW19" i="8"/>
  <c r="BX19" i="8"/>
  <c r="BY19" i="8"/>
  <c r="BW20" i="8"/>
  <c r="BX20" i="8"/>
  <c r="BY20" i="8"/>
  <c r="BW21" i="8"/>
  <c r="BX21" i="8"/>
  <c r="BY21" i="8"/>
  <c r="BW22" i="8"/>
  <c r="BX22" i="8"/>
  <c r="BY22" i="8"/>
  <c r="BW23" i="8"/>
  <c r="BX23" i="8"/>
  <c r="BY23" i="8"/>
  <c r="BW24" i="8"/>
  <c r="BX24" i="8"/>
  <c r="BY24" i="8"/>
  <c r="BW25" i="8"/>
  <c r="BX25" i="8"/>
  <c r="BY25" i="8"/>
  <c r="BW26" i="8"/>
  <c r="BX26" i="8"/>
  <c r="BY26" i="8"/>
  <c r="BW27" i="8"/>
  <c r="BX27" i="8"/>
  <c r="BY27" i="8"/>
  <c r="BW28" i="8"/>
  <c r="BX28" i="8"/>
  <c r="BY28" i="8"/>
  <c r="BW29" i="8"/>
  <c r="BX29" i="8"/>
  <c r="BY29" i="8"/>
  <c r="BW30" i="8"/>
  <c r="BX30" i="8"/>
  <c r="BY30" i="8"/>
  <c r="BW31" i="8"/>
  <c r="BX31" i="8"/>
  <c r="BY31" i="8"/>
  <c r="BW32" i="8"/>
  <c r="BX32" i="8"/>
  <c r="BY32" i="8"/>
  <c r="BW33" i="8"/>
  <c r="BX33" i="8"/>
  <c r="BY33" i="8"/>
  <c r="BW34" i="8"/>
  <c r="BX34" i="8"/>
  <c r="BY34" i="8"/>
  <c r="BW35" i="8"/>
  <c r="BX35" i="8"/>
  <c r="BY35" i="8"/>
  <c r="BW36" i="8"/>
  <c r="BX36" i="8"/>
  <c r="BY36" i="8"/>
  <c r="BW37" i="8"/>
  <c r="BX37" i="8"/>
  <c r="BY37" i="8"/>
  <c r="BW38" i="8"/>
  <c r="BX38" i="8"/>
  <c r="BY38" i="8"/>
  <c r="BW39" i="8"/>
  <c r="BX39" i="8"/>
  <c r="BY39" i="8"/>
  <c r="BW40" i="8"/>
  <c r="BX40" i="8"/>
  <c r="BY40" i="8"/>
  <c r="BW41" i="8"/>
  <c r="BX41" i="8"/>
  <c r="BY41" i="8"/>
  <c r="BW42" i="8"/>
  <c r="BX42" i="8"/>
  <c r="BY42" i="8"/>
  <c r="BW43" i="8"/>
  <c r="BX43" i="8"/>
  <c r="BY43" i="8"/>
  <c r="BW44" i="8"/>
  <c r="BX44" i="8"/>
  <c r="BY44" i="8"/>
  <c r="BW45" i="8"/>
  <c r="BX45" i="8"/>
  <c r="BY45" i="8"/>
  <c r="BW46" i="8"/>
  <c r="BX46" i="8"/>
  <c r="BY46" i="8"/>
  <c r="BW47" i="8"/>
  <c r="BX47" i="8"/>
  <c r="BY47" i="8"/>
  <c r="BV6" i="8"/>
  <c r="BV7" i="8"/>
  <c r="BV8" i="8"/>
  <c r="BV9" i="8"/>
  <c r="BV10" i="8"/>
  <c r="BV11" i="8"/>
  <c r="BV12" i="8"/>
  <c r="BV13" i="8"/>
  <c r="BV14" i="8"/>
  <c r="BV15" i="8"/>
  <c r="BV16" i="8"/>
  <c r="BV17" i="8"/>
  <c r="BV18" i="8"/>
  <c r="BV19" i="8"/>
  <c r="BV20" i="8"/>
  <c r="BV21" i="8"/>
  <c r="BV22" i="8"/>
  <c r="BV23" i="8"/>
  <c r="BV24" i="8"/>
  <c r="BV25" i="8"/>
  <c r="BV26" i="8"/>
  <c r="BV27" i="8"/>
  <c r="BV28" i="8"/>
  <c r="BV29" i="8"/>
  <c r="BV30" i="8"/>
  <c r="BV31" i="8"/>
  <c r="BV32" i="8"/>
  <c r="BV33" i="8"/>
  <c r="BV34" i="8"/>
  <c r="BV35" i="8"/>
  <c r="BV36" i="8"/>
  <c r="BV37" i="8"/>
  <c r="BV38" i="8"/>
  <c r="BV39" i="8"/>
  <c r="BV40" i="8"/>
  <c r="BV41" i="8"/>
  <c r="BV42" i="8"/>
  <c r="BV43" i="8"/>
  <c r="BV44" i="8"/>
  <c r="BV45" i="8"/>
  <c r="BV46" i="8"/>
  <c r="BV47" i="8"/>
  <c r="BV5" i="8"/>
  <c r="H49" i="9" l="1"/>
  <c r="BS5" i="7" l="1"/>
  <c r="BT5" i="7"/>
  <c r="BU5" i="7"/>
  <c r="BS6" i="7"/>
  <c r="BT6" i="7"/>
  <c r="BU6" i="7"/>
  <c r="BS7" i="7"/>
  <c r="BT7" i="7"/>
  <c r="BU7" i="7"/>
  <c r="BS8" i="7"/>
  <c r="BT8" i="7"/>
  <c r="BU8" i="7"/>
  <c r="BS9" i="7"/>
  <c r="BT9" i="7"/>
  <c r="BU9" i="7"/>
  <c r="BS10" i="7"/>
  <c r="BT10" i="7"/>
  <c r="BU10" i="7"/>
  <c r="BS11" i="7"/>
  <c r="BT11" i="7"/>
  <c r="BU11" i="7"/>
  <c r="BS12" i="7"/>
  <c r="BT12" i="7"/>
  <c r="BU12" i="7"/>
  <c r="BS13" i="7"/>
  <c r="BT13" i="7"/>
  <c r="BU13" i="7"/>
  <c r="BS14" i="7"/>
  <c r="BT14" i="7"/>
  <c r="BU14" i="7"/>
  <c r="BS15" i="7"/>
  <c r="BT15" i="7"/>
  <c r="BU15" i="7"/>
  <c r="BS16" i="7"/>
  <c r="BT16" i="7"/>
  <c r="BU16" i="7"/>
  <c r="BS17" i="7"/>
  <c r="BT17" i="7"/>
  <c r="BU17" i="7"/>
  <c r="BS18" i="7"/>
  <c r="BT18" i="7"/>
  <c r="BU18" i="7"/>
  <c r="BS19" i="7"/>
  <c r="BT19" i="7"/>
  <c r="BU19" i="7"/>
  <c r="BS20" i="7"/>
  <c r="BT20" i="7"/>
  <c r="BU20" i="7"/>
  <c r="BS21" i="7"/>
  <c r="BT21" i="7"/>
  <c r="BU21" i="7"/>
  <c r="BS22" i="7"/>
  <c r="BT22" i="7"/>
  <c r="BU22" i="7"/>
  <c r="BS23" i="7"/>
  <c r="BT23" i="7"/>
  <c r="BU23" i="7"/>
  <c r="BS24" i="7"/>
  <c r="BT24" i="7"/>
  <c r="BU24" i="7"/>
  <c r="BS25" i="7"/>
  <c r="BT25" i="7"/>
  <c r="BU25" i="7"/>
  <c r="BS28" i="7"/>
  <c r="BT28" i="7"/>
  <c r="BU28" i="7"/>
  <c r="BS29" i="7"/>
  <c r="BT29" i="7"/>
  <c r="BU29" i="7"/>
  <c r="BS30" i="7"/>
  <c r="BT30" i="7"/>
  <c r="BU30" i="7"/>
  <c r="BS31" i="7"/>
  <c r="BT31" i="7"/>
  <c r="BU31" i="7"/>
  <c r="BS32" i="7"/>
  <c r="BT32" i="7"/>
  <c r="BU32" i="7"/>
  <c r="BS33" i="7"/>
  <c r="BT33" i="7"/>
  <c r="BU33" i="7"/>
  <c r="BS34" i="7"/>
  <c r="BT34" i="7"/>
  <c r="BU34" i="7"/>
  <c r="BS35" i="7"/>
  <c r="BT35" i="7"/>
  <c r="BU35" i="7"/>
  <c r="BS36" i="7"/>
  <c r="BT36" i="7"/>
  <c r="BU36" i="7"/>
  <c r="BS37" i="7"/>
  <c r="BT37" i="7"/>
  <c r="BU37" i="7"/>
  <c r="BS39" i="7"/>
  <c r="BT39" i="7"/>
  <c r="BU39" i="7"/>
  <c r="BS40" i="7"/>
  <c r="BT40" i="7"/>
  <c r="BU40" i="7"/>
  <c r="BS41" i="7"/>
  <c r="BT41" i="7"/>
  <c r="BU41" i="7"/>
  <c r="BS42" i="7"/>
  <c r="BT42" i="7"/>
  <c r="BU42" i="7"/>
  <c r="BS43" i="7"/>
  <c r="BT43" i="7"/>
  <c r="BU43" i="7"/>
  <c r="BS44" i="7"/>
  <c r="BT44" i="7"/>
  <c r="BU44" i="7"/>
  <c r="BS45" i="7"/>
  <c r="BT45" i="7"/>
  <c r="BU45" i="7"/>
  <c r="BR40" i="7"/>
  <c r="BR41" i="7"/>
  <c r="BR42" i="7"/>
  <c r="BR43" i="7"/>
  <c r="BR44" i="7"/>
  <c r="BR45" i="7"/>
  <c r="BR39" i="7"/>
  <c r="BR29" i="7"/>
  <c r="BR30" i="7"/>
  <c r="BR31" i="7"/>
  <c r="BR32" i="7"/>
  <c r="BR33" i="7"/>
  <c r="BR34" i="7"/>
  <c r="BR35" i="7"/>
  <c r="BR36" i="7"/>
  <c r="BR37" i="7"/>
  <c r="BR28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5" i="7"/>
  <c r="BS5" i="5"/>
  <c r="BT5" i="5"/>
  <c r="BU5" i="5"/>
  <c r="BS6" i="5"/>
  <c r="BT6" i="5"/>
  <c r="BU6" i="5"/>
  <c r="BS7" i="5"/>
  <c r="BT7" i="5"/>
  <c r="BU7" i="5"/>
  <c r="BS8" i="5"/>
  <c r="BT8" i="5"/>
  <c r="BU8" i="5"/>
  <c r="BS9" i="5"/>
  <c r="BT9" i="5"/>
  <c r="BU9" i="5"/>
  <c r="BS10" i="5"/>
  <c r="BT10" i="5"/>
  <c r="BU10" i="5"/>
  <c r="BS11" i="5"/>
  <c r="BT11" i="5"/>
  <c r="BU11" i="5"/>
  <c r="BS12" i="5"/>
  <c r="BT12" i="5"/>
  <c r="BU12" i="5"/>
  <c r="BS13" i="5"/>
  <c r="BT13" i="5"/>
  <c r="BU13" i="5"/>
  <c r="BS14" i="5"/>
  <c r="BT14" i="5"/>
  <c r="BU14" i="5"/>
  <c r="BS15" i="5"/>
  <c r="BT15" i="5"/>
  <c r="BU15" i="5"/>
  <c r="BS16" i="5"/>
  <c r="BT16" i="5"/>
  <c r="BU16" i="5"/>
  <c r="BR6" i="5"/>
  <c r="BR7" i="5"/>
  <c r="BR8" i="5"/>
  <c r="BR9" i="5"/>
  <c r="BR10" i="5"/>
  <c r="BR11" i="5"/>
  <c r="BR12" i="5"/>
  <c r="BR13" i="5"/>
  <c r="BR14" i="5"/>
  <c r="BR15" i="5"/>
  <c r="BR16" i="5"/>
  <c r="BR5" i="5"/>
  <c r="BS5" i="4"/>
  <c r="BT5" i="4"/>
  <c r="BU5" i="4"/>
  <c r="BS6" i="4"/>
  <c r="BT6" i="4"/>
  <c r="BU6" i="4"/>
  <c r="BS7" i="4"/>
  <c r="BT7" i="4"/>
  <c r="BU7" i="4"/>
  <c r="BS8" i="4"/>
  <c r="BT8" i="4"/>
  <c r="BU8" i="4"/>
  <c r="BS9" i="4"/>
  <c r="BT9" i="4"/>
  <c r="BU9" i="4"/>
  <c r="BS10" i="4"/>
  <c r="BT10" i="4"/>
  <c r="BU10" i="4"/>
  <c r="BS11" i="4"/>
  <c r="BT11" i="4"/>
  <c r="BU11" i="4"/>
  <c r="BS12" i="4"/>
  <c r="BT12" i="4"/>
  <c r="BU12" i="4"/>
  <c r="BS13" i="4"/>
  <c r="BT13" i="4"/>
  <c r="BU13" i="4"/>
  <c r="BS14" i="4"/>
  <c r="BT14" i="4"/>
  <c r="BU14" i="4"/>
  <c r="BS15" i="4"/>
  <c r="BT15" i="4"/>
  <c r="BU15" i="4"/>
  <c r="BS16" i="4"/>
  <c r="BT16" i="4"/>
  <c r="BU16" i="4"/>
  <c r="BS17" i="4"/>
  <c r="BT17" i="4"/>
  <c r="BU17" i="4"/>
  <c r="BS18" i="4"/>
  <c r="BT18" i="4"/>
  <c r="BU18" i="4"/>
  <c r="BS19" i="4"/>
  <c r="BT19" i="4"/>
  <c r="BU19" i="4"/>
  <c r="BS20" i="4"/>
  <c r="BT20" i="4"/>
  <c r="BU20" i="4"/>
  <c r="BS21" i="4"/>
  <c r="BT21" i="4"/>
  <c r="BU21" i="4"/>
  <c r="BS22" i="4"/>
  <c r="BT22" i="4"/>
  <c r="BU22" i="4"/>
  <c r="BS23" i="4"/>
  <c r="BT23" i="4"/>
  <c r="BU23" i="4"/>
  <c r="BS24" i="4"/>
  <c r="BT24" i="4"/>
  <c r="BU24" i="4"/>
  <c r="BS25" i="4"/>
  <c r="BT25" i="4"/>
  <c r="BU25" i="4"/>
  <c r="BS26" i="4"/>
  <c r="BT26" i="4"/>
  <c r="BU26" i="4"/>
  <c r="BR6" i="4"/>
  <c r="BR7" i="4"/>
  <c r="BR8" i="4"/>
  <c r="BR9" i="4"/>
  <c r="BR10" i="4"/>
  <c r="BR11" i="4"/>
  <c r="BR12" i="4"/>
  <c r="BR13" i="4"/>
  <c r="BR14" i="4"/>
  <c r="BR15" i="4"/>
  <c r="BR16" i="4"/>
  <c r="BR17" i="4"/>
  <c r="BR18" i="4"/>
  <c r="BR19" i="4"/>
  <c r="BR20" i="4"/>
  <c r="BR21" i="4"/>
  <c r="BR22" i="4"/>
  <c r="BR23" i="4"/>
  <c r="BR24" i="4"/>
  <c r="BR25" i="4"/>
  <c r="BR26" i="4"/>
  <c r="BR5" i="4"/>
  <c r="BS5" i="1"/>
  <c r="BT5" i="1"/>
  <c r="BU5" i="1"/>
  <c r="BS6" i="1"/>
  <c r="BT6" i="1"/>
  <c r="BU6" i="1"/>
  <c r="BS7" i="1"/>
  <c r="BT7" i="1"/>
  <c r="BU7" i="1"/>
  <c r="BS8" i="1"/>
  <c r="BT8" i="1"/>
  <c r="BU8" i="1"/>
  <c r="BS9" i="1"/>
  <c r="BT9" i="1"/>
  <c r="BU9" i="1"/>
  <c r="BS10" i="1"/>
  <c r="BT10" i="1"/>
  <c r="BU10" i="1"/>
  <c r="BS11" i="1"/>
  <c r="BT11" i="1"/>
  <c r="BU11" i="1"/>
  <c r="BS12" i="1"/>
  <c r="BT12" i="1"/>
  <c r="BU12" i="1"/>
  <c r="BS13" i="1"/>
  <c r="BT13" i="1"/>
  <c r="BU13" i="1"/>
  <c r="BS14" i="1"/>
  <c r="BT14" i="1"/>
  <c r="BU14" i="1"/>
  <c r="BS15" i="1"/>
  <c r="BT15" i="1"/>
  <c r="BU15" i="1"/>
  <c r="BS16" i="1"/>
  <c r="BT16" i="1"/>
  <c r="BU16" i="1"/>
  <c r="BS17" i="1"/>
  <c r="BT17" i="1"/>
  <c r="BU17" i="1"/>
  <c r="BS18" i="1"/>
  <c r="BT18" i="1"/>
  <c r="BU18" i="1"/>
  <c r="BS19" i="1"/>
  <c r="BT19" i="1"/>
  <c r="BU19" i="1"/>
  <c r="BS20" i="1"/>
  <c r="BT20" i="1"/>
  <c r="BU20" i="1"/>
  <c r="BS21" i="1"/>
  <c r="BT21" i="1"/>
  <c r="BU21" i="1"/>
  <c r="BS22" i="1"/>
  <c r="BT22" i="1"/>
  <c r="BU22" i="1"/>
  <c r="BS23" i="1"/>
  <c r="BT23" i="1"/>
  <c r="BU23" i="1"/>
  <c r="BS24" i="1"/>
  <c r="BT24" i="1"/>
  <c r="BU24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5" i="1"/>
  <c r="BS5" i="8"/>
  <c r="BT5" i="8"/>
  <c r="BU5" i="8"/>
  <c r="BS6" i="8"/>
  <c r="BT6" i="8"/>
  <c r="BU6" i="8"/>
  <c r="BS7" i="8"/>
  <c r="BT7" i="8"/>
  <c r="BU7" i="8"/>
  <c r="BS8" i="8"/>
  <c r="BT8" i="8"/>
  <c r="BU8" i="8"/>
  <c r="BS9" i="8"/>
  <c r="BT9" i="8"/>
  <c r="BU9" i="8"/>
  <c r="BS10" i="8"/>
  <c r="BT10" i="8"/>
  <c r="BU10" i="8"/>
  <c r="BS11" i="8"/>
  <c r="BT11" i="8"/>
  <c r="BU11" i="8"/>
  <c r="BS12" i="8"/>
  <c r="BT12" i="8"/>
  <c r="BU12" i="8"/>
  <c r="BS13" i="8"/>
  <c r="BT13" i="8"/>
  <c r="BU13" i="8"/>
  <c r="BS14" i="8"/>
  <c r="BT14" i="8"/>
  <c r="BU14" i="8"/>
  <c r="BS15" i="8"/>
  <c r="BT15" i="8"/>
  <c r="BU15" i="8"/>
  <c r="BS16" i="8"/>
  <c r="BT16" i="8"/>
  <c r="BU16" i="8"/>
  <c r="BS17" i="8"/>
  <c r="BT17" i="8"/>
  <c r="BU17" i="8"/>
  <c r="BS18" i="8"/>
  <c r="BT18" i="8"/>
  <c r="BU18" i="8"/>
  <c r="BS19" i="8"/>
  <c r="BT19" i="8"/>
  <c r="BU19" i="8"/>
  <c r="BS20" i="8"/>
  <c r="BT20" i="8"/>
  <c r="BU20" i="8"/>
  <c r="BS21" i="8"/>
  <c r="BT21" i="8"/>
  <c r="BU21" i="8"/>
  <c r="BS22" i="8"/>
  <c r="BT22" i="8"/>
  <c r="BU22" i="8"/>
  <c r="BS23" i="8"/>
  <c r="BT23" i="8"/>
  <c r="BU23" i="8"/>
  <c r="BS24" i="8"/>
  <c r="BT24" i="8"/>
  <c r="BU24" i="8"/>
  <c r="BS25" i="8"/>
  <c r="BT25" i="8"/>
  <c r="BU25" i="8"/>
  <c r="BS26" i="8"/>
  <c r="BT26" i="8"/>
  <c r="BU26" i="8"/>
  <c r="BS27" i="8"/>
  <c r="BT27" i="8"/>
  <c r="BU27" i="8"/>
  <c r="BS28" i="8"/>
  <c r="BT28" i="8"/>
  <c r="BU28" i="8"/>
  <c r="BS29" i="8"/>
  <c r="BT29" i="8"/>
  <c r="BU29" i="8"/>
  <c r="BS30" i="8"/>
  <c r="BT30" i="8"/>
  <c r="BU30" i="8"/>
  <c r="BS31" i="8"/>
  <c r="BT31" i="8"/>
  <c r="BU31" i="8"/>
  <c r="BS32" i="8"/>
  <c r="BT32" i="8"/>
  <c r="BU32" i="8"/>
  <c r="BS33" i="8"/>
  <c r="BT33" i="8"/>
  <c r="BU33" i="8"/>
  <c r="BS34" i="8"/>
  <c r="BT34" i="8"/>
  <c r="BU34" i="8"/>
  <c r="BS35" i="8"/>
  <c r="BT35" i="8"/>
  <c r="BU35" i="8"/>
  <c r="BS36" i="8"/>
  <c r="BT36" i="8"/>
  <c r="BU36" i="8"/>
  <c r="BS37" i="8"/>
  <c r="BT37" i="8"/>
  <c r="BU37" i="8"/>
  <c r="BS38" i="8"/>
  <c r="BT38" i="8"/>
  <c r="BU38" i="8"/>
  <c r="BS39" i="8"/>
  <c r="BT39" i="8"/>
  <c r="BU39" i="8"/>
  <c r="BS40" i="8"/>
  <c r="BT40" i="8"/>
  <c r="BU40" i="8"/>
  <c r="BS41" i="8"/>
  <c r="BT41" i="8"/>
  <c r="BU41" i="8"/>
  <c r="BS42" i="8"/>
  <c r="BT42" i="8"/>
  <c r="BU42" i="8"/>
  <c r="BS43" i="8"/>
  <c r="BT43" i="8"/>
  <c r="BU43" i="8"/>
  <c r="BS44" i="8"/>
  <c r="BT44" i="8"/>
  <c r="BU44" i="8"/>
  <c r="BS45" i="8"/>
  <c r="BT45" i="8"/>
  <c r="BU45" i="8"/>
  <c r="BS46" i="8"/>
  <c r="BT46" i="8"/>
  <c r="BU46" i="8"/>
  <c r="BS47" i="8"/>
  <c r="BT47" i="8"/>
  <c r="BU47" i="8"/>
  <c r="BR6" i="8"/>
  <c r="BR7" i="8"/>
  <c r="BR8" i="8"/>
  <c r="BR9" i="8"/>
  <c r="BR10" i="8"/>
  <c r="BR11" i="8"/>
  <c r="BR12" i="8"/>
  <c r="BR13" i="8"/>
  <c r="BR14" i="8"/>
  <c r="BR15" i="8"/>
  <c r="BR16" i="8"/>
  <c r="BR17" i="8"/>
  <c r="BR18" i="8"/>
  <c r="BR19" i="8"/>
  <c r="BR20" i="8"/>
  <c r="BR21" i="8"/>
  <c r="BR22" i="8"/>
  <c r="BR23" i="8"/>
  <c r="BR24" i="8"/>
  <c r="BR25" i="8"/>
  <c r="BR26" i="8"/>
  <c r="BR27" i="8"/>
  <c r="BR28" i="8"/>
  <c r="BR29" i="8"/>
  <c r="BR30" i="8"/>
  <c r="BR31" i="8"/>
  <c r="BR32" i="8"/>
  <c r="BR33" i="8"/>
  <c r="BR34" i="8"/>
  <c r="BR35" i="8"/>
  <c r="BR36" i="8"/>
  <c r="BR37" i="8"/>
  <c r="BR38" i="8"/>
  <c r="BR39" i="8"/>
  <c r="BR40" i="8"/>
  <c r="BR41" i="8"/>
  <c r="BR42" i="8"/>
  <c r="BR43" i="8"/>
  <c r="BR44" i="8"/>
  <c r="BR45" i="8"/>
  <c r="BR46" i="8"/>
  <c r="BR47" i="8"/>
  <c r="BR5" i="8"/>
  <c r="C13" i="8" l="1"/>
  <c r="C30" i="8"/>
  <c r="C11" i="8"/>
  <c r="C12" i="8"/>
  <c r="C40" i="8"/>
  <c r="C41" i="8"/>
  <c r="C31" i="8"/>
  <c r="C14" i="8"/>
  <c r="C10" i="8"/>
  <c r="G13" i="8"/>
  <c r="G30" i="8"/>
  <c r="G11" i="8"/>
  <c r="G12" i="8"/>
  <c r="G40" i="8"/>
  <c r="G41" i="8"/>
  <c r="G31" i="8"/>
  <c r="G14" i="8"/>
  <c r="G10" i="8"/>
  <c r="K13" i="8"/>
  <c r="K30" i="8"/>
  <c r="K11" i="8"/>
  <c r="K12" i="8"/>
  <c r="K40" i="8"/>
  <c r="K41" i="8"/>
  <c r="K31" i="8"/>
  <c r="K14" i="8"/>
  <c r="K10" i="8"/>
  <c r="O13" i="8"/>
  <c r="O30" i="8"/>
  <c r="O11" i="8"/>
  <c r="O12" i="8"/>
  <c r="O40" i="8"/>
  <c r="O41" i="8"/>
  <c r="O31" i="8"/>
  <c r="O14" i="8"/>
  <c r="O10" i="8"/>
  <c r="S13" i="8"/>
  <c r="S30" i="8"/>
  <c r="S11" i="8"/>
  <c r="S12" i="8"/>
  <c r="S40" i="8"/>
  <c r="S41" i="8"/>
  <c r="S31" i="8"/>
  <c r="S14" i="8"/>
  <c r="S10" i="8"/>
  <c r="W13" i="8"/>
  <c r="W30" i="8"/>
  <c r="W11" i="8"/>
  <c r="W12" i="8"/>
  <c r="W40" i="8"/>
  <c r="W41" i="8"/>
  <c r="W31" i="8"/>
  <c r="W14" i="8"/>
  <c r="W10" i="8"/>
  <c r="AA13" i="8"/>
  <c r="AA30" i="8"/>
  <c r="AA11" i="8"/>
  <c r="AA12" i="8"/>
  <c r="AA40" i="8"/>
  <c r="AA41" i="8"/>
  <c r="AA31" i="8"/>
  <c r="AA14" i="8"/>
  <c r="AA10" i="8"/>
  <c r="AE13" i="8"/>
  <c r="AE30" i="8"/>
  <c r="AE11" i="8"/>
  <c r="AE12" i="8"/>
  <c r="AE40" i="8"/>
  <c r="AE41" i="8"/>
  <c r="AE31" i="8"/>
  <c r="AE14" i="8"/>
  <c r="AE10" i="8"/>
  <c r="AI13" i="8"/>
  <c r="AI30" i="8"/>
  <c r="AI11" i="8"/>
  <c r="AI12" i="8"/>
  <c r="AI40" i="8"/>
  <c r="AI41" i="8"/>
  <c r="AI31" i="8"/>
  <c r="AI14" i="8"/>
  <c r="AI10" i="8"/>
  <c r="AM13" i="8"/>
  <c r="AM30" i="8"/>
  <c r="AM11" i="8"/>
  <c r="AM12" i="8"/>
  <c r="AM40" i="8"/>
  <c r="AM41" i="8"/>
  <c r="AM31" i="8"/>
  <c r="AM14" i="8"/>
  <c r="AM10" i="8"/>
  <c r="AQ13" i="8"/>
  <c r="AQ30" i="8"/>
  <c r="AQ11" i="8"/>
  <c r="AQ12" i="8"/>
  <c r="AQ40" i="8"/>
  <c r="AQ41" i="8"/>
  <c r="AQ31" i="8"/>
  <c r="AQ14" i="8"/>
  <c r="AQ10" i="8"/>
  <c r="AU13" i="8"/>
  <c r="AU30" i="8"/>
  <c r="AU11" i="8"/>
  <c r="AU12" i="8"/>
  <c r="AU40" i="8"/>
  <c r="AU41" i="8"/>
  <c r="AU31" i="8"/>
  <c r="AU14" i="8"/>
  <c r="AU10" i="8"/>
  <c r="AY13" i="8"/>
  <c r="AY30" i="8"/>
  <c r="AY11" i="8"/>
  <c r="AY12" i="8"/>
  <c r="AY40" i="8"/>
  <c r="AY41" i="8"/>
  <c r="AY31" i="8"/>
  <c r="AY14" i="8"/>
  <c r="AY10" i="8"/>
  <c r="BC13" i="8"/>
  <c r="BC30" i="8"/>
  <c r="BC11" i="8"/>
  <c r="BC12" i="8"/>
  <c r="BC40" i="8"/>
  <c r="BC41" i="8"/>
  <c r="BC31" i="8"/>
  <c r="BC14" i="8"/>
  <c r="BC10" i="8"/>
  <c r="BG13" i="8"/>
  <c r="BG30" i="8"/>
  <c r="BG11" i="8"/>
  <c r="BG12" i="8"/>
  <c r="BG40" i="8"/>
  <c r="BG41" i="8"/>
  <c r="BG31" i="8"/>
  <c r="BG14" i="8"/>
  <c r="BG10" i="8"/>
  <c r="BK13" i="8"/>
  <c r="BK30" i="8"/>
  <c r="BK11" i="8"/>
  <c r="BK12" i="8"/>
  <c r="BK40" i="8"/>
  <c r="BK41" i="8"/>
  <c r="BK31" i="8"/>
  <c r="BK14" i="8"/>
  <c r="BK10" i="8"/>
  <c r="C17" i="8"/>
  <c r="C20" i="8"/>
  <c r="C18" i="8"/>
  <c r="C19" i="8"/>
  <c r="C35" i="8"/>
  <c r="C45" i="8"/>
  <c r="C16" i="8"/>
  <c r="C23" i="8"/>
  <c r="G17" i="8"/>
  <c r="G20" i="8"/>
  <c r="G18" i="8"/>
  <c r="G19" i="8"/>
  <c r="G35" i="8"/>
  <c r="G45" i="8"/>
  <c r="G16" i="8"/>
  <c r="G23" i="8"/>
  <c r="K17" i="8"/>
  <c r="K20" i="8"/>
  <c r="K18" i="8"/>
  <c r="K19" i="8"/>
  <c r="K35" i="8"/>
  <c r="K45" i="8"/>
  <c r="K16" i="8"/>
  <c r="K23" i="8"/>
  <c r="O17" i="8"/>
  <c r="O20" i="8"/>
  <c r="O18" i="8"/>
  <c r="O19" i="8"/>
  <c r="O35" i="8"/>
  <c r="O45" i="8"/>
  <c r="O16" i="8"/>
  <c r="O23" i="8"/>
  <c r="S17" i="8"/>
  <c r="S20" i="8"/>
  <c r="S18" i="8"/>
  <c r="S19" i="8"/>
  <c r="S35" i="8"/>
  <c r="S45" i="8"/>
  <c r="S16" i="8"/>
  <c r="S23" i="8"/>
  <c r="W17" i="8"/>
  <c r="W20" i="8"/>
  <c r="W18" i="8"/>
  <c r="W19" i="8"/>
  <c r="W35" i="8"/>
  <c r="W45" i="8"/>
  <c r="W16" i="8"/>
  <c r="W23" i="8"/>
  <c r="AA17" i="8"/>
  <c r="AA20" i="8"/>
  <c r="AA18" i="8"/>
  <c r="AA19" i="8"/>
  <c r="AA35" i="8"/>
  <c r="AA45" i="8"/>
  <c r="AA16" i="8"/>
  <c r="AA23" i="8"/>
  <c r="AE17" i="8"/>
  <c r="AE20" i="8"/>
  <c r="AE18" i="8"/>
  <c r="AE19" i="8"/>
  <c r="AE35" i="8"/>
  <c r="AE45" i="8"/>
  <c r="AE16" i="8"/>
  <c r="AE23" i="8"/>
  <c r="AI17" i="8"/>
  <c r="AI20" i="8"/>
  <c r="AI18" i="8"/>
  <c r="AI19" i="8"/>
  <c r="AI35" i="8"/>
  <c r="AI45" i="8"/>
  <c r="AI16" i="8"/>
  <c r="AI23" i="8"/>
  <c r="AM17" i="8"/>
  <c r="AM20" i="8"/>
  <c r="AM18" i="8"/>
  <c r="AM19" i="8"/>
  <c r="AM35" i="8"/>
  <c r="AM45" i="8"/>
  <c r="AM16" i="8"/>
  <c r="AM23" i="8"/>
  <c r="AQ17" i="8"/>
  <c r="AQ20" i="8"/>
  <c r="AQ18" i="8"/>
  <c r="AQ19" i="8"/>
  <c r="AQ35" i="8"/>
  <c r="AQ45" i="8"/>
  <c r="AQ16" i="8"/>
  <c r="AQ23" i="8"/>
  <c r="AU17" i="8"/>
  <c r="AU20" i="8"/>
  <c r="AU18" i="8"/>
  <c r="AU19" i="8"/>
  <c r="AU35" i="8"/>
  <c r="AU45" i="8"/>
  <c r="AU16" i="8"/>
  <c r="AU23" i="8"/>
  <c r="AY17" i="8"/>
  <c r="AY20" i="8"/>
  <c r="AY18" i="8"/>
  <c r="AY19" i="8"/>
  <c r="AY35" i="8"/>
  <c r="AY45" i="8"/>
  <c r="AY16" i="8"/>
  <c r="AY23" i="8"/>
  <c r="BC17" i="8"/>
  <c r="BC20" i="8"/>
  <c r="BC18" i="8"/>
  <c r="BC19" i="8"/>
  <c r="BC35" i="8"/>
  <c r="BC45" i="8"/>
  <c r="BC16" i="8"/>
  <c r="BC23" i="8"/>
  <c r="BG17" i="8"/>
  <c r="BG20" i="8"/>
  <c r="BG18" i="8"/>
  <c r="BG19" i="8"/>
  <c r="BG35" i="8"/>
  <c r="BG45" i="8"/>
  <c r="BG16" i="8"/>
  <c r="BG23" i="8"/>
  <c r="BK17" i="8"/>
  <c r="BK20" i="8"/>
  <c r="BK18" i="8"/>
  <c r="BK19" i="8"/>
  <c r="BK35" i="8"/>
  <c r="BK45" i="8"/>
  <c r="BK16" i="8"/>
  <c r="BK23" i="8"/>
  <c r="C7" i="8"/>
  <c r="G7" i="8"/>
  <c r="K7" i="8"/>
  <c r="O7" i="8"/>
  <c r="S7" i="8"/>
  <c r="W7" i="8"/>
  <c r="AA7" i="8"/>
  <c r="AE7" i="8"/>
  <c r="AI7" i="8"/>
  <c r="AM7" i="8"/>
  <c r="AQ7" i="8"/>
  <c r="AU7" i="8"/>
  <c r="AY7" i="8"/>
  <c r="BC7" i="8"/>
  <c r="BG7" i="8"/>
  <c r="BK7" i="8"/>
  <c r="BK9" i="8"/>
  <c r="BK29" i="8"/>
  <c r="BK39" i="8"/>
  <c r="BC9" i="8"/>
  <c r="BC29" i="8"/>
  <c r="BC39" i="8"/>
  <c r="BG9" i="8"/>
  <c r="BG29" i="8"/>
  <c r="BG39" i="8"/>
  <c r="AU9" i="8"/>
  <c r="AU29" i="8"/>
  <c r="AU39" i="8"/>
  <c r="AY9" i="8"/>
  <c r="AY29" i="8"/>
  <c r="AY39" i="8"/>
  <c r="BK13" i="7"/>
  <c r="BK11" i="7"/>
  <c r="BK9" i="7"/>
  <c r="AM13" i="7"/>
  <c r="AM11" i="7"/>
  <c r="AM9" i="7"/>
  <c r="AI13" i="7"/>
  <c r="AI11" i="7"/>
  <c r="AI9" i="7"/>
  <c r="AE13" i="7"/>
  <c r="AE11" i="7"/>
  <c r="AE9" i="7"/>
  <c r="AA13" i="7"/>
  <c r="AA11" i="7"/>
  <c r="AA9" i="7"/>
  <c r="W13" i="7"/>
  <c r="W11" i="7"/>
  <c r="W9" i="7"/>
  <c r="S13" i="7"/>
  <c r="S11" i="7"/>
  <c r="S9" i="7"/>
  <c r="O13" i="7"/>
  <c r="O11" i="7"/>
  <c r="O9" i="7"/>
  <c r="K13" i="7"/>
  <c r="K11" i="7"/>
  <c r="K9" i="7"/>
  <c r="G13" i="7"/>
  <c r="G11" i="7"/>
  <c r="G9" i="7"/>
  <c r="C13" i="7"/>
  <c r="C11" i="7"/>
  <c r="C9" i="7"/>
  <c r="AM39" i="8"/>
  <c r="AM29" i="8"/>
  <c r="AM9" i="8"/>
  <c r="AI39" i="8"/>
  <c r="AI29" i="8"/>
  <c r="AI9" i="8"/>
  <c r="AE39" i="8"/>
  <c r="AE29" i="8"/>
  <c r="AE9" i="8"/>
  <c r="AA39" i="8"/>
  <c r="AA29" i="8"/>
  <c r="AA9" i="8"/>
  <c r="W39" i="8"/>
  <c r="W29" i="8"/>
  <c r="W9" i="8"/>
  <c r="S39" i="8"/>
  <c r="S29" i="8"/>
  <c r="S9" i="8"/>
  <c r="O39" i="8"/>
  <c r="O9" i="8"/>
  <c r="O29" i="8"/>
  <c r="K39" i="8"/>
  <c r="K29" i="8"/>
  <c r="K9" i="8"/>
  <c r="G39" i="8"/>
  <c r="G29" i="8"/>
  <c r="G9" i="8"/>
  <c r="C39" i="8"/>
  <c r="C29" i="8"/>
  <c r="C9" i="8"/>
  <c r="AU9" i="7"/>
  <c r="AU11" i="7"/>
  <c r="AU13" i="7"/>
  <c r="AQ9" i="7"/>
  <c r="AQ11" i="7"/>
  <c r="AQ13" i="7"/>
  <c r="AY13" i="7"/>
  <c r="AY11" i="7"/>
  <c r="AY9" i="7"/>
  <c r="BC11" i="7"/>
  <c r="BC9" i="7"/>
  <c r="BC13" i="7"/>
  <c r="BG13" i="7"/>
  <c r="BG9" i="7"/>
  <c r="BG11" i="7"/>
  <c r="AQ39" i="8"/>
  <c r="AQ29" i="8"/>
  <c r="AQ9" i="8"/>
  <c r="BO5" i="7"/>
  <c r="BP5" i="7"/>
  <c r="BQ5" i="7"/>
  <c r="BO6" i="7"/>
  <c r="BP6" i="7"/>
  <c r="BQ6" i="7"/>
  <c r="BO8" i="7"/>
  <c r="BP8" i="7"/>
  <c r="BQ8" i="7"/>
  <c r="BO10" i="7"/>
  <c r="BP10" i="7"/>
  <c r="BQ10" i="7"/>
  <c r="BO11" i="7"/>
  <c r="BQ11" i="7"/>
  <c r="BO12" i="7"/>
  <c r="BP12" i="7"/>
  <c r="BQ12" i="7"/>
  <c r="BO13" i="7"/>
  <c r="BQ13" i="7"/>
  <c r="BO14" i="7"/>
  <c r="BP14" i="7"/>
  <c r="BQ14" i="7"/>
  <c r="BO15" i="7"/>
  <c r="BP15" i="7"/>
  <c r="BQ15" i="7"/>
  <c r="BO16" i="7"/>
  <c r="BP16" i="7"/>
  <c r="BQ16" i="7"/>
  <c r="BO17" i="7"/>
  <c r="BQ17" i="7"/>
  <c r="BO18" i="7"/>
  <c r="BQ18" i="7"/>
  <c r="BO19" i="7"/>
  <c r="BQ19" i="7"/>
  <c r="BO20" i="7"/>
  <c r="BQ20" i="7"/>
  <c r="BO21" i="7"/>
  <c r="BQ21" i="7"/>
  <c r="BO22" i="7"/>
  <c r="BQ22" i="7"/>
  <c r="BO23" i="7"/>
  <c r="BQ23" i="7"/>
  <c r="BO24" i="7"/>
  <c r="BQ24" i="7"/>
  <c r="BO25" i="7"/>
  <c r="BQ25" i="7"/>
  <c r="BO28" i="7"/>
  <c r="BQ28" i="7"/>
  <c r="BO29" i="7"/>
  <c r="BP29" i="7"/>
  <c r="BQ29" i="7"/>
  <c r="BO30" i="7"/>
  <c r="BQ30" i="7"/>
  <c r="BO31" i="7"/>
  <c r="BQ31" i="7"/>
  <c r="BO32" i="7"/>
  <c r="BQ32" i="7"/>
  <c r="BO33" i="7"/>
  <c r="BQ33" i="7"/>
  <c r="BO34" i="7"/>
  <c r="BQ34" i="7"/>
  <c r="BO35" i="7"/>
  <c r="BQ35" i="7"/>
  <c r="BO36" i="7"/>
  <c r="BQ36" i="7"/>
  <c r="BO37" i="7"/>
  <c r="BQ37" i="7"/>
  <c r="BO39" i="7"/>
  <c r="BQ39" i="7"/>
  <c r="BO40" i="7"/>
  <c r="BP40" i="7"/>
  <c r="BQ40" i="7"/>
  <c r="BO41" i="7"/>
  <c r="BQ41" i="7"/>
  <c r="BO42" i="7"/>
  <c r="BQ42" i="7"/>
  <c r="BO43" i="7"/>
  <c r="BQ43" i="7"/>
  <c r="BO44" i="7"/>
  <c r="BQ44" i="7"/>
  <c r="BO45" i="7"/>
  <c r="BQ45" i="7"/>
  <c r="BN40" i="7"/>
  <c r="BN41" i="7"/>
  <c r="BN42" i="7"/>
  <c r="BN43" i="7"/>
  <c r="BN44" i="7"/>
  <c r="BN45" i="7"/>
  <c r="BN39" i="7"/>
  <c r="BN29" i="7"/>
  <c r="BN30" i="7"/>
  <c r="BN31" i="7"/>
  <c r="BN32" i="7"/>
  <c r="BN33" i="7"/>
  <c r="BN34" i="7"/>
  <c r="BN35" i="7"/>
  <c r="BN36" i="7"/>
  <c r="BN37" i="7"/>
  <c r="BN28" i="7"/>
  <c r="BN6" i="7"/>
  <c r="BN8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5" i="7"/>
  <c r="BO5" i="5"/>
  <c r="BP5" i="5"/>
  <c r="BQ5" i="5"/>
  <c r="BO6" i="5"/>
  <c r="BP6" i="5"/>
  <c r="BQ6" i="5"/>
  <c r="BO8" i="5"/>
  <c r="BP8" i="5"/>
  <c r="BQ8" i="5"/>
  <c r="BO9" i="5"/>
  <c r="BQ9" i="5"/>
  <c r="BO11" i="5"/>
  <c r="BQ11" i="5"/>
  <c r="BO12" i="5"/>
  <c r="BQ12" i="5"/>
  <c r="BO13" i="5"/>
  <c r="BQ13" i="5"/>
  <c r="BO14" i="5"/>
  <c r="BQ14" i="5"/>
  <c r="BO15" i="5"/>
  <c r="BQ15" i="5"/>
  <c r="BO16" i="5"/>
  <c r="BQ16" i="5"/>
  <c r="BN6" i="5"/>
  <c r="BN8" i="5"/>
  <c r="BN9" i="5"/>
  <c r="BN11" i="5"/>
  <c r="BN12" i="5"/>
  <c r="BN13" i="5"/>
  <c r="BN14" i="5"/>
  <c r="BN15" i="5"/>
  <c r="BN16" i="5"/>
  <c r="BN5" i="5"/>
  <c r="BO5" i="4"/>
  <c r="BP5" i="4"/>
  <c r="BQ5" i="4"/>
  <c r="BO6" i="4"/>
  <c r="BP6" i="4"/>
  <c r="BQ6" i="4"/>
  <c r="BO8" i="4"/>
  <c r="BP8" i="4"/>
  <c r="BQ8" i="4"/>
  <c r="BO9" i="4"/>
  <c r="BQ9" i="4"/>
  <c r="BO10" i="4"/>
  <c r="BQ10" i="4"/>
  <c r="BO11" i="4"/>
  <c r="BQ11" i="4"/>
  <c r="BO12" i="4"/>
  <c r="BQ12" i="4"/>
  <c r="BO14" i="4"/>
  <c r="BQ14" i="4"/>
  <c r="BO15" i="4"/>
  <c r="BQ15" i="4"/>
  <c r="BO16" i="4"/>
  <c r="BQ16" i="4"/>
  <c r="BO17" i="4"/>
  <c r="BQ17" i="4"/>
  <c r="BO18" i="4"/>
  <c r="BQ18" i="4"/>
  <c r="BO19" i="4"/>
  <c r="BQ19" i="4"/>
  <c r="BO20" i="4"/>
  <c r="BQ20" i="4"/>
  <c r="BO21" i="4"/>
  <c r="BQ21" i="4"/>
  <c r="BO22" i="4"/>
  <c r="BQ22" i="4"/>
  <c r="BO23" i="4"/>
  <c r="BQ23" i="4"/>
  <c r="BO24" i="4"/>
  <c r="BQ24" i="4"/>
  <c r="BO25" i="4"/>
  <c r="BQ25" i="4"/>
  <c r="BN6" i="4"/>
  <c r="BN8" i="4"/>
  <c r="BN9" i="4"/>
  <c r="BN10" i="4"/>
  <c r="BN11" i="4"/>
  <c r="BN12" i="4"/>
  <c r="BN14" i="4"/>
  <c r="BN15" i="4"/>
  <c r="BN16" i="4"/>
  <c r="BN17" i="4"/>
  <c r="BN18" i="4"/>
  <c r="BN19" i="4"/>
  <c r="BN20" i="4"/>
  <c r="BN21" i="4"/>
  <c r="BN22" i="4"/>
  <c r="BN23" i="4"/>
  <c r="BN24" i="4"/>
  <c r="BN25" i="4"/>
  <c r="BN5" i="4"/>
  <c r="BO5" i="1"/>
  <c r="BP5" i="1"/>
  <c r="BQ5" i="1"/>
  <c r="BO6" i="1"/>
  <c r="BP6" i="1"/>
  <c r="BQ6" i="1"/>
  <c r="BO8" i="1"/>
  <c r="BP8" i="1"/>
  <c r="BQ8" i="1"/>
  <c r="BO10" i="1"/>
  <c r="BQ10" i="1"/>
  <c r="BO11" i="1"/>
  <c r="BQ11" i="1"/>
  <c r="BO12" i="1"/>
  <c r="BQ12" i="1"/>
  <c r="BO14" i="1"/>
  <c r="BQ14" i="1"/>
  <c r="BO15" i="1"/>
  <c r="BP15" i="1"/>
  <c r="BQ15" i="1"/>
  <c r="BO16" i="1"/>
  <c r="BQ16" i="1"/>
  <c r="BO17" i="1"/>
  <c r="BQ17" i="1"/>
  <c r="BO18" i="1"/>
  <c r="BQ18" i="1"/>
  <c r="BO19" i="1"/>
  <c r="BQ19" i="1"/>
  <c r="BO20" i="1"/>
  <c r="BP20" i="1"/>
  <c r="BQ20" i="1"/>
  <c r="BO21" i="1"/>
  <c r="BQ21" i="1"/>
  <c r="BO22" i="1"/>
  <c r="BQ22" i="1"/>
  <c r="BO23" i="1"/>
  <c r="BQ23" i="1"/>
  <c r="BO24" i="1"/>
  <c r="BQ24" i="1"/>
  <c r="BN6" i="1"/>
  <c r="BN8" i="1"/>
  <c r="BN10" i="1"/>
  <c r="BN11" i="1"/>
  <c r="BN12" i="1"/>
  <c r="BN14" i="1"/>
  <c r="BN15" i="1"/>
  <c r="BN16" i="1"/>
  <c r="BN17" i="1"/>
  <c r="BN18" i="1"/>
  <c r="BN19" i="1"/>
  <c r="BN20" i="1"/>
  <c r="BN21" i="1"/>
  <c r="BN22" i="1"/>
  <c r="BN23" i="1"/>
  <c r="BN24" i="1"/>
  <c r="BN5" i="1"/>
  <c r="BO5" i="8"/>
  <c r="BP5" i="8"/>
  <c r="BQ5" i="8"/>
  <c r="BO6" i="8"/>
  <c r="BP6" i="8"/>
  <c r="BQ6" i="8"/>
  <c r="BO8" i="8"/>
  <c r="BP8" i="8"/>
  <c r="BQ8" i="8"/>
  <c r="BO10" i="8"/>
  <c r="BQ10" i="8"/>
  <c r="BO11" i="8"/>
  <c r="BQ11" i="8"/>
  <c r="BO12" i="8"/>
  <c r="BQ12" i="8"/>
  <c r="BO13" i="8"/>
  <c r="BQ13" i="8"/>
  <c r="BO14" i="8"/>
  <c r="BQ14" i="8"/>
  <c r="BO15" i="8"/>
  <c r="BQ15" i="8"/>
  <c r="BO16" i="8"/>
  <c r="BQ16" i="8"/>
  <c r="BO17" i="8"/>
  <c r="BQ17" i="8"/>
  <c r="BO18" i="8"/>
  <c r="BQ18" i="8"/>
  <c r="BO19" i="8"/>
  <c r="BQ19" i="8"/>
  <c r="BO20" i="8"/>
  <c r="BQ20" i="8"/>
  <c r="BO21" i="8"/>
  <c r="BQ21" i="8"/>
  <c r="BO22" i="8"/>
  <c r="BQ22" i="8"/>
  <c r="BO24" i="8"/>
  <c r="BQ24" i="8"/>
  <c r="BO25" i="8"/>
  <c r="BQ25" i="8"/>
  <c r="BO26" i="8"/>
  <c r="BQ26" i="8"/>
  <c r="BO27" i="8"/>
  <c r="BQ27" i="8"/>
  <c r="BO28" i="8"/>
  <c r="BP28" i="8"/>
  <c r="BQ28" i="8"/>
  <c r="BO29" i="8"/>
  <c r="BQ29" i="8"/>
  <c r="BO30" i="8"/>
  <c r="BQ30" i="8"/>
  <c r="BO31" i="8"/>
  <c r="BQ31" i="8"/>
  <c r="BO32" i="8"/>
  <c r="BQ32" i="8"/>
  <c r="BO33" i="8"/>
  <c r="BQ33" i="8"/>
  <c r="BO34" i="8"/>
  <c r="BQ34" i="8"/>
  <c r="BO35" i="8"/>
  <c r="BQ35" i="8"/>
  <c r="BO36" i="8"/>
  <c r="BQ36" i="8"/>
  <c r="BO37" i="8"/>
  <c r="BQ37" i="8"/>
  <c r="BO38" i="8"/>
  <c r="BP38" i="8"/>
  <c r="BQ38" i="8"/>
  <c r="BO39" i="8"/>
  <c r="BQ39" i="8"/>
  <c r="BO40" i="8"/>
  <c r="BQ40" i="8"/>
  <c r="BO41" i="8"/>
  <c r="BQ41" i="8"/>
  <c r="BO42" i="8"/>
  <c r="BQ42" i="8"/>
  <c r="BO43" i="8"/>
  <c r="BQ43" i="8"/>
  <c r="BO44" i="8"/>
  <c r="BQ44" i="8"/>
  <c r="BO45" i="8"/>
  <c r="BQ45" i="8"/>
  <c r="BO46" i="8"/>
  <c r="BQ46" i="8"/>
  <c r="BO47" i="8"/>
  <c r="BQ47" i="8"/>
  <c r="BN28" i="8"/>
  <c r="BN29" i="8"/>
  <c r="BN30" i="8"/>
  <c r="BN31" i="8"/>
  <c r="BN32" i="8"/>
  <c r="BN33" i="8"/>
  <c r="BN34" i="8"/>
  <c r="BN35" i="8"/>
  <c r="BN36" i="8"/>
  <c r="BN37" i="8"/>
  <c r="BN38" i="8"/>
  <c r="BN39" i="8"/>
  <c r="BN40" i="8"/>
  <c r="BN41" i="8"/>
  <c r="BN42" i="8"/>
  <c r="BN43" i="8"/>
  <c r="BN44" i="8"/>
  <c r="BN45" i="8"/>
  <c r="BN46" i="8"/>
  <c r="BN47" i="8"/>
  <c r="BN5" i="8"/>
  <c r="BN6" i="8"/>
  <c r="BN8" i="8"/>
  <c r="BN10" i="8"/>
  <c r="BN11" i="8"/>
  <c r="BN12" i="8"/>
  <c r="BN13" i="8"/>
  <c r="BN14" i="8"/>
  <c r="BN15" i="8"/>
  <c r="BN16" i="8"/>
  <c r="BN17" i="8"/>
  <c r="BN18" i="8"/>
  <c r="BN19" i="8"/>
  <c r="BN20" i="8"/>
  <c r="BN21" i="8"/>
  <c r="BN22" i="8"/>
  <c r="BN23" i="8"/>
  <c r="BN24" i="8"/>
  <c r="BN25" i="8"/>
  <c r="BN26" i="8"/>
  <c r="BN27" i="8"/>
  <c r="BK7" i="1"/>
  <c r="C16" i="9" s="1"/>
  <c r="F46" i="9" s="1"/>
  <c r="AI7" i="1"/>
  <c r="C9" i="9" s="1"/>
  <c r="F39" i="9" s="1"/>
  <c r="AX5" i="8"/>
  <c r="BJ5" i="8"/>
  <c r="BJ7" i="8"/>
  <c r="BM39" i="7"/>
  <c r="BK40" i="7"/>
  <c r="BL40" i="7"/>
  <c r="BM40" i="7"/>
  <c r="BM41" i="7"/>
  <c r="BM42" i="7"/>
  <c r="BM43" i="7"/>
  <c r="BM44" i="7"/>
  <c r="BM45" i="7"/>
  <c r="BJ40" i="7"/>
  <c r="BJ41" i="7"/>
  <c r="BJ42" i="7"/>
  <c r="BJ43" i="7"/>
  <c r="BJ44" i="7"/>
  <c r="BJ45" i="7"/>
  <c r="BJ39" i="7"/>
  <c r="BM28" i="7"/>
  <c r="BK29" i="7"/>
  <c r="BL29" i="7"/>
  <c r="BM29" i="7"/>
  <c r="BM30" i="7"/>
  <c r="BM31" i="7"/>
  <c r="BM32" i="7"/>
  <c r="BM33" i="7"/>
  <c r="BM34" i="7"/>
  <c r="BM35" i="7"/>
  <c r="BM36" i="7"/>
  <c r="BM37" i="7"/>
  <c r="BJ29" i="7"/>
  <c r="BJ30" i="7"/>
  <c r="BJ31" i="7"/>
  <c r="BJ32" i="7"/>
  <c r="BJ33" i="7"/>
  <c r="BJ34" i="7"/>
  <c r="BJ35" i="7"/>
  <c r="BJ36" i="7"/>
  <c r="BJ37" i="7"/>
  <c r="BJ28" i="7"/>
  <c r="BK5" i="7"/>
  <c r="BL5" i="7"/>
  <c r="BM5" i="7"/>
  <c r="BK6" i="7"/>
  <c r="BL6" i="7"/>
  <c r="BM6" i="7"/>
  <c r="BM7" i="7"/>
  <c r="BK8" i="7"/>
  <c r="BL8" i="7"/>
  <c r="BM8" i="7"/>
  <c r="BM9" i="7"/>
  <c r="BK10" i="7"/>
  <c r="BL10" i="7"/>
  <c r="BM10" i="7"/>
  <c r="BM11" i="7"/>
  <c r="BK12" i="7"/>
  <c r="BL12" i="7"/>
  <c r="BM12" i="7"/>
  <c r="BM13" i="7"/>
  <c r="BK14" i="7"/>
  <c r="BL14" i="7"/>
  <c r="BM14" i="7"/>
  <c r="BK15" i="7"/>
  <c r="BL15" i="7"/>
  <c r="BM15" i="7"/>
  <c r="BK16" i="7"/>
  <c r="BL16" i="7"/>
  <c r="BM16" i="7"/>
  <c r="BM17" i="7"/>
  <c r="BM18" i="7"/>
  <c r="BM19" i="7"/>
  <c r="BM20" i="7"/>
  <c r="BM21" i="7"/>
  <c r="BM22" i="7"/>
  <c r="BM23" i="7"/>
  <c r="BM24" i="7"/>
  <c r="BM2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K5" i="5"/>
  <c r="BL5" i="5"/>
  <c r="BM5" i="5"/>
  <c r="BK6" i="5"/>
  <c r="BL6" i="5"/>
  <c r="BM6" i="5"/>
  <c r="BL7" i="5"/>
  <c r="BM7" i="5"/>
  <c r="BK8" i="5"/>
  <c r="BL8" i="5"/>
  <c r="BM8" i="5"/>
  <c r="BL9" i="5"/>
  <c r="BM9" i="5"/>
  <c r="BL10" i="5"/>
  <c r="BM10" i="5"/>
  <c r="BL11" i="5"/>
  <c r="BM11" i="5"/>
  <c r="BL12" i="5"/>
  <c r="BM12" i="5"/>
  <c r="BL13" i="5"/>
  <c r="BM13" i="5"/>
  <c r="BL14" i="5"/>
  <c r="BM14" i="5"/>
  <c r="BL15" i="5"/>
  <c r="BM15" i="5"/>
  <c r="BL16" i="5"/>
  <c r="BM16" i="5"/>
  <c r="BJ6" i="5"/>
  <c r="BJ7" i="5"/>
  <c r="BJ8" i="5"/>
  <c r="BJ9" i="5"/>
  <c r="BJ10" i="5"/>
  <c r="BJ11" i="5"/>
  <c r="BJ12" i="5"/>
  <c r="BJ13" i="5"/>
  <c r="BJ14" i="5"/>
  <c r="BJ15" i="5"/>
  <c r="BJ16" i="5"/>
  <c r="BK5" i="4"/>
  <c r="BL5" i="4"/>
  <c r="BM5" i="4"/>
  <c r="BK6" i="4"/>
  <c r="BL6" i="4"/>
  <c r="BM6" i="4"/>
  <c r="BM7" i="4"/>
  <c r="BK8" i="4"/>
  <c r="BL8" i="4"/>
  <c r="BM8" i="4"/>
  <c r="BM9" i="4"/>
  <c r="BM10" i="4"/>
  <c r="BM11" i="4"/>
  <c r="BM12" i="4"/>
  <c r="BM13" i="4"/>
  <c r="BM14" i="4"/>
  <c r="BM15" i="4"/>
  <c r="BM16" i="4"/>
  <c r="BM17" i="4"/>
  <c r="BM18" i="4"/>
  <c r="BM19" i="4"/>
  <c r="BM20" i="4"/>
  <c r="BM21" i="4"/>
  <c r="BM22" i="4"/>
  <c r="BM23" i="4"/>
  <c r="BM24" i="4"/>
  <c r="BM25" i="4"/>
  <c r="BM26" i="4"/>
  <c r="BJ6" i="4"/>
  <c r="BJ7" i="4"/>
  <c r="BJ8" i="4"/>
  <c r="BJ9" i="4"/>
  <c r="BJ10" i="4"/>
  <c r="BJ11" i="4"/>
  <c r="BJ12" i="4"/>
  <c r="BJ13" i="4"/>
  <c r="BJ14" i="4"/>
  <c r="BJ15" i="4"/>
  <c r="BJ16" i="4"/>
  <c r="BJ17" i="4"/>
  <c r="BJ18" i="4"/>
  <c r="BJ19" i="4"/>
  <c r="BJ20" i="4"/>
  <c r="BJ21" i="4"/>
  <c r="BJ22" i="4"/>
  <c r="BJ23" i="4"/>
  <c r="BJ24" i="4"/>
  <c r="BJ25" i="4"/>
  <c r="BJ26" i="4"/>
  <c r="BK5" i="1"/>
  <c r="BL5" i="1"/>
  <c r="BM5" i="1"/>
  <c r="BK6" i="1"/>
  <c r="BL6" i="1"/>
  <c r="BM6" i="1"/>
  <c r="BM7" i="1"/>
  <c r="BK8" i="1"/>
  <c r="BL8" i="1"/>
  <c r="BM8" i="1"/>
  <c r="BM9" i="1"/>
  <c r="BM10" i="1"/>
  <c r="BM11" i="1"/>
  <c r="BM12" i="1"/>
  <c r="BM13" i="1"/>
  <c r="BM14" i="1"/>
  <c r="BK15" i="1"/>
  <c r="BL15" i="1"/>
  <c r="BM15" i="1"/>
  <c r="BM16" i="1"/>
  <c r="BM17" i="1"/>
  <c r="BM18" i="1"/>
  <c r="BM19" i="1"/>
  <c r="BK20" i="1"/>
  <c r="BL20" i="1"/>
  <c r="BM20" i="1"/>
  <c r="BM21" i="1"/>
  <c r="BM22" i="1"/>
  <c r="BM23" i="1"/>
  <c r="BM24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K5" i="8"/>
  <c r="BL5" i="8"/>
  <c r="BM5" i="8"/>
  <c r="BK6" i="8"/>
  <c r="BL6" i="8"/>
  <c r="BM6" i="8"/>
  <c r="BM7" i="8"/>
  <c r="BK8" i="8"/>
  <c r="BL8" i="8"/>
  <c r="BM8" i="8"/>
  <c r="BM9" i="8"/>
  <c r="BM10" i="8"/>
  <c r="BM11" i="8"/>
  <c r="BM12" i="8"/>
  <c r="BM13" i="8"/>
  <c r="BM14" i="8"/>
  <c r="BM15" i="8"/>
  <c r="BM16" i="8"/>
  <c r="BM17" i="8"/>
  <c r="BM18" i="8"/>
  <c r="BM19" i="8"/>
  <c r="BM20" i="8"/>
  <c r="BM21" i="8"/>
  <c r="BM22" i="8"/>
  <c r="BM23" i="8"/>
  <c r="BM24" i="8"/>
  <c r="BM25" i="8"/>
  <c r="BM26" i="8"/>
  <c r="BM27" i="8"/>
  <c r="BK28" i="8"/>
  <c r="BL28" i="8"/>
  <c r="BM28" i="8"/>
  <c r="BM29" i="8"/>
  <c r="BM30" i="8"/>
  <c r="BM31" i="8"/>
  <c r="BM32" i="8"/>
  <c r="BM33" i="8"/>
  <c r="BM34" i="8"/>
  <c r="BM35" i="8"/>
  <c r="BM36" i="8"/>
  <c r="BM37" i="8"/>
  <c r="BK38" i="8"/>
  <c r="BL38" i="8"/>
  <c r="BM38" i="8"/>
  <c r="BM39" i="8"/>
  <c r="BM40" i="8"/>
  <c r="BM41" i="8"/>
  <c r="BM42" i="8"/>
  <c r="BM43" i="8"/>
  <c r="BM44" i="8"/>
  <c r="BM45" i="8"/>
  <c r="BM46" i="8"/>
  <c r="BM47" i="8"/>
  <c r="BJ6" i="8"/>
  <c r="BJ8" i="8"/>
  <c r="BJ9" i="8"/>
  <c r="BJ10" i="8"/>
  <c r="BJ11" i="8"/>
  <c r="BJ12" i="8"/>
  <c r="BJ13" i="8"/>
  <c r="BJ14" i="8"/>
  <c r="BJ15" i="8"/>
  <c r="BJ16" i="8"/>
  <c r="BJ17" i="8"/>
  <c r="BJ18" i="8"/>
  <c r="BJ19" i="8"/>
  <c r="BJ20" i="8"/>
  <c r="BJ21" i="8"/>
  <c r="BJ22" i="8"/>
  <c r="BJ23" i="8"/>
  <c r="BJ24" i="8"/>
  <c r="BJ25" i="8"/>
  <c r="BJ26" i="8"/>
  <c r="BJ27" i="8"/>
  <c r="BJ28" i="8"/>
  <c r="BJ29" i="8"/>
  <c r="BJ30" i="8"/>
  <c r="BJ31" i="8"/>
  <c r="BJ32" i="8"/>
  <c r="BJ33" i="8"/>
  <c r="BJ34" i="8"/>
  <c r="BJ35" i="8"/>
  <c r="BJ36" i="8"/>
  <c r="BJ37" i="8"/>
  <c r="BJ38" i="8"/>
  <c r="BJ39" i="8"/>
  <c r="BJ40" i="8"/>
  <c r="BJ41" i="8"/>
  <c r="BJ42" i="8"/>
  <c r="BJ43" i="8"/>
  <c r="BJ44" i="8"/>
  <c r="BJ45" i="8"/>
  <c r="BJ46" i="8"/>
  <c r="BJ47" i="8"/>
  <c r="BG28" i="7"/>
  <c r="BI28" i="7"/>
  <c r="BG29" i="7"/>
  <c r="BH29" i="7"/>
  <c r="BI29" i="7"/>
  <c r="BG30" i="7"/>
  <c r="BI30" i="7"/>
  <c r="BG31" i="7"/>
  <c r="BI31" i="7"/>
  <c r="BG32" i="7"/>
  <c r="BI32" i="7"/>
  <c r="BG33" i="7"/>
  <c r="BI33" i="7"/>
  <c r="BG34" i="7"/>
  <c r="BI34" i="7"/>
  <c r="BG35" i="7"/>
  <c r="BI35" i="7"/>
  <c r="BG36" i="7"/>
  <c r="BI36" i="7"/>
  <c r="BG37" i="7"/>
  <c r="BI37" i="7"/>
  <c r="BG38" i="7"/>
  <c r="BI38" i="7"/>
  <c r="BG39" i="7"/>
  <c r="BI39" i="7"/>
  <c r="BG40" i="7"/>
  <c r="BH40" i="7"/>
  <c r="BI40" i="7"/>
  <c r="BG41" i="7"/>
  <c r="BI41" i="7"/>
  <c r="BG42" i="7"/>
  <c r="BI42" i="7"/>
  <c r="BG43" i="7"/>
  <c r="BI43" i="7"/>
  <c r="BG44" i="7"/>
  <c r="BI44" i="7"/>
  <c r="BG45" i="7"/>
  <c r="BI45" i="7"/>
  <c r="BF29" i="7"/>
  <c r="BF30" i="7"/>
  <c r="BF31" i="7"/>
  <c r="BF32" i="7"/>
  <c r="BF33" i="7"/>
  <c r="BF34" i="7"/>
  <c r="BF35" i="7"/>
  <c r="BF36" i="7"/>
  <c r="BF37" i="7"/>
  <c r="BF38" i="7"/>
  <c r="BF39" i="7"/>
  <c r="BF40" i="7"/>
  <c r="BF41" i="7"/>
  <c r="BF42" i="7"/>
  <c r="BF43" i="7"/>
  <c r="BF44" i="7"/>
  <c r="BF45" i="7"/>
  <c r="BF28" i="7"/>
  <c r="BG5" i="7"/>
  <c r="BH5" i="7"/>
  <c r="BI5" i="7"/>
  <c r="BG6" i="7"/>
  <c r="BH6" i="7"/>
  <c r="BI6" i="7"/>
  <c r="BG8" i="7"/>
  <c r="BH8" i="7"/>
  <c r="BI8" i="7"/>
  <c r="BG10" i="7"/>
  <c r="BH10" i="7"/>
  <c r="BI10" i="7"/>
  <c r="BG12" i="7"/>
  <c r="BH12" i="7"/>
  <c r="BI12" i="7"/>
  <c r="BG14" i="7"/>
  <c r="BH14" i="7"/>
  <c r="BI14" i="7"/>
  <c r="BG15" i="7"/>
  <c r="BH15" i="7"/>
  <c r="BI15" i="7"/>
  <c r="BG16" i="7"/>
  <c r="BH16" i="7"/>
  <c r="BI16" i="7"/>
  <c r="BG17" i="7"/>
  <c r="BI17" i="7"/>
  <c r="BG18" i="7"/>
  <c r="BI18" i="7"/>
  <c r="BG19" i="7"/>
  <c r="BI19" i="7"/>
  <c r="BG20" i="7"/>
  <c r="BI20" i="7"/>
  <c r="BG21" i="7"/>
  <c r="BI21" i="7"/>
  <c r="BG22" i="7"/>
  <c r="BI22" i="7"/>
  <c r="BG23" i="7"/>
  <c r="BI23" i="7"/>
  <c r="BG24" i="7"/>
  <c r="BI24" i="7"/>
  <c r="BG25" i="7"/>
  <c r="BI25" i="7"/>
  <c r="BF6" i="7"/>
  <c r="BF8" i="7"/>
  <c r="BF10" i="7"/>
  <c r="BF12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5" i="7"/>
  <c r="BG5" i="5"/>
  <c r="BH5" i="5"/>
  <c r="BI5" i="5"/>
  <c r="BG6" i="5"/>
  <c r="BH6" i="5"/>
  <c r="BI6" i="5"/>
  <c r="BG8" i="5"/>
  <c r="BH8" i="5"/>
  <c r="BI8" i="5"/>
  <c r="BG13" i="5"/>
  <c r="BI13" i="5"/>
  <c r="BG15" i="5"/>
  <c r="BI15" i="5"/>
  <c r="BF6" i="5"/>
  <c r="BF8" i="5"/>
  <c r="BF13" i="5"/>
  <c r="BF15" i="5"/>
  <c r="BF5" i="5"/>
  <c r="BG5" i="4"/>
  <c r="BH5" i="4"/>
  <c r="BI5" i="4"/>
  <c r="BG6" i="4"/>
  <c r="BH6" i="4"/>
  <c r="BI6" i="4"/>
  <c r="BG8" i="4"/>
  <c r="BH8" i="4"/>
  <c r="BI8" i="4"/>
  <c r="BG9" i="4"/>
  <c r="BI9" i="4"/>
  <c r="BG12" i="4"/>
  <c r="BI12" i="4"/>
  <c r="BG13" i="4"/>
  <c r="BI13" i="4"/>
  <c r="BG14" i="4"/>
  <c r="BI14" i="4"/>
  <c r="BG15" i="4"/>
  <c r="BI15" i="4"/>
  <c r="BG16" i="4"/>
  <c r="BI16" i="4"/>
  <c r="BG18" i="4"/>
  <c r="BI18" i="4"/>
  <c r="BG19" i="4"/>
  <c r="BI19" i="4"/>
  <c r="BG21" i="4"/>
  <c r="BI21" i="4"/>
  <c r="BG23" i="4"/>
  <c r="BI23" i="4"/>
  <c r="BG24" i="4"/>
  <c r="BI24" i="4"/>
  <c r="BG25" i="4"/>
  <c r="BI25" i="4"/>
  <c r="BF6" i="4"/>
  <c r="BF8" i="4"/>
  <c r="BF9" i="4"/>
  <c r="BF12" i="4"/>
  <c r="BF13" i="4"/>
  <c r="BF14" i="4"/>
  <c r="BF15" i="4"/>
  <c r="BF16" i="4"/>
  <c r="BF18" i="4"/>
  <c r="BF19" i="4"/>
  <c r="BF21" i="4"/>
  <c r="BF23" i="4"/>
  <c r="BF24" i="4"/>
  <c r="BF25" i="4"/>
  <c r="BF5" i="4"/>
  <c r="BG5" i="1"/>
  <c r="BH5" i="1"/>
  <c r="BI5" i="1"/>
  <c r="BG6" i="1"/>
  <c r="BH6" i="1"/>
  <c r="BI6" i="1"/>
  <c r="BG8" i="1"/>
  <c r="BH8" i="1"/>
  <c r="BI8" i="1"/>
  <c r="BG10" i="1"/>
  <c r="BI10" i="1"/>
  <c r="BG12" i="1"/>
  <c r="BI12" i="1"/>
  <c r="BG13" i="1"/>
  <c r="BI13" i="1"/>
  <c r="BG14" i="1"/>
  <c r="BI14" i="1"/>
  <c r="BG15" i="1"/>
  <c r="BH15" i="1"/>
  <c r="BI15" i="1"/>
  <c r="BG17" i="1"/>
  <c r="BI17" i="1"/>
  <c r="BG18" i="1"/>
  <c r="BI18" i="1"/>
  <c r="BG20" i="1"/>
  <c r="BH20" i="1"/>
  <c r="BI20" i="1"/>
  <c r="BF6" i="1"/>
  <c r="BF8" i="1"/>
  <c r="BF10" i="1"/>
  <c r="BF12" i="1"/>
  <c r="BF13" i="1"/>
  <c r="BF14" i="1"/>
  <c r="BF15" i="1"/>
  <c r="BF17" i="1"/>
  <c r="BF18" i="1"/>
  <c r="BF20" i="1"/>
  <c r="BF5" i="1"/>
  <c r="BG5" i="8"/>
  <c r="BH5" i="8"/>
  <c r="BI5" i="8"/>
  <c r="BG6" i="8"/>
  <c r="BH6" i="8"/>
  <c r="BI6" i="8"/>
  <c r="BG8" i="8"/>
  <c r="BH8" i="8"/>
  <c r="BI8" i="8"/>
  <c r="BI10" i="8"/>
  <c r="BI11" i="8"/>
  <c r="BI12" i="8"/>
  <c r="BI13" i="8"/>
  <c r="BI14" i="8"/>
  <c r="BG15" i="8"/>
  <c r="BI15" i="8"/>
  <c r="BI16" i="8"/>
  <c r="BI17" i="8"/>
  <c r="BI18" i="8"/>
  <c r="BI19" i="8"/>
  <c r="BI20" i="8"/>
  <c r="BG21" i="8"/>
  <c r="BI21" i="8"/>
  <c r="BG22" i="8"/>
  <c r="BI22" i="8"/>
  <c r="BI23" i="8"/>
  <c r="BG24" i="8"/>
  <c r="BI24" i="8"/>
  <c r="BG25" i="8"/>
  <c r="BI25" i="8"/>
  <c r="BG26" i="8"/>
  <c r="BG27" i="8"/>
  <c r="BI27" i="8"/>
  <c r="BG28" i="8"/>
  <c r="BH28" i="8"/>
  <c r="BI28" i="8"/>
  <c r="BI30" i="8"/>
  <c r="BI31" i="8"/>
  <c r="BG32" i="8"/>
  <c r="BI32" i="8"/>
  <c r="BG34" i="8"/>
  <c r="BI34" i="8"/>
  <c r="BI35" i="8"/>
  <c r="BG36" i="8"/>
  <c r="BI36" i="8"/>
  <c r="BG37" i="8"/>
  <c r="BI37" i="8"/>
  <c r="BG38" i="8"/>
  <c r="BH38" i="8"/>
  <c r="BI38" i="8"/>
  <c r="BF6" i="8"/>
  <c r="BF8" i="8"/>
  <c r="BF10" i="8"/>
  <c r="BF11" i="8"/>
  <c r="BF12" i="8"/>
  <c r="BF13" i="8"/>
  <c r="BF14" i="8"/>
  <c r="BF15" i="8"/>
  <c r="BF16" i="8"/>
  <c r="BF17" i="8"/>
  <c r="BF18" i="8"/>
  <c r="BF19" i="8"/>
  <c r="BF20" i="8"/>
  <c r="BF21" i="8"/>
  <c r="BF22" i="8"/>
  <c r="BF23" i="8"/>
  <c r="BF24" i="8"/>
  <c r="BF25" i="8"/>
  <c r="BF26" i="8"/>
  <c r="BF27" i="8"/>
  <c r="BF28" i="8"/>
  <c r="BF30" i="8"/>
  <c r="BF31" i="8"/>
  <c r="BF32" i="8"/>
  <c r="BF34" i="8"/>
  <c r="BF35" i="8"/>
  <c r="BF36" i="8"/>
  <c r="BF37" i="8"/>
  <c r="BF38" i="8"/>
  <c r="BF5" i="8"/>
  <c r="BE45" i="7"/>
  <c r="BB45" i="7"/>
  <c r="BE44" i="7"/>
  <c r="BB44" i="7"/>
  <c r="BE43" i="7"/>
  <c r="BB43" i="7"/>
  <c r="BE42" i="7"/>
  <c r="BB42" i="7"/>
  <c r="BE41" i="7"/>
  <c r="BB41" i="7"/>
  <c r="BE40" i="7"/>
  <c r="BD40" i="7"/>
  <c r="BC40" i="7"/>
  <c r="BB40" i="7"/>
  <c r="BE39" i="7"/>
  <c r="BB39" i="7"/>
  <c r="BE38" i="7"/>
  <c r="BB38" i="7"/>
  <c r="BE37" i="7"/>
  <c r="BB37" i="7"/>
  <c r="BE36" i="7"/>
  <c r="BB36" i="7"/>
  <c r="BE35" i="7"/>
  <c r="BB35" i="7"/>
  <c r="BE34" i="7"/>
  <c r="BB34" i="7"/>
  <c r="BE33" i="7"/>
  <c r="BB33" i="7"/>
  <c r="BE32" i="7"/>
  <c r="BB32" i="7"/>
  <c r="BE31" i="7"/>
  <c r="BB31" i="7"/>
  <c r="BE30" i="7"/>
  <c r="BB30" i="7"/>
  <c r="BE29" i="7"/>
  <c r="BD29" i="7"/>
  <c r="BC29" i="7"/>
  <c r="BB29" i="7"/>
  <c r="BE28" i="7"/>
  <c r="BB28" i="7"/>
  <c r="BE25" i="7"/>
  <c r="BB25" i="7"/>
  <c r="BE24" i="7"/>
  <c r="BB24" i="7"/>
  <c r="BE23" i="7"/>
  <c r="BB23" i="7"/>
  <c r="BE22" i="7"/>
  <c r="BB22" i="7"/>
  <c r="BE21" i="7"/>
  <c r="BB21" i="7"/>
  <c r="BE20" i="7"/>
  <c r="BB20" i="7"/>
  <c r="BE19" i="7"/>
  <c r="BB19" i="7"/>
  <c r="BE18" i="7"/>
  <c r="BB18" i="7"/>
  <c r="BE17" i="7"/>
  <c r="BB17" i="7"/>
  <c r="BE16" i="7"/>
  <c r="BD16" i="7"/>
  <c r="BC16" i="7"/>
  <c r="BB16" i="7"/>
  <c r="BE15" i="7"/>
  <c r="BD15" i="7"/>
  <c r="BC15" i="7"/>
  <c r="BB15" i="7"/>
  <c r="BE14" i="7"/>
  <c r="BD14" i="7"/>
  <c r="BC14" i="7"/>
  <c r="BB14" i="7"/>
  <c r="BE13" i="7"/>
  <c r="BB13" i="7"/>
  <c r="BE12" i="7"/>
  <c r="BD12" i="7"/>
  <c r="BC12" i="7"/>
  <c r="BB12" i="7"/>
  <c r="BE11" i="7"/>
  <c r="BB11" i="7"/>
  <c r="BE10" i="7"/>
  <c r="BD10" i="7"/>
  <c r="BC10" i="7"/>
  <c r="BB10" i="7"/>
  <c r="BE8" i="7"/>
  <c r="BD8" i="7"/>
  <c r="BC8" i="7"/>
  <c r="BB8" i="7"/>
  <c r="BE6" i="7"/>
  <c r="BD6" i="7"/>
  <c r="BC6" i="7"/>
  <c r="BB6" i="7"/>
  <c r="BE5" i="7"/>
  <c r="BD5" i="7"/>
  <c r="BC5" i="7"/>
  <c r="BE15" i="5"/>
  <c r="BB15" i="5"/>
  <c r="BE14" i="5"/>
  <c r="BB14" i="5"/>
  <c r="BE13" i="5"/>
  <c r="BB13" i="5"/>
  <c r="BE12" i="5"/>
  <c r="BB12" i="5"/>
  <c r="BE11" i="5"/>
  <c r="BB11" i="5"/>
  <c r="BE10" i="5"/>
  <c r="BB10" i="5"/>
  <c r="BE9" i="5"/>
  <c r="BB9" i="5"/>
  <c r="BE8" i="5"/>
  <c r="BD8" i="5"/>
  <c r="BC8" i="5"/>
  <c r="BB8" i="5"/>
  <c r="BE6" i="5"/>
  <c r="BD6" i="5"/>
  <c r="BC6" i="5"/>
  <c r="BB6" i="5"/>
  <c r="BE5" i="5"/>
  <c r="BD5" i="5"/>
  <c r="BC5" i="5"/>
  <c r="BE25" i="4"/>
  <c r="BB25" i="4"/>
  <c r="BE24" i="4"/>
  <c r="BB24" i="4"/>
  <c r="BE23" i="4"/>
  <c r="BB23" i="4"/>
  <c r="BE22" i="4"/>
  <c r="BB22" i="4"/>
  <c r="BE21" i="4"/>
  <c r="BB21" i="4"/>
  <c r="BE20" i="4"/>
  <c r="BB20" i="4"/>
  <c r="BE19" i="4"/>
  <c r="BB19" i="4"/>
  <c r="BE18" i="4"/>
  <c r="BB18" i="4"/>
  <c r="BE17" i="4"/>
  <c r="BB17" i="4"/>
  <c r="BE16" i="4"/>
  <c r="BB16" i="4"/>
  <c r="BE15" i="4"/>
  <c r="BB15" i="4"/>
  <c r="BE14" i="4"/>
  <c r="BB14" i="4"/>
  <c r="BE13" i="4"/>
  <c r="BB13" i="4"/>
  <c r="BE12" i="4"/>
  <c r="BB12" i="4"/>
  <c r="BE11" i="4"/>
  <c r="BB11" i="4"/>
  <c r="BE10" i="4"/>
  <c r="BB10" i="4"/>
  <c r="BE9" i="4"/>
  <c r="BB9" i="4"/>
  <c r="BE8" i="4"/>
  <c r="BD8" i="4"/>
  <c r="BC8" i="4"/>
  <c r="BB8" i="4"/>
  <c r="BE6" i="4"/>
  <c r="BD6" i="4"/>
  <c r="BC6" i="4"/>
  <c r="BB6" i="4"/>
  <c r="BE5" i="4"/>
  <c r="BD5" i="4"/>
  <c r="BC5" i="4"/>
  <c r="BE24" i="1"/>
  <c r="BB24" i="1"/>
  <c r="BE23" i="1"/>
  <c r="BB23" i="1"/>
  <c r="BE22" i="1"/>
  <c r="BB22" i="1"/>
  <c r="BE21" i="1"/>
  <c r="BB21" i="1"/>
  <c r="BE20" i="1"/>
  <c r="BD20" i="1"/>
  <c r="BC20" i="1"/>
  <c r="BB20" i="1"/>
  <c r="BE19" i="1"/>
  <c r="BB19" i="1"/>
  <c r="BE18" i="1"/>
  <c r="BB18" i="1"/>
  <c r="BE17" i="1"/>
  <c r="BB17" i="1"/>
  <c r="BE16" i="1"/>
  <c r="BB16" i="1"/>
  <c r="BE15" i="1"/>
  <c r="BD15" i="1"/>
  <c r="BC15" i="1"/>
  <c r="BB15" i="1"/>
  <c r="BE13" i="1"/>
  <c r="BB13" i="1"/>
  <c r="BE12" i="1"/>
  <c r="BB12" i="1"/>
  <c r="BE11" i="1"/>
  <c r="BB11" i="1"/>
  <c r="BE10" i="1"/>
  <c r="BB10" i="1"/>
  <c r="BE8" i="1"/>
  <c r="BD8" i="1"/>
  <c r="BC8" i="1"/>
  <c r="BB8" i="1"/>
  <c r="BE6" i="1"/>
  <c r="BD6" i="1"/>
  <c r="BC6" i="1"/>
  <c r="BB6" i="1"/>
  <c r="BE5" i="1"/>
  <c r="BD5" i="1"/>
  <c r="BC5" i="1"/>
  <c r="BE47" i="8"/>
  <c r="BB47" i="8"/>
  <c r="BE46" i="8"/>
  <c r="BB46" i="8"/>
  <c r="BE45" i="8"/>
  <c r="BB45" i="8"/>
  <c r="BE44" i="8"/>
  <c r="BB44" i="8"/>
  <c r="BE43" i="8"/>
  <c r="BB43" i="8"/>
  <c r="BE42" i="8"/>
  <c r="BB42" i="8"/>
  <c r="BE41" i="8"/>
  <c r="BB41" i="8"/>
  <c r="BE40" i="8"/>
  <c r="BB40" i="8"/>
  <c r="BE39" i="8"/>
  <c r="BB39" i="8"/>
  <c r="BE38" i="8"/>
  <c r="BD38" i="8"/>
  <c r="BC38" i="8"/>
  <c r="BB38" i="8"/>
  <c r="BE37" i="8"/>
  <c r="BB37" i="8"/>
  <c r="BE36" i="8"/>
  <c r="BB36" i="8"/>
  <c r="BE35" i="8"/>
  <c r="BB35" i="8"/>
  <c r="BE34" i="8"/>
  <c r="BB34" i="8"/>
  <c r="BE33" i="8"/>
  <c r="BB33" i="8"/>
  <c r="BE32" i="8"/>
  <c r="BB32" i="8"/>
  <c r="BE31" i="8"/>
  <c r="BB31" i="8"/>
  <c r="BE30" i="8"/>
  <c r="BB30" i="8"/>
  <c r="BE29" i="8"/>
  <c r="BB29" i="8"/>
  <c r="BE28" i="8"/>
  <c r="BD28" i="8"/>
  <c r="BC28" i="8"/>
  <c r="BB28" i="8"/>
  <c r="BB27" i="8"/>
  <c r="BE26" i="8"/>
  <c r="BB26" i="8"/>
  <c r="BE25" i="8"/>
  <c r="BB25" i="8"/>
  <c r="BE24" i="8"/>
  <c r="BB24" i="8"/>
  <c r="BE23" i="8"/>
  <c r="BB23" i="8"/>
  <c r="BE22" i="8"/>
  <c r="BB22" i="8"/>
  <c r="BE21" i="8"/>
  <c r="BB21" i="8"/>
  <c r="BE20" i="8"/>
  <c r="BB20" i="8"/>
  <c r="BE19" i="8"/>
  <c r="BB19" i="8"/>
  <c r="BE18" i="8"/>
  <c r="BB18" i="8"/>
  <c r="BE17" i="8"/>
  <c r="BB17" i="8"/>
  <c r="BE16" i="8"/>
  <c r="BB16" i="8"/>
  <c r="BE15" i="8"/>
  <c r="BB15" i="8"/>
  <c r="BE14" i="8"/>
  <c r="BB14" i="8"/>
  <c r="BE13" i="8"/>
  <c r="BB13" i="8"/>
  <c r="BE12" i="8"/>
  <c r="BB12" i="8"/>
  <c r="BE11" i="8"/>
  <c r="BB11" i="8"/>
  <c r="BE10" i="8"/>
  <c r="BB10" i="8"/>
  <c r="BE8" i="8"/>
  <c r="BD8" i="8"/>
  <c r="BC8" i="8"/>
  <c r="BB8" i="8"/>
  <c r="BE6" i="8"/>
  <c r="BD6" i="8"/>
  <c r="BC6" i="8"/>
  <c r="BB6" i="8"/>
  <c r="BE5" i="8"/>
  <c r="BD5" i="8"/>
  <c r="BC5" i="8"/>
  <c r="BB5" i="8"/>
  <c r="AX40" i="7"/>
  <c r="AY40" i="7"/>
  <c r="AZ40" i="7"/>
  <c r="BA40" i="7"/>
  <c r="AX41" i="7"/>
  <c r="BA41" i="7"/>
  <c r="AX42" i="7"/>
  <c r="BA42" i="7"/>
  <c r="AX43" i="7"/>
  <c r="BA43" i="7"/>
  <c r="AX44" i="7"/>
  <c r="BA44" i="7"/>
  <c r="AX45" i="7"/>
  <c r="BA45" i="7"/>
  <c r="AX29" i="7"/>
  <c r="AY29" i="7"/>
  <c r="AZ29" i="7"/>
  <c r="BA29" i="7"/>
  <c r="AX30" i="7"/>
  <c r="BA30" i="7"/>
  <c r="AX31" i="7"/>
  <c r="BA31" i="7"/>
  <c r="AX32" i="7"/>
  <c r="BA32" i="7"/>
  <c r="AX33" i="7"/>
  <c r="BA33" i="7"/>
  <c r="AX34" i="7"/>
  <c r="BA34" i="7"/>
  <c r="AX35" i="7"/>
  <c r="BA35" i="7"/>
  <c r="AX36" i="7"/>
  <c r="BA36" i="7"/>
  <c r="AX37" i="7"/>
  <c r="BA37" i="7"/>
  <c r="AX39" i="7"/>
  <c r="BA39" i="7"/>
  <c r="AX6" i="7"/>
  <c r="AY6" i="7"/>
  <c r="AZ6" i="7"/>
  <c r="BA6" i="7"/>
  <c r="AX7" i="7"/>
  <c r="BA7" i="7"/>
  <c r="AX8" i="7"/>
  <c r="AY8" i="7"/>
  <c r="AZ8" i="7"/>
  <c r="BA8" i="7"/>
  <c r="AX9" i="7"/>
  <c r="BA9" i="7"/>
  <c r="AX10" i="7"/>
  <c r="AZ10" i="7"/>
  <c r="BA10" i="7"/>
  <c r="AX11" i="7"/>
  <c r="BA11" i="7"/>
  <c r="AX12" i="7"/>
  <c r="AY12" i="7"/>
  <c r="AZ12" i="7"/>
  <c r="BA12" i="7"/>
  <c r="AX13" i="7"/>
  <c r="BA13" i="7"/>
  <c r="AX14" i="7"/>
  <c r="AY14" i="7"/>
  <c r="AZ14" i="7"/>
  <c r="BA14" i="7"/>
  <c r="AX15" i="7"/>
  <c r="AY15" i="7"/>
  <c r="AZ15" i="7"/>
  <c r="BA15" i="7"/>
  <c r="AX16" i="7"/>
  <c r="AY16" i="7"/>
  <c r="AZ16" i="7"/>
  <c r="BA16" i="7"/>
  <c r="AX17" i="7"/>
  <c r="BA17" i="7"/>
  <c r="AX18" i="7"/>
  <c r="BA18" i="7"/>
  <c r="AX19" i="7"/>
  <c r="BA19" i="7"/>
  <c r="AX20" i="7"/>
  <c r="BA20" i="7"/>
  <c r="AX21" i="7"/>
  <c r="BA21" i="7"/>
  <c r="AX22" i="7"/>
  <c r="BA22" i="7"/>
  <c r="AX23" i="7"/>
  <c r="BA23" i="7"/>
  <c r="AX24" i="7"/>
  <c r="BA24" i="7"/>
  <c r="AX25" i="7"/>
  <c r="BA25" i="7"/>
  <c r="AX28" i="7"/>
  <c r="BA28" i="7"/>
  <c r="AY5" i="7"/>
  <c r="AZ5" i="7"/>
  <c r="BA5" i="7"/>
  <c r="AT40" i="7"/>
  <c r="AU40" i="7"/>
  <c r="AV40" i="7"/>
  <c r="AW40" i="7"/>
  <c r="AT41" i="7"/>
  <c r="AU41" i="7"/>
  <c r="AV41" i="7"/>
  <c r="AW41" i="7"/>
  <c r="AT42" i="7"/>
  <c r="AU42" i="7"/>
  <c r="AV42" i="7"/>
  <c r="AW42" i="7"/>
  <c r="AT43" i="7"/>
  <c r="AU43" i="7"/>
  <c r="AV43" i="7"/>
  <c r="AW43" i="7"/>
  <c r="AT44" i="7"/>
  <c r="AU44" i="7"/>
  <c r="AV44" i="7"/>
  <c r="AW44" i="7"/>
  <c r="AT45" i="7"/>
  <c r="AU45" i="7"/>
  <c r="AV45" i="7"/>
  <c r="AW45" i="7"/>
  <c r="AT29" i="7"/>
  <c r="AU29" i="7"/>
  <c r="AV29" i="7"/>
  <c r="AW29" i="7"/>
  <c r="AT30" i="7"/>
  <c r="AU30" i="7"/>
  <c r="AV30" i="7"/>
  <c r="AW30" i="7"/>
  <c r="AT31" i="7"/>
  <c r="AU31" i="7"/>
  <c r="AV31" i="7"/>
  <c r="AW31" i="7"/>
  <c r="AT32" i="7"/>
  <c r="AU32" i="7"/>
  <c r="AV32" i="7"/>
  <c r="AW32" i="7"/>
  <c r="AT33" i="7"/>
  <c r="AU33" i="7"/>
  <c r="AV33" i="7"/>
  <c r="AW33" i="7"/>
  <c r="AT34" i="7"/>
  <c r="AU34" i="7"/>
  <c r="AV34" i="7"/>
  <c r="AW34" i="7"/>
  <c r="AT35" i="7"/>
  <c r="AU35" i="7"/>
  <c r="AV35" i="7"/>
  <c r="AW35" i="7"/>
  <c r="AT36" i="7"/>
  <c r="AU36" i="7"/>
  <c r="AV36" i="7"/>
  <c r="AW36" i="7"/>
  <c r="AT37" i="7"/>
  <c r="AU37" i="7"/>
  <c r="AV37" i="7"/>
  <c r="AW37" i="7"/>
  <c r="AT39" i="7"/>
  <c r="AU39" i="7"/>
  <c r="AV39" i="7"/>
  <c r="AW39" i="7"/>
  <c r="AT6" i="7"/>
  <c r="AU6" i="7"/>
  <c r="AV6" i="7"/>
  <c r="AW6" i="7"/>
  <c r="AT7" i="7"/>
  <c r="AU7" i="7"/>
  <c r="AV7" i="7"/>
  <c r="AW7" i="7"/>
  <c r="AT8" i="7"/>
  <c r="AU8" i="7"/>
  <c r="AV8" i="7"/>
  <c r="AW8" i="7"/>
  <c r="AT9" i="7"/>
  <c r="AV9" i="7"/>
  <c r="H42" i="9" s="1"/>
  <c r="AW9" i="7"/>
  <c r="AT10" i="7"/>
  <c r="AU10" i="7"/>
  <c r="AV10" i="7"/>
  <c r="AW10" i="7"/>
  <c r="AT11" i="7"/>
  <c r="AV11" i="7"/>
  <c r="AW11" i="7"/>
  <c r="AT12" i="7"/>
  <c r="AU12" i="7"/>
  <c r="AV12" i="7"/>
  <c r="AW12" i="7"/>
  <c r="AT13" i="7"/>
  <c r="AV13" i="7"/>
  <c r="AW13" i="7"/>
  <c r="AT14" i="7"/>
  <c r="AU14" i="7"/>
  <c r="AV14" i="7"/>
  <c r="AW14" i="7"/>
  <c r="AT15" i="7"/>
  <c r="AU15" i="7"/>
  <c r="AV15" i="7"/>
  <c r="AW15" i="7"/>
  <c r="AT16" i="7"/>
  <c r="AU16" i="7"/>
  <c r="AV16" i="7"/>
  <c r="AW16" i="7"/>
  <c r="AT17" i="7"/>
  <c r="AU17" i="7"/>
  <c r="AV17" i="7"/>
  <c r="AW17" i="7"/>
  <c r="AT18" i="7"/>
  <c r="AU18" i="7"/>
  <c r="AV18" i="7"/>
  <c r="AW18" i="7"/>
  <c r="AT19" i="7"/>
  <c r="AU19" i="7"/>
  <c r="AV19" i="7"/>
  <c r="AW19" i="7"/>
  <c r="AT20" i="7"/>
  <c r="AU20" i="7"/>
  <c r="AV20" i="7"/>
  <c r="AW20" i="7"/>
  <c r="AT21" i="7"/>
  <c r="AU21" i="7"/>
  <c r="AV21" i="7"/>
  <c r="AW21" i="7"/>
  <c r="AT22" i="7"/>
  <c r="AU22" i="7"/>
  <c r="AV22" i="7"/>
  <c r="AW22" i="7"/>
  <c r="AT23" i="7"/>
  <c r="AU23" i="7"/>
  <c r="AV23" i="7"/>
  <c r="AW23" i="7"/>
  <c r="AT24" i="7"/>
  <c r="AU24" i="7"/>
  <c r="AV24" i="7"/>
  <c r="AW24" i="7"/>
  <c r="AT25" i="7"/>
  <c r="AU25" i="7"/>
  <c r="AV25" i="7"/>
  <c r="AW25" i="7"/>
  <c r="AT28" i="7"/>
  <c r="AU28" i="7"/>
  <c r="AV28" i="7"/>
  <c r="AW28" i="7"/>
  <c r="AP6" i="7"/>
  <c r="AQ6" i="7"/>
  <c r="AR6" i="7"/>
  <c r="AS6" i="7"/>
  <c r="AP7" i="7"/>
  <c r="AQ7" i="7"/>
  <c r="AR7" i="7"/>
  <c r="AS7" i="7"/>
  <c r="AP8" i="7"/>
  <c r="AQ8" i="7"/>
  <c r="AR8" i="7"/>
  <c r="AS8" i="7"/>
  <c r="AP9" i="7"/>
  <c r="AR9" i="7"/>
  <c r="H41" i="9" s="1"/>
  <c r="AS9" i="7"/>
  <c r="AP10" i="7"/>
  <c r="AQ10" i="7"/>
  <c r="AR10" i="7"/>
  <c r="AS10" i="7"/>
  <c r="AP11" i="7"/>
  <c r="AR11" i="7"/>
  <c r="AS11" i="7"/>
  <c r="AP12" i="7"/>
  <c r="AQ12" i="7"/>
  <c r="AR12" i="7"/>
  <c r="AS12" i="7"/>
  <c r="AP13" i="7"/>
  <c r="AR13" i="7"/>
  <c r="AS13" i="7"/>
  <c r="AP14" i="7"/>
  <c r="AQ14" i="7"/>
  <c r="AR14" i="7"/>
  <c r="AS14" i="7"/>
  <c r="AP15" i="7"/>
  <c r="AQ15" i="7"/>
  <c r="AR15" i="7"/>
  <c r="AS15" i="7"/>
  <c r="AP16" i="7"/>
  <c r="AQ16" i="7"/>
  <c r="AR16" i="7"/>
  <c r="AS16" i="7"/>
  <c r="AP17" i="7"/>
  <c r="AQ17" i="7"/>
  <c r="AR17" i="7"/>
  <c r="AS17" i="7"/>
  <c r="AP18" i="7"/>
  <c r="AQ18" i="7"/>
  <c r="AR18" i="7"/>
  <c r="AS18" i="7"/>
  <c r="AP19" i="7"/>
  <c r="AQ19" i="7"/>
  <c r="AR19" i="7"/>
  <c r="AS19" i="7"/>
  <c r="AP20" i="7"/>
  <c r="AQ20" i="7"/>
  <c r="AR20" i="7"/>
  <c r="AS20" i="7"/>
  <c r="AP21" i="7"/>
  <c r="AQ21" i="7"/>
  <c r="AR21" i="7"/>
  <c r="AS21" i="7"/>
  <c r="AP22" i="7"/>
  <c r="AQ22" i="7"/>
  <c r="AR22" i="7"/>
  <c r="AS22" i="7"/>
  <c r="AP23" i="7"/>
  <c r="AQ23" i="7"/>
  <c r="AR23" i="7"/>
  <c r="AS23" i="7"/>
  <c r="AP24" i="7"/>
  <c r="AQ24" i="7"/>
  <c r="AR24" i="7"/>
  <c r="AS24" i="7"/>
  <c r="AP25" i="7"/>
  <c r="AQ25" i="7"/>
  <c r="AR25" i="7"/>
  <c r="AS25" i="7"/>
  <c r="AP26" i="7"/>
  <c r="AQ26" i="7"/>
  <c r="AR26" i="7"/>
  <c r="AS26" i="7"/>
  <c r="AP28" i="7"/>
  <c r="AQ28" i="7"/>
  <c r="AR28" i="7"/>
  <c r="AS28" i="7"/>
  <c r="AP29" i="7"/>
  <c r="AQ29" i="7"/>
  <c r="AR29" i="7"/>
  <c r="AS29" i="7"/>
  <c r="AP30" i="7"/>
  <c r="AQ30" i="7"/>
  <c r="AR30" i="7"/>
  <c r="AS30" i="7"/>
  <c r="AP31" i="7"/>
  <c r="AQ31" i="7"/>
  <c r="AR31" i="7"/>
  <c r="AS31" i="7"/>
  <c r="AP32" i="7"/>
  <c r="AQ32" i="7"/>
  <c r="AR32" i="7"/>
  <c r="AS32" i="7"/>
  <c r="AP33" i="7"/>
  <c r="AQ33" i="7"/>
  <c r="AR33" i="7"/>
  <c r="AS33" i="7"/>
  <c r="AP34" i="7"/>
  <c r="AQ34" i="7"/>
  <c r="AR34" i="7"/>
  <c r="AS34" i="7"/>
  <c r="AP35" i="7"/>
  <c r="AQ35" i="7"/>
  <c r="AR35" i="7"/>
  <c r="AS35" i="7"/>
  <c r="AP36" i="7"/>
  <c r="AQ36" i="7"/>
  <c r="AR36" i="7"/>
  <c r="AS36" i="7"/>
  <c r="AP37" i="7"/>
  <c r="AQ37" i="7"/>
  <c r="AR37" i="7"/>
  <c r="AS37" i="7"/>
  <c r="AP38" i="7"/>
  <c r="AQ38" i="7"/>
  <c r="AR38" i="7"/>
  <c r="AS38" i="7"/>
  <c r="AP39" i="7"/>
  <c r="AQ39" i="7"/>
  <c r="AR39" i="7"/>
  <c r="AS39" i="7"/>
  <c r="AP40" i="7"/>
  <c r="AQ40" i="7"/>
  <c r="AR40" i="7"/>
  <c r="AS40" i="7"/>
  <c r="AP41" i="7"/>
  <c r="AQ41" i="7"/>
  <c r="AR41" i="7"/>
  <c r="AS41" i="7"/>
  <c r="AP42" i="7"/>
  <c r="AQ42" i="7"/>
  <c r="AR42" i="7"/>
  <c r="AS42" i="7"/>
  <c r="AP43" i="7"/>
  <c r="AQ43" i="7"/>
  <c r="AR43" i="7"/>
  <c r="AS43" i="7"/>
  <c r="AP44" i="7"/>
  <c r="AQ44" i="7"/>
  <c r="AR44" i="7"/>
  <c r="AS44" i="7"/>
  <c r="AP45" i="7"/>
  <c r="AQ45" i="7"/>
  <c r="AR45" i="7"/>
  <c r="AS45" i="7"/>
  <c r="AU5" i="7"/>
  <c r="AV5" i="7"/>
  <c r="AW5" i="7"/>
  <c r="AQ5" i="7"/>
  <c r="AR5" i="7"/>
  <c r="AS5" i="7"/>
  <c r="AH40" i="7"/>
  <c r="AI40" i="7"/>
  <c r="AJ40" i="7"/>
  <c r="AK40" i="7"/>
  <c r="AL40" i="7"/>
  <c r="AM40" i="7"/>
  <c r="AN40" i="7"/>
  <c r="AO40" i="7"/>
  <c r="AH41" i="7"/>
  <c r="AI41" i="7"/>
  <c r="AJ41" i="7"/>
  <c r="AK41" i="7"/>
  <c r="AL41" i="7"/>
  <c r="AM41" i="7"/>
  <c r="AN41" i="7"/>
  <c r="AO41" i="7"/>
  <c r="AH42" i="7"/>
  <c r="AI42" i="7"/>
  <c r="AJ42" i="7"/>
  <c r="AK42" i="7"/>
  <c r="AL42" i="7"/>
  <c r="AM42" i="7"/>
  <c r="AN42" i="7"/>
  <c r="AO42" i="7"/>
  <c r="AH43" i="7"/>
  <c r="AI43" i="7"/>
  <c r="AJ43" i="7"/>
  <c r="AK43" i="7"/>
  <c r="AL43" i="7"/>
  <c r="AM43" i="7"/>
  <c r="AN43" i="7"/>
  <c r="AO43" i="7"/>
  <c r="AH44" i="7"/>
  <c r="AI44" i="7"/>
  <c r="AJ44" i="7"/>
  <c r="AK44" i="7"/>
  <c r="AL44" i="7"/>
  <c r="AM44" i="7"/>
  <c r="AN44" i="7"/>
  <c r="AO44" i="7"/>
  <c r="AH45" i="7"/>
  <c r="AI45" i="7"/>
  <c r="AJ45" i="7"/>
  <c r="AK45" i="7"/>
  <c r="AL45" i="7"/>
  <c r="AM45" i="7"/>
  <c r="AN45" i="7"/>
  <c r="AO45" i="7"/>
  <c r="AL39" i="7"/>
  <c r="AM39" i="7"/>
  <c r="AN39" i="7"/>
  <c r="AO39" i="7"/>
  <c r="AH29" i="7"/>
  <c r="AI29" i="7"/>
  <c r="AJ29" i="7"/>
  <c r="AK29" i="7"/>
  <c r="AL29" i="7"/>
  <c r="AM29" i="7"/>
  <c r="AN29" i="7"/>
  <c r="AO29" i="7"/>
  <c r="AH30" i="7"/>
  <c r="AI30" i="7"/>
  <c r="AJ30" i="7"/>
  <c r="AK30" i="7"/>
  <c r="AL30" i="7"/>
  <c r="AM30" i="7"/>
  <c r="AN30" i="7"/>
  <c r="AO30" i="7"/>
  <c r="AH31" i="7"/>
  <c r="AI31" i="7"/>
  <c r="AJ31" i="7"/>
  <c r="AK31" i="7"/>
  <c r="AL31" i="7"/>
  <c r="AM31" i="7"/>
  <c r="AN31" i="7"/>
  <c r="AO31" i="7"/>
  <c r="AH32" i="7"/>
  <c r="AI32" i="7"/>
  <c r="AJ32" i="7"/>
  <c r="AK32" i="7"/>
  <c r="AL32" i="7"/>
  <c r="AM32" i="7"/>
  <c r="AN32" i="7"/>
  <c r="AO32" i="7"/>
  <c r="AH33" i="7"/>
  <c r="AI33" i="7"/>
  <c r="AJ33" i="7"/>
  <c r="AK33" i="7"/>
  <c r="AL33" i="7"/>
  <c r="AM33" i="7"/>
  <c r="AN33" i="7"/>
  <c r="AO33" i="7"/>
  <c r="AH34" i="7"/>
  <c r="AI34" i="7"/>
  <c r="AJ34" i="7"/>
  <c r="AK34" i="7"/>
  <c r="AL34" i="7"/>
  <c r="AM34" i="7"/>
  <c r="AN34" i="7"/>
  <c r="AO34" i="7"/>
  <c r="AH35" i="7"/>
  <c r="AI35" i="7"/>
  <c r="AJ35" i="7"/>
  <c r="AK35" i="7"/>
  <c r="AL35" i="7"/>
  <c r="AM35" i="7"/>
  <c r="AN35" i="7"/>
  <c r="AO35" i="7"/>
  <c r="AH36" i="7"/>
  <c r="AI36" i="7"/>
  <c r="AJ36" i="7"/>
  <c r="AK36" i="7"/>
  <c r="AL36" i="7"/>
  <c r="AM36" i="7"/>
  <c r="AN36" i="7"/>
  <c r="AO36" i="7"/>
  <c r="AH37" i="7"/>
  <c r="AI37" i="7"/>
  <c r="AJ37" i="7"/>
  <c r="AK37" i="7"/>
  <c r="AL37" i="7"/>
  <c r="AM37" i="7"/>
  <c r="AN37" i="7"/>
  <c r="AO37" i="7"/>
  <c r="AH39" i="7"/>
  <c r="AI39" i="7"/>
  <c r="AJ39" i="7"/>
  <c r="AK39" i="7"/>
  <c r="AL38" i="7"/>
  <c r="AM38" i="7"/>
  <c r="AN38" i="7"/>
  <c r="AO38" i="7"/>
  <c r="AH6" i="7"/>
  <c r="AI6" i="7"/>
  <c r="AJ6" i="7"/>
  <c r="AK6" i="7"/>
  <c r="AL6" i="7"/>
  <c r="AM6" i="7"/>
  <c r="AN6" i="7"/>
  <c r="AO6" i="7"/>
  <c r="AH7" i="7"/>
  <c r="AI7" i="7"/>
  <c r="AJ7" i="7"/>
  <c r="AK7" i="7"/>
  <c r="AL7" i="7"/>
  <c r="AM7" i="7"/>
  <c r="AN7" i="7"/>
  <c r="AO7" i="7"/>
  <c r="AH8" i="7"/>
  <c r="AI8" i="7"/>
  <c r="AJ8" i="7"/>
  <c r="AK8" i="7"/>
  <c r="AL8" i="7"/>
  <c r="AM8" i="7"/>
  <c r="AN8" i="7"/>
  <c r="AO8" i="7"/>
  <c r="AH9" i="7"/>
  <c r="AJ9" i="7"/>
  <c r="H39" i="9" s="1"/>
  <c r="AK9" i="7"/>
  <c r="AL9" i="7"/>
  <c r="AN9" i="7"/>
  <c r="H40" i="9" s="1"/>
  <c r="AO9" i="7"/>
  <c r="AH10" i="7"/>
  <c r="AI10" i="7"/>
  <c r="AJ10" i="7"/>
  <c r="AK10" i="7"/>
  <c r="AL10" i="7"/>
  <c r="AM10" i="7"/>
  <c r="AN10" i="7"/>
  <c r="AO10" i="7"/>
  <c r="AH11" i="7"/>
  <c r="AJ11" i="7"/>
  <c r="AK11" i="7"/>
  <c r="AL11" i="7"/>
  <c r="AN11" i="7"/>
  <c r="AO11" i="7"/>
  <c r="AH12" i="7"/>
  <c r="AI12" i="7"/>
  <c r="AJ12" i="7"/>
  <c r="AK12" i="7"/>
  <c r="AL12" i="7"/>
  <c r="AM12" i="7"/>
  <c r="AN12" i="7"/>
  <c r="AO12" i="7"/>
  <c r="AH13" i="7"/>
  <c r="AJ13" i="7"/>
  <c r="AK13" i="7"/>
  <c r="AL13" i="7"/>
  <c r="AN13" i="7"/>
  <c r="AO13" i="7"/>
  <c r="AH14" i="7"/>
  <c r="AI14" i="7"/>
  <c r="AJ14" i="7"/>
  <c r="AK14" i="7"/>
  <c r="AL14" i="7"/>
  <c r="AM14" i="7"/>
  <c r="AN14" i="7"/>
  <c r="AO14" i="7"/>
  <c r="AH15" i="7"/>
  <c r="AI15" i="7"/>
  <c r="AJ15" i="7"/>
  <c r="AK15" i="7"/>
  <c r="AL15" i="7"/>
  <c r="AM15" i="7"/>
  <c r="AN15" i="7"/>
  <c r="AO15" i="7"/>
  <c r="AH16" i="7"/>
  <c r="AI16" i="7"/>
  <c r="AJ16" i="7"/>
  <c r="AK16" i="7"/>
  <c r="AL16" i="7"/>
  <c r="AM16" i="7"/>
  <c r="AN16" i="7"/>
  <c r="AO16" i="7"/>
  <c r="AH17" i="7"/>
  <c r="AI17" i="7"/>
  <c r="AJ17" i="7"/>
  <c r="AK17" i="7"/>
  <c r="AL17" i="7"/>
  <c r="AM17" i="7"/>
  <c r="AN17" i="7"/>
  <c r="AO17" i="7"/>
  <c r="AH18" i="7"/>
  <c r="AI18" i="7"/>
  <c r="AJ18" i="7"/>
  <c r="AK18" i="7"/>
  <c r="AL18" i="7"/>
  <c r="AM18" i="7"/>
  <c r="AN18" i="7"/>
  <c r="AO18" i="7"/>
  <c r="AH19" i="7"/>
  <c r="AI19" i="7"/>
  <c r="AJ19" i="7"/>
  <c r="AK19" i="7"/>
  <c r="AL19" i="7"/>
  <c r="AM19" i="7"/>
  <c r="AN19" i="7"/>
  <c r="AO19" i="7"/>
  <c r="AH20" i="7"/>
  <c r="AI20" i="7"/>
  <c r="AJ20" i="7"/>
  <c r="AK20" i="7"/>
  <c r="AL20" i="7"/>
  <c r="AM20" i="7"/>
  <c r="AN20" i="7"/>
  <c r="AO20" i="7"/>
  <c r="AH21" i="7"/>
  <c r="AI21" i="7"/>
  <c r="AJ21" i="7"/>
  <c r="AK21" i="7"/>
  <c r="AL21" i="7"/>
  <c r="AM21" i="7"/>
  <c r="AN21" i="7"/>
  <c r="AO21" i="7"/>
  <c r="AH22" i="7"/>
  <c r="AI22" i="7"/>
  <c r="AJ22" i="7"/>
  <c r="AK22" i="7"/>
  <c r="AL22" i="7"/>
  <c r="AM22" i="7"/>
  <c r="AN22" i="7"/>
  <c r="AO22" i="7"/>
  <c r="AH23" i="7"/>
  <c r="AI23" i="7"/>
  <c r="AJ23" i="7"/>
  <c r="AK23" i="7"/>
  <c r="AL23" i="7"/>
  <c r="AM23" i="7"/>
  <c r="AN23" i="7"/>
  <c r="AO23" i="7"/>
  <c r="AH24" i="7"/>
  <c r="AI24" i="7"/>
  <c r="AJ24" i="7"/>
  <c r="AK24" i="7"/>
  <c r="AL24" i="7"/>
  <c r="AM24" i="7"/>
  <c r="AN24" i="7"/>
  <c r="AO24" i="7"/>
  <c r="AH25" i="7"/>
  <c r="AI25" i="7"/>
  <c r="AJ25" i="7"/>
  <c r="AK25" i="7"/>
  <c r="AL25" i="7"/>
  <c r="AM25" i="7"/>
  <c r="AN25" i="7"/>
  <c r="AO25" i="7"/>
  <c r="AH28" i="7"/>
  <c r="AI28" i="7"/>
  <c r="AJ28" i="7"/>
  <c r="AK28" i="7"/>
  <c r="AL28" i="7"/>
  <c r="AM28" i="7"/>
  <c r="AN28" i="7"/>
  <c r="AO28" i="7"/>
  <c r="AM5" i="7"/>
  <c r="AN5" i="7"/>
  <c r="AO5" i="7"/>
  <c r="AI5" i="7"/>
  <c r="AJ5" i="7"/>
  <c r="AK5" i="7"/>
  <c r="Z40" i="7"/>
  <c r="AA40" i="7"/>
  <c r="AB40" i="7"/>
  <c r="AC40" i="7"/>
  <c r="AD40" i="7"/>
  <c r="AE40" i="7"/>
  <c r="AF40" i="7"/>
  <c r="AG40" i="7"/>
  <c r="Z41" i="7"/>
  <c r="AA41" i="7"/>
  <c r="AB41" i="7"/>
  <c r="AC41" i="7"/>
  <c r="AD41" i="7"/>
  <c r="AE41" i="7"/>
  <c r="AF41" i="7"/>
  <c r="AG41" i="7"/>
  <c r="Z42" i="7"/>
  <c r="AA42" i="7"/>
  <c r="AB42" i="7"/>
  <c r="AC42" i="7"/>
  <c r="AD42" i="7"/>
  <c r="AE42" i="7"/>
  <c r="AF42" i="7"/>
  <c r="AG42" i="7"/>
  <c r="Z43" i="7"/>
  <c r="AA43" i="7"/>
  <c r="AB43" i="7"/>
  <c r="AC43" i="7"/>
  <c r="AD43" i="7"/>
  <c r="AE43" i="7"/>
  <c r="AF43" i="7"/>
  <c r="AG43" i="7"/>
  <c r="Z44" i="7"/>
  <c r="AA44" i="7"/>
  <c r="AB44" i="7"/>
  <c r="AC44" i="7"/>
  <c r="AD44" i="7"/>
  <c r="AE44" i="7"/>
  <c r="AF44" i="7"/>
  <c r="AG44" i="7"/>
  <c r="Z45" i="7"/>
  <c r="AA45" i="7"/>
  <c r="AB45" i="7"/>
  <c r="AC45" i="7"/>
  <c r="AD45" i="7"/>
  <c r="AE45" i="7"/>
  <c r="AF45" i="7"/>
  <c r="AG45" i="7"/>
  <c r="Z29" i="7"/>
  <c r="AA29" i="7"/>
  <c r="AB29" i="7"/>
  <c r="AC29" i="7"/>
  <c r="AD29" i="7"/>
  <c r="AE29" i="7"/>
  <c r="AF29" i="7"/>
  <c r="AG29" i="7"/>
  <c r="Z30" i="7"/>
  <c r="AA30" i="7"/>
  <c r="AB30" i="7"/>
  <c r="AC30" i="7"/>
  <c r="AD30" i="7"/>
  <c r="AE30" i="7"/>
  <c r="AF30" i="7"/>
  <c r="AG30" i="7"/>
  <c r="Z31" i="7"/>
  <c r="AA31" i="7"/>
  <c r="AB31" i="7"/>
  <c r="AC31" i="7"/>
  <c r="AD31" i="7"/>
  <c r="AE31" i="7"/>
  <c r="AF31" i="7"/>
  <c r="AG31" i="7"/>
  <c r="Z32" i="7"/>
  <c r="AA32" i="7"/>
  <c r="AB32" i="7"/>
  <c r="AC32" i="7"/>
  <c r="AD32" i="7"/>
  <c r="AE32" i="7"/>
  <c r="AF32" i="7"/>
  <c r="AG32" i="7"/>
  <c r="Z33" i="7"/>
  <c r="AA33" i="7"/>
  <c r="AB33" i="7"/>
  <c r="AC33" i="7"/>
  <c r="AD33" i="7"/>
  <c r="AE33" i="7"/>
  <c r="AF33" i="7"/>
  <c r="AG33" i="7"/>
  <c r="Z34" i="7"/>
  <c r="AA34" i="7"/>
  <c r="AB34" i="7"/>
  <c r="AC34" i="7"/>
  <c r="AD34" i="7"/>
  <c r="AE34" i="7"/>
  <c r="AF34" i="7"/>
  <c r="AG34" i="7"/>
  <c r="Z35" i="7"/>
  <c r="AA35" i="7"/>
  <c r="AB35" i="7"/>
  <c r="AC35" i="7"/>
  <c r="AD35" i="7"/>
  <c r="AE35" i="7"/>
  <c r="AF35" i="7"/>
  <c r="AG35" i="7"/>
  <c r="Z36" i="7"/>
  <c r="AA36" i="7"/>
  <c r="AB36" i="7"/>
  <c r="AC36" i="7"/>
  <c r="AD36" i="7"/>
  <c r="AE36" i="7"/>
  <c r="AF36" i="7"/>
  <c r="AG36" i="7"/>
  <c r="Z37" i="7"/>
  <c r="AA37" i="7"/>
  <c r="AB37" i="7"/>
  <c r="AC37" i="7"/>
  <c r="AD37" i="7"/>
  <c r="AE37" i="7"/>
  <c r="AF37" i="7"/>
  <c r="AG37" i="7"/>
  <c r="Z39" i="7"/>
  <c r="AA39" i="7"/>
  <c r="AB39" i="7"/>
  <c r="AC39" i="7"/>
  <c r="AD39" i="7"/>
  <c r="AE39" i="7"/>
  <c r="AF39" i="7"/>
  <c r="AG39" i="7"/>
  <c r="Z6" i="7"/>
  <c r="AA6" i="7"/>
  <c r="AB6" i="7"/>
  <c r="AC6" i="7"/>
  <c r="AD6" i="7"/>
  <c r="AE6" i="7"/>
  <c r="AF6" i="7"/>
  <c r="AG6" i="7"/>
  <c r="Z7" i="7"/>
  <c r="AA7" i="7"/>
  <c r="AB7" i="7"/>
  <c r="AC7" i="7"/>
  <c r="AD7" i="7"/>
  <c r="AE7" i="7"/>
  <c r="AF7" i="7"/>
  <c r="AG7" i="7"/>
  <c r="Z8" i="7"/>
  <c r="AA8" i="7"/>
  <c r="AB8" i="7"/>
  <c r="AC8" i="7"/>
  <c r="AD8" i="7"/>
  <c r="AE8" i="7"/>
  <c r="AF8" i="7"/>
  <c r="AG8" i="7"/>
  <c r="Z9" i="7"/>
  <c r="AB9" i="7"/>
  <c r="H37" i="9" s="1"/>
  <c r="AC9" i="7"/>
  <c r="AD9" i="7"/>
  <c r="AF9" i="7"/>
  <c r="H38" i="9" s="1"/>
  <c r="AG9" i="7"/>
  <c r="Z10" i="7"/>
  <c r="AA10" i="7"/>
  <c r="AB10" i="7"/>
  <c r="AC10" i="7"/>
  <c r="AD10" i="7"/>
  <c r="AE10" i="7"/>
  <c r="AF10" i="7"/>
  <c r="AG10" i="7"/>
  <c r="Z11" i="7"/>
  <c r="AB11" i="7"/>
  <c r="AC11" i="7"/>
  <c r="AD11" i="7"/>
  <c r="AF11" i="7"/>
  <c r="AG11" i="7"/>
  <c r="Z12" i="7"/>
  <c r="AA12" i="7"/>
  <c r="AB12" i="7"/>
  <c r="AC12" i="7"/>
  <c r="AD12" i="7"/>
  <c r="AE12" i="7"/>
  <c r="AF12" i="7"/>
  <c r="AG12" i="7"/>
  <c r="Z13" i="7"/>
  <c r="AB13" i="7"/>
  <c r="AC13" i="7"/>
  <c r="AD13" i="7"/>
  <c r="AF13" i="7"/>
  <c r="AG13" i="7"/>
  <c r="Z14" i="7"/>
  <c r="AA14" i="7"/>
  <c r="AB14" i="7"/>
  <c r="AC14" i="7"/>
  <c r="AD14" i="7"/>
  <c r="AE14" i="7"/>
  <c r="AF14" i="7"/>
  <c r="AG14" i="7"/>
  <c r="Z15" i="7"/>
  <c r="AA15" i="7"/>
  <c r="AB15" i="7"/>
  <c r="AC15" i="7"/>
  <c r="AD15" i="7"/>
  <c r="AE15" i="7"/>
  <c r="AF15" i="7"/>
  <c r="AG15" i="7"/>
  <c r="Z16" i="7"/>
  <c r="AA16" i="7"/>
  <c r="AB16" i="7"/>
  <c r="AC16" i="7"/>
  <c r="AD16" i="7"/>
  <c r="AE16" i="7"/>
  <c r="AF16" i="7"/>
  <c r="AG16" i="7"/>
  <c r="Z17" i="7"/>
  <c r="AA17" i="7"/>
  <c r="AB17" i="7"/>
  <c r="AC17" i="7"/>
  <c r="AD17" i="7"/>
  <c r="AE17" i="7"/>
  <c r="AF17" i="7"/>
  <c r="AG17" i="7"/>
  <c r="Z18" i="7"/>
  <c r="AA18" i="7"/>
  <c r="AB18" i="7"/>
  <c r="AC18" i="7"/>
  <c r="AD18" i="7"/>
  <c r="AE18" i="7"/>
  <c r="AF18" i="7"/>
  <c r="AG18" i="7"/>
  <c r="Z19" i="7"/>
  <c r="AA19" i="7"/>
  <c r="AB19" i="7"/>
  <c r="AC19" i="7"/>
  <c r="AD19" i="7"/>
  <c r="AE19" i="7"/>
  <c r="AF19" i="7"/>
  <c r="AG19" i="7"/>
  <c r="Z20" i="7"/>
  <c r="AA20" i="7"/>
  <c r="AB20" i="7"/>
  <c r="AC20" i="7"/>
  <c r="AD20" i="7"/>
  <c r="AE20" i="7"/>
  <c r="AF20" i="7"/>
  <c r="AG20" i="7"/>
  <c r="Z21" i="7"/>
  <c r="AA21" i="7"/>
  <c r="AB21" i="7"/>
  <c r="AC21" i="7"/>
  <c r="AD21" i="7"/>
  <c r="AE21" i="7"/>
  <c r="AF21" i="7"/>
  <c r="AG21" i="7"/>
  <c r="Z22" i="7"/>
  <c r="AA22" i="7"/>
  <c r="AB22" i="7"/>
  <c r="AC22" i="7"/>
  <c r="AD22" i="7"/>
  <c r="AE22" i="7"/>
  <c r="AF22" i="7"/>
  <c r="AG22" i="7"/>
  <c r="Z23" i="7"/>
  <c r="AA23" i="7"/>
  <c r="AB23" i="7"/>
  <c r="AC23" i="7"/>
  <c r="AD23" i="7"/>
  <c r="AE23" i="7"/>
  <c r="AF23" i="7"/>
  <c r="AG23" i="7"/>
  <c r="Z24" i="7"/>
  <c r="AA24" i="7"/>
  <c r="AB24" i="7"/>
  <c r="AC24" i="7"/>
  <c r="AD24" i="7"/>
  <c r="AE24" i="7"/>
  <c r="AF24" i="7"/>
  <c r="AG24" i="7"/>
  <c r="Z25" i="7"/>
  <c r="AA25" i="7"/>
  <c r="AB25" i="7"/>
  <c r="AC25" i="7"/>
  <c r="AD25" i="7"/>
  <c r="AE25" i="7"/>
  <c r="AF25" i="7"/>
  <c r="AG25" i="7"/>
  <c r="Z28" i="7"/>
  <c r="AA28" i="7"/>
  <c r="AB28" i="7"/>
  <c r="AC28" i="7"/>
  <c r="AD28" i="7"/>
  <c r="AE28" i="7"/>
  <c r="AF28" i="7"/>
  <c r="AG28" i="7"/>
  <c r="AE5" i="7"/>
  <c r="AF5" i="7"/>
  <c r="AG5" i="7"/>
  <c r="AA5" i="7"/>
  <c r="AB5" i="7"/>
  <c r="AC5" i="7"/>
  <c r="R40" i="7"/>
  <c r="S40" i="7"/>
  <c r="T40" i="7"/>
  <c r="U40" i="7"/>
  <c r="V40" i="7"/>
  <c r="W40" i="7"/>
  <c r="X40" i="7"/>
  <c r="Y40" i="7"/>
  <c r="R41" i="7"/>
  <c r="S41" i="7"/>
  <c r="T41" i="7"/>
  <c r="U41" i="7"/>
  <c r="V41" i="7"/>
  <c r="W41" i="7"/>
  <c r="X41" i="7"/>
  <c r="Y41" i="7"/>
  <c r="R42" i="7"/>
  <c r="S42" i="7"/>
  <c r="T42" i="7"/>
  <c r="U42" i="7"/>
  <c r="V42" i="7"/>
  <c r="W42" i="7"/>
  <c r="X42" i="7"/>
  <c r="Y42" i="7"/>
  <c r="R43" i="7"/>
  <c r="S43" i="7"/>
  <c r="T43" i="7"/>
  <c r="U43" i="7"/>
  <c r="V43" i="7"/>
  <c r="W43" i="7"/>
  <c r="X43" i="7"/>
  <c r="Y43" i="7"/>
  <c r="R44" i="7"/>
  <c r="S44" i="7"/>
  <c r="T44" i="7"/>
  <c r="U44" i="7"/>
  <c r="V44" i="7"/>
  <c r="W44" i="7"/>
  <c r="X44" i="7"/>
  <c r="Y44" i="7"/>
  <c r="R45" i="7"/>
  <c r="S45" i="7"/>
  <c r="T45" i="7"/>
  <c r="U45" i="7"/>
  <c r="V45" i="7"/>
  <c r="W45" i="7"/>
  <c r="X45" i="7"/>
  <c r="Y45" i="7"/>
  <c r="R29" i="7"/>
  <c r="S29" i="7"/>
  <c r="T29" i="7"/>
  <c r="U29" i="7"/>
  <c r="V29" i="7"/>
  <c r="W29" i="7"/>
  <c r="X29" i="7"/>
  <c r="Y29" i="7"/>
  <c r="R30" i="7"/>
  <c r="S30" i="7"/>
  <c r="T30" i="7"/>
  <c r="U30" i="7"/>
  <c r="V30" i="7"/>
  <c r="W30" i="7"/>
  <c r="X30" i="7"/>
  <c r="Y30" i="7"/>
  <c r="R31" i="7"/>
  <c r="S31" i="7"/>
  <c r="T31" i="7"/>
  <c r="U31" i="7"/>
  <c r="V31" i="7"/>
  <c r="W31" i="7"/>
  <c r="X31" i="7"/>
  <c r="Y31" i="7"/>
  <c r="R32" i="7"/>
  <c r="S32" i="7"/>
  <c r="T32" i="7"/>
  <c r="U32" i="7"/>
  <c r="V32" i="7"/>
  <c r="W32" i="7"/>
  <c r="X32" i="7"/>
  <c r="Y32" i="7"/>
  <c r="R33" i="7"/>
  <c r="S33" i="7"/>
  <c r="T33" i="7"/>
  <c r="U33" i="7"/>
  <c r="V33" i="7"/>
  <c r="W33" i="7"/>
  <c r="X33" i="7"/>
  <c r="Y33" i="7"/>
  <c r="R34" i="7"/>
  <c r="S34" i="7"/>
  <c r="T34" i="7"/>
  <c r="U34" i="7"/>
  <c r="V34" i="7"/>
  <c r="W34" i="7"/>
  <c r="X34" i="7"/>
  <c r="Y34" i="7"/>
  <c r="R35" i="7"/>
  <c r="S35" i="7"/>
  <c r="T35" i="7"/>
  <c r="U35" i="7"/>
  <c r="V35" i="7"/>
  <c r="W35" i="7"/>
  <c r="X35" i="7"/>
  <c r="Y35" i="7"/>
  <c r="R36" i="7"/>
  <c r="S36" i="7"/>
  <c r="T36" i="7"/>
  <c r="U36" i="7"/>
  <c r="V36" i="7"/>
  <c r="W36" i="7"/>
  <c r="X36" i="7"/>
  <c r="Y36" i="7"/>
  <c r="R37" i="7"/>
  <c r="S37" i="7"/>
  <c r="T37" i="7"/>
  <c r="U37" i="7"/>
  <c r="V37" i="7"/>
  <c r="W37" i="7"/>
  <c r="X37" i="7"/>
  <c r="Y37" i="7"/>
  <c r="R39" i="7"/>
  <c r="S39" i="7"/>
  <c r="T39" i="7"/>
  <c r="U39" i="7"/>
  <c r="V39" i="7"/>
  <c r="W39" i="7"/>
  <c r="X39" i="7"/>
  <c r="Y39" i="7"/>
  <c r="R6" i="7"/>
  <c r="S6" i="7"/>
  <c r="T6" i="7"/>
  <c r="U6" i="7"/>
  <c r="V6" i="7"/>
  <c r="W6" i="7"/>
  <c r="X6" i="7"/>
  <c r="Y6" i="7"/>
  <c r="R7" i="7"/>
  <c r="S7" i="7"/>
  <c r="T7" i="7"/>
  <c r="U7" i="7"/>
  <c r="V7" i="7"/>
  <c r="W7" i="7"/>
  <c r="X7" i="7"/>
  <c r="Y7" i="7"/>
  <c r="R8" i="7"/>
  <c r="S8" i="7"/>
  <c r="T8" i="7"/>
  <c r="U8" i="7"/>
  <c r="V8" i="7"/>
  <c r="W8" i="7"/>
  <c r="X8" i="7"/>
  <c r="Y8" i="7"/>
  <c r="R9" i="7"/>
  <c r="T9" i="7"/>
  <c r="H35" i="9" s="1"/>
  <c r="U9" i="7"/>
  <c r="V9" i="7"/>
  <c r="X9" i="7"/>
  <c r="H36" i="9" s="1"/>
  <c r="Y9" i="7"/>
  <c r="R10" i="7"/>
  <c r="S10" i="7"/>
  <c r="T10" i="7"/>
  <c r="U10" i="7"/>
  <c r="V10" i="7"/>
  <c r="W10" i="7"/>
  <c r="X10" i="7"/>
  <c r="Y10" i="7"/>
  <c r="R11" i="7"/>
  <c r="T11" i="7"/>
  <c r="U11" i="7"/>
  <c r="V11" i="7"/>
  <c r="X11" i="7"/>
  <c r="Y11" i="7"/>
  <c r="R12" i="7"/>
  <c r="S12" i="7"/>
  <c r="T12" i="7"/>
  <c r="U12" i="7"/>
  <c r="V12" i="7"/>
  <c r="W12" i="7"/>
  <c r="X12" i="7"/>
  <c r="Y12" i="7"/>
  <c r="R13" i="7"/>
  <c r="T13" i="7"/>
  <c r="U13" i="7"/>
  <c r="V13" i="7"/>
  <c r="X13" i="7"/>
  <c r="Y13" i="7"/>
  <c r="R14" i="7"/>
  <c r="S14" i="7"/>
  <c r="T14" i="7"/>
  <c r="U14" i="7"/>
  <c r="V14" i="7"/>
  <c r="W14" i="7"/>
  <c r="X14" i="7"/>
  <c r="Y14" i="7"/>
  <c r="R15" i="7"/>
  <c r="S15" i="7"/>
  <c r="T15" i="7"/>
  <c r="U15" i="7"/>
  <c r="V15" i="7"/>
  <c r="W15" i="7"/>
  <c r="X15" i="7"/>
  <c r="Y15" i="7"/>
  <c r="R16" i="7"/>
  <c r="S16" i="7"/>
  <c r="T16" i="7"/>
  <c r="U16" i="7"/>
  <c r="V16" i="7"/>
  <c r="W16" i="7"/>
  <c r="X16" i="7"/>
  <c r="Y16" i="7"/>
  <c r="R17" i="7"/>
  <c r="S17" i="7"/>
  <c r="T17" i="7"/>
  <c r="U17" i="7"/>
  <c r="V17" i="7"/>
  <c r="W17" i="7"/>
  <c r="X17" i="7"/>
  <c r="Y17" i="7"/>
  <c r="R18" i="7"/>
  <c r="S18" i="7"/>
  <c r="T18" i="7"/>
  <c r="U18" i="7"/>
  <c r="V18" i="7"/>
  <c r="W18" i="7"/>
  <c r="X18" i="7"/>
  <c r="Y18" i="7"/>
  <c r="R19" i="7"/>
  <c r="S19" i="7"/>
  <c r="T19" i="7"/>
  <c r="U19" i="7"/>
  <c r="V19" i="7"/>
  <c r="W19" i="7"/>
  <c r="X19" i="7"/>
  <c r="Y19" i="7"/>
  <c r="R20" i="7"/>
  <c r="S20" i="7"/>
  <c r="T20" i="7"/>
  <c r="U20" i="7"/>
  <c r="V20" i="7"/>
  <c r="W20" i="7"/>
  <c r="X20" i="7"/>
  <c r="Y20" i="7"/>
  <c r="R21" i="7"/>
  <c r="S21" i="7"/>
  <c r="T21" i="7"/>
  <c r="U21" i="7"/>
  <c r="V21" i="7"/>
  <c r="W21" i="7"/>
  <c r="X21" i="7"/>
  <c r="Y21" i="7"/>
  <c r="R22" i="7"/>
  <c r="S22" i="7"/>
  <c r="T22" i="7"/>
  <c r="U22" i="7"/>
  <c r="V22" i="7"/>
  <c r="W22" i="7"/>
  <c r="X22" i="7"/>
  <c r="Y22" i="7"/>
  <c r="R23" i="7"/>
  <c r="S23" i="7"/>
  <c r="T23" i="7"/>
  <c r="U23" i="7"/>
  <c r="V23" i="7"/>
  <c r="W23" i="7"/>
  <c r="X23" i="7"/>
  <c r="Y23" i="7"/>
  <c r="R24" i="7"/>
  <c r="S24" i="7"/>
  <c r="T24" i="7"/>
  <c r="U24" i="7"/>
  <c r="V24" i="7"/>
  <c r="W24" i="7"/>
  <c r="X24" i="7"/>
  <c r="Y24" i="7"/>
  <c r="R25" i="7"/>
  <c r="S25" i="7"/>
  <c r="T25" i="7"/>
  <c r="U25" i="7"/>
  <c r="V25" i="7"/>
  <c r="W25" i="7"/>
  <c r="X25" i="7"/>
  <c r="Y25" i="7"/>
  <c r="R28" i="7"/>
  <c r="S28" i="7"/>
  <c r="T28" i="7"/>
  <c r="U28" i="7"/>
  <c r="V28" i="7"/>
  <c r="W28" i="7"/>
  <c r="X28" i="7"/>
  <c r="Y28" i="7"/>
  <c r="W5" i="7"/>
  <c r="X5" i="7"/>
  <c r="Y5" i="7"/>
  <c r="S5" i="7"/>
  <c r="T5" i="7"/>
  <c r="U5" i="7"/>
  <c r="J40" i="7"/>
  <c r="K40" i="7"/>
  <c r="L40" i="7"/>
  <c r="M40" i="7"/>
  <c r="N40" i="7"/>
  <c r="O40" i="7"/>
  <c r="P40" i="7"/>
  <c r="Q40" i="7"/>
  <c r="J41" i="7"/>
  <c r="K41" i="7"/>
  <c r="L41" i="7"/>
  <c r="M41" i="7"/>
  <c r="N41" i="7"/>
  <c r="O41" i="7"/>
  <c r="P41" i="7"/>
  <c r="Q41" i="7"/>
  <c r="J42" i="7"/>
  <c r="K42" i="7"/>
  <c r="L42" i="7"/>
  <c r="M42" i="7"/>
  <c r="N42" i="7"/>
  <c r="O42" i="7"/>
  <c r="P42" i="7"/>
  <c r="Q42" i="7"/>
  <c r="J43" i="7"/>
  <c r="K43" i="7"/>
  <c r="L43" i="7"/>
  <c r="M43" i="7"/>
  <c r="N43" i="7"/>
  <c r="O43" i="7"/>
  <c r="P43" i="7"/>
  <c r="Q43" i="7"/>
  <c r="J44" i="7"/>
  <c r="K44" i="7"/>
  <c r="L44" i="7"/>
  <c r="M44" i="7"/>
  <c r="N44" i="7"/>
  <c r="O44" i="7"/>
  <c r="P44" i="7"/>
  <c r="Q44" i="7"/>
  <c r="J45" i="7"/>
  <c r="K45" i="7"/>
  <c r="L45" i="7"/>
  <c r="M45" i="7"/>
  <c r="N45" i="7"/>
  <c r="O45" i="7"/>
  <c r="P45" i="7"/>
  <c r="Q45" i="7"/>
  <c r="J29" i="7"/>
  <c r="K29" i="7"/>
  <c r="L29" i="7"/>
  <c r="M29" i="7"/>
  <c r="N29" i="7"/>
  <c r="O29" i="7"/>
  <c r="P29" i="7"/>
  <c r="Q29" i="7"/>
  <c r="J30" i="7"/>
  <c r="K30" i="7"/>
  <c r="L30" i="7"/>
  <c r="M30" i="7"/>
  <c r="N30" i="7"/>
  <c r="O30" i="7"/>
  <c r="P30" i="7"/>
  <c r="Q30" i="7"/>
  <c r="J31" i="7"/>
  <c r="K31" i="7"/>
  <c r="L31" i="7"/>
  <c r="M31" i="7"/>
  <c r="N31" i="7"/>
  <c r="O31" i="7"/>
  <c r="P31" i="7"/>
  <c r="Q31" i="7"/>
  <c r="J32" i="7"/>
  <c r="K32" i="7"/>
  <c r="L32" i="7"/>
  <c r="M32" i="7"/>
  <c r="N32" i="7"/>
  <c r="O32" i="7"/>
  <c r="P32" i="7"/>
  <c r="Q32" i="7"/>
  <c r="J33" i="7"/>
  <c r="K33" i="7"/>
  <c r="L33" i="7"/>
  <c r="M33" i="7"/>
  <c r="N33" i="7"/>
  <c r="O33" i="7"/>
  <c r="P33" i="7"/>
  <c r="Q33" i="7"/>
  <c r="J34" i="7"/>
  <c r="K34" i="7"/>
  <c r="L34" i="7"/>
  <c r="M34" i="7"/>
  <c r="N34" i="7"/>
  <c r="O34" i="7"/>
  <c r="P34" i="7"/>
  <c r="Q34" i="7"/>
  <c r="J35" i="7"/>
  <c r="K35" i="7"/>
  <c r="L35" i="7"/>
  <c r="M35" i="7"/>
  <c r="N35" i="7"/>
  <c r="O35" i="7"/>
  <c r="P35" i="7"/>
  <c r="Q35" i="7"/>
  <c r="J36" i="7"/>
  <c r="K36" i="7"/>
  <c r="L36" i="7"/>
  <c r="M36" i="7"/>
  <c r="N36" i="7"/>
  <c r="O36" i="7"/>
  <c r="P36" i="7"/>
  <c r="Q36" i="7"/>
  <c r="J37" i="7"/>
  <c r="K37" i="7"/>
  <c r="L37" i="7"/>
  <c r="M37" i="7"/>
  <c r="N37" i="7"/>
  <c r="O37" i="7"/>
  <c r="P37" i="7"/>
  <c r="Q37" i="7"/>
  <c r="J39" i="7"/>
  <c r="K39" i="7"/>
  <c r="L39" i="7"/>
  <c r="M39" i="7"/>
  <c r="N39" i="7"/>
  <c r="O39" i="7"/>
  <c r="P39" i="7"/>
  <c r="Q39" i="7"/>
  <c r="J6" i="7"/>
  <c r="K6" i="7"/>
  <c r="L6" i="7"/>
  <c r="M6" i="7"/>
  <c r="N6" i="7"/>
  <c r="O6" i="7"/>
  <c r="P6" i="7"/>
  <c r="Q6" i="7"/>
  <c r="J7" i="7"/>
  <c r="K7" i="7"/>
  <c r="L7" i="7"/>
  <c r="M7" i="7"/>
  <c r="N7" i="7"/>
  <c r="O7" i="7"/>
  <c r="P7" i="7"/>
  <c r="Q7" i="7"/>
  <c r="J8" i="7"/>
  <c r="K8" i="7"/>
  <c r="L8" i="7"/>
  <c r="M8" i="7"/>
  <c r="N8" i="7"/>
  <c r="O8" i="7"/>
  <c r="P8" i="7"/>
  <c r="Q8" i="7"/>
  <c r="J9" i="7"/>
  <c r="L9" i="7"/>
  <c r="H33" i="9" s="1"/>
  <c r="M9" i="7"/>
  <c r="N9" i="7"/>
  <c r="P9" i="7"/>
  <c r="H34" i="9" s="1"/>
  <c r="Q9" i="7"/>
  <c r="J10" i="7"/>
  <c r="K10" i="7"/>
  <c r="L10" i="7"/>
  <c r="M10" i="7"/>
  <c r="N10" i="7"/>
  <c r="O10" i="7"/>
  <c r="P10" i="7"/>
  <c r="Q10" i="7"/>
  <c r="J11" i="7"/>
  <c r="L11" i="7"/>
  <c r="M11" i="7"/>
  <c r="N11" i="7"/>
  <c r="P11" i="7"/>
  <c r="Q11" i="7"/>
  <c r="J12" i="7"/>
  <c r="K12" i="7"/>
  <c r="L12" i="7"/>
  <c r="M12" i="7"/>
  <c r="N12" i="7"/>
  <c r="O12" i="7"/>
  <c r="P12" i="7"/>
  <c r="Q12" i="7"/>
  <c r="J13" i="7"/>
  <c r="L13" i="7"/>
  <c r="M13" i="7"/>
  <c r="N13" i="7"/>
  <c r="P13" i="7"/>
  <c r="Q13" i="7"/>
  <c r="J14" i="7"/>
  <c r="K14" i="7"/>
  <c r="L14" i="7"/>
  <c r="M14" i="7"/>
  <c r="N14" i="7"/>
  <c r="O14" i="7"/>
  <c r="P14" i="7"/>
  <c r="Q14" i="7"/>
  <c r="J15" i="7"/>
  <c r="K15" i="7"/>
  <c r="L15" i="7"/>
  <c r="M15" i="7"/>
  <c r="N15" i="7"/>
  <c r="O15" i="7"/>
  <c r="P15" i="7"/>
  <c r="Q15" i="7"/>
  <c r="J16" i="7"/>
  <c r="K16" i="7"/>
  <c r="L16" i="7"/>
  <c r="M16" i="7"/>
  <c r="N16" i="7"/>
  <c r="O16" i="7"/>
  <c r="P16" i="7"/>
  <c r="Q16" i="7"/>
  <c r="J17" i="7"/>
  <c r="K17" i="7"/>
  <c r="L17" i="7"/>
  <c r="M17" i="7"/>
  <c r="N17" i="7"/>
  <c r="O17" i="7"/>
  <c r="P17" i="7"/>
  <c r="Q17" i="7"/>
  <c r="J18" i="7"/>
  <c r="K18" i="7"/>
  <c r="L18" i="7"/>
  <c r="M18" i="7"/>
  <c r="N18" i="7"/>
  <c r="O18" i="7"/>
  <c r="P18" i="7"/>
  <c r="Q18" i="7"/>
  <c r="J19" i="7"/>
  <c r="K19" i="7"/>
  <c r="L19" i="7"/>
  <c r="M19" i="7"/>
  <c r="N19" i="7"/>
  <c r="O19" i="7"/>
  <c r="P19" i="7"/>
  <c r="Q19" i="7"/>
  <c r="J20" i="7"/>
  <c r="K20" i="7"/>
  <c r="L20" i="7"/>
  <c r="M20" i="7"/>
  <c r="N20" i="7"/>
  <c r="O20" i="7"/>
  <c r="P20" i="7"/>
  <c r="Q20" i="7"/>
  <c r="J21" i="7"/>
  <c r="K21" i="7"/>
  <c r="L21" i="7"/>
  <c r="M21" i="7"/>
  <c r="N21" i="7"/>
  <c r="O21" i="7"/>
  <c r="P21" i="7"/>
  <c r="Q21" i="7"/>
  <c r="J22" i="7"/>
  <c r="K22" i="7"/>
  <c r="L22" i="7"/>
  <c r="M22" i="7"/>
  <c r="N22" i="7"/>
  <c r="O22" i="7"/>
  <c r="P22" i="7"/>
  <c r="Q22" i="7"/>
  <c r="J23" i="7"/>
  <c r="K23" i="7"/>
  <c r="L23" i="7"/>
  <c r="M23" i="7"/>
  <c r="N23" i="7"/>
  <c r="O23" i="7"/>
  <c r="P23" i="7"/>
  <c r="Q23" i="7"/>
  <c r="J24" i="7"/>
  <c r="K24" i="7"/>
  <c r="L24" i="7"/>
  <c r="M24" i="7"/>
  <c r="N24" i="7"/>
  <c r="O24" i="7"/>
  <c r="P24" i="7"/>
  <c r="Q24" i="7"/>
  <c r="J25" i="7"/>
  <c r="K25" i="7"/>
  <c r="L25" i="7"/>
  <c r="M25" i="7"/>
  <c r="N25" i="7"/>
  <c r="O25" i="7"/>
  <c r="P25" i="7"/>
  <c r="Q25" i="7"/>
  <c r="J28" i="7"/>
  <c r="K28" i="7"/>
  <c r="L28" i="7"/>
  <c r="M28" i="7"/>
  <c r="N28" i="7"/>
  <c r="O28" i="7"/>
  <c r="P28" i="7"/>
  <c r="Q28" i="7"/>
  <c r="O5" i="7"/>
  <c r="P5" i="7"/>
  <c r="Q5" i="7"/>
  <c r="K5" i="7"/>
  <c r="L5" i="7"/>
  <c r="M5" i="7"/>
  <c r="B40" i="7"/>
  <c r="C40" i="7"/>
  <c r="D40" i="7"/>
  <c r="E40" i="7"/>
  <c r="F40" i="7"/>
  <c r="G40" i="7"/>
  <c r="H40" i="7"/>
  <c r="I40" i="7"/>
  <c r="B41" i="7"/>
  <c r="C41" i="7"/>
  <c r="D41" i="7"/>
  <c r="E41" i="7"/>
  <c r="F41" i="7"/>
  <c r="G41" i="7"/>
  <c r="H41" i="7"/>
  <c r="I41" i="7"/>
  <c r="B42" i="7"/>
  <c r="C42" i="7"/>
  <c r="D42" i="7"/>
  <c r="E42" i="7"/>
  <c r="F42" i="7"/>
  <c r="G42" i="7"/>
  <c r="H42" i="7"/>
  <c r="I42" i="7"/>
  <c r="B43" i="7"/>
  <c r="C43" i="7"/>
  <c r="D43" i="7"/>
  <c r="E43" i="7"/>
  <c r="F43" i="7"/>
  <c r="G43" i="7"/>
  <c r="H43" i="7"/>
  <c r="I43" i="7"/>
  <c r="B44" i="7"/>
  <c r="C44" i="7"/>
  <c r="D44" i="7"/>
  <c r="E44" i="7"/>
  <c r="F44" i="7"/>
  <c r="G44" i="7"/>
  <c r="H44" i="7"/>
  <c r="I44" i="7"/>
  <c r="B45" i="7"/>
  <c r="C45" i="7"/>
  <c r="D45" i="7"/>
  <c r="E45" i="7"/>
  <c r="F45" i="7"/>
  <c r="G45" i="7"/>
  <c r="H45" i="7"/>
  <c r="I45" i="7"/>
  <c r="B39" i="7"/>
  <c r="C39" i="7"/>
  <c r="D39" i="7"/>
  <c r="E39" i="7"/>
  <c r="F39" i="7"/>
  <c r="G39" i="7"/>
  <c r="H39" i="7"/>
  <c r="I39" i="7"/>
  <c r="B29" i="7"/>
  <c r="C29" i="7"/>
  <c r="D29" i="7"/>
  <c r="E29" i="7"/>
  <c r="F29" i="7"/>
  <c r="G29" i="7"/>
  <c r="H29" i="7"/>
  <c r="I29" i="7"/>
  <c r="B30" i="7"/>
  <c r="C30" i="7"/>
  <c r="D30" i="7"/>
  <c r="E30" i="7"/>
  <c r="F30" i="7"/>
  <c r="G30" i="7"/>
  <c r="H30" i="7"/>
  <c r="I30" i="7"/>
  <c r="B31" i="7"/>
  <c r="C31" i="7"/>
  <c r="D31" i="7"/>
  <c r="E31" i="7"/>
  <c r="F31" i="7"/>
  <c r="G31" i="7"/>
  <c r="H31" i="7"/>
  <c r="I31" i="7"/>
  <c r="B32" i="7"/>
  <c r="C32" i="7"/>
  <c r="D32" i="7"/>
  <c r="E32" i="7"/>
  <c r="F32" i="7"/>
  <c r="G32" i="7"/>
  <c r="H32" i="7"/>
  <c r="I32" i="7"/>
  <c r="B33" i="7"/>
  <c r="C33" i="7"/>
  <c r="D33" i="7"/>
  <c r="E33" i="7"/>
  <c r="F33" i="7"/>
  <c r="G33" i="7"/>
  <c r="H33" i="7"/>
  <c r="I33" i="7"/>
  <c r="B34" i="7"/>
  <c r="C34" i="7"/>
  <c r="D34" i="7"/>
  <c r="E34" i="7"/>
  <c r="F34" i="7"/>
  <c r="G34" i="7"/>
  <c r="H34" i="7"/>
  <c r="I34" i="7"/>
  <c r="B35" i="7"/>
  <c r="C35" i="7"/>
  <c r="D35" i="7"/>
  <c r="E35" i="7"/>
  <c r="F35" i="7"/>
  <c r="G35" i="7"/>
  <c r="H35" i="7"/>
  <c r="I35" i="7"/>
  <c r="B36" i="7"/>
  <c r="C36" i="7"/>
  <c r="D36" i="7"/>
  <c r="E36" i="7"/>
  <c r="F36" i="7"/>
  <c r="G36" i="7"/>
  <c r="H36" i="7"/>
  <c r="I36" i="7"/>
  <c r="B37" i="7"/>
  <c r="C37" i="7"/>
  <c r="D37" i="7"/>
  <c r="E37" i="7"/>
  <c r="F37" i="7"/>
  <c r="G37" i="7"/>
  <c r="H37" i="7"/>
  <c r="I37" i="7"/>
  <c r="I28" i="7"/>
  <c r="H28" i="7"/>
  <c r="G28" i="7"/>
  <c r="F28" i="7"/>
  <c r="E28" i="7"/>
  <c r="D28" i="7"/>
  <c r="C28" i="7"/>
  <c r="B28" i="7"/>
  <c r="B6" i="7"/>
  <c r="C6" i="7"/>
  <c r="D6" i="7"/>
  <c r="E6" i="7"/>
  <c r="F6" i="7"/>
  <c r="G6" i="7"/>
  <c r="H6" i="7"/>
  <c r="I6" i="7"/>
  <c r="B7" i="7"/>
  <c r="C7" i="7"/>
  <c r="D7" i="7"/>
  <c r="E7" i="7"/>
  <c r="F7" i="7"/>
  <c r="G7" i="7"/>
  <c r="H7" i="7"/>
  <c r="I7" i="7"/>
  <c r="B8" i="7"/>
  <c r="C8" i="7"/>
  <c r="D8" i="7"/>
  <c r="E8" i="7"/>
  <c r="F8" i="7"/>
  <c r="G8" i="7"/>
  <c r="H8" i="7"/>
  <c r="I8" i="7"/>
  <c r="B9" i="7"/>
  <c r="D9" i="7"/>
  <c r="H31" i="9" s="1"/>
  <c r="E9" i="7"/>
  <c r="F9" i="7"/>
  <c r="H9" i="7"/>
  <c r="H32" i="9" s="1"/>
  <c r="I9" i="7"/>
  <c r="B10" i="7"/>
  <c r="C10" i="7"/>
  <c r="D10" i="7"/>
  <c r="E10" i="7"/>
  <c r="F10" i="7"/>
  <c r="G10" i="7"/>
  <c r="H10" i="7"/>
  <c r="I10" i="7"/>
  <c r="B11" i="7"/>
  <c r="D11" i="7"/>
  <c r="E11" i="7"/>
  <c r="F11" i="7"/>
  <c r="H11" i="7"/>
  <c r="I11" i="7"/>
  <c r="B12" i="7"/>
  <c r="C12" i="7"/>
  <c r="D12" i="7"/>
  <c r="E12" i="7"/>
  <c r="F12" i="7"/>
  <c r="G12" i="7"/>
  <c r="H12" i="7"/>
  <c r="I12" i="7"/>
  <c r="B13" i="7"/>
  <c r="D13" i="7"/>
  <c r="E13" i="7"/>
  <c r="F13" i="7"/>
  <c r="H13" i="7"/>
  <c r="I13" i="7"/>
  <c r="B14" i="7"/>
  <c r="C14" i="7"/>
  <c r="D14" i="7"/>
  <c r="E14" i="7"/>
  <c r="F14" i="7"/>
  <c r="G14" i="7"/>
  <c r="H14" i="7"/>
  <c r="I14" i="7"/>
  <c r="B15" i="7"/>
  <c r="C15" i="7"/>
  <c r="D15" i="7"/>
  <c r="E15" i="7"/>
  <c r="F15" i="7"/>
  <c r="G15" i="7"/>
  <c r="H15" i="7"/>
  <c r="I15" i="7"/>
  <c r="B16" i="7"/>
  <c r="C16" i="7"/>
  <c r="D16" i="7"/>
  <c r="E16" i="7"/>
  <c r="F16" i="7"/>
  <c r="G16" i="7"/>
  <c r="H16" i="7"/>
  <c r="I16" i="7"/>
  <c r="B17" i="7"/>
  <c r="C17" i="7"/>
  <c r="D17" i="7"/>
  <c r="E17" i="7"/>
  <c r="F17" i="7"/>
  <c r="G17" i="7"/>
  <c r="H17" i="7"/>
  <c r="I17" i="7"/>
  <c r="B18" i="7"/>
  <c r="C18" i="7"/>
  <c r="D18" i="7"/>
  <c r="E18" i="7"/>
  <c r="F18" i="7"/>
  <c r="G18" i="7"/>
  <c r="H18" i="7"/>
  <c r="I18" i="7"/>
  <c r="B19" i="7"/>
  <c r="C19" i="7"/>
  <c r="D19" i="7"/>
  <c r="E19" i="7"/>
  <c r="F19" i="7"/>
  <c r="G19" i="7"/>
  <c r="H19" i="7"/>
  <c r="I19" i="7"/>
  <c r="B20" i="7"/>
  <c r="C20" i="7"/>
  <c r="D20" i="7"/>
  <c r="E20" i="7"/>
  <c r="F20" i="7"/>
  <c r="G20" i="7"/>
  <c r="H20" i="7"/>
  <c r="I20" i="7"/>
  <c r="B21" i="7"/>
  <c r="C21" i="7"/>
  <c r="D21" i="7"/>
  <c r="E21" i="7"/>
  <c r="F21" i="7"/>
  <c r="G21" i="7"/>
  <c r="H21" i="7"/>
  <c r="I21" i="7"/>
  <c r="B22" i="7"/>
  <c r="C22" i="7"/>
  <c r="D22" i="7"/>
  <c r="E22" i="7"/>
  <c r="F22" i="7"/>
  <c r="G22" i="7"/>
  <c r="H22" i="7"/>
  <c r="I22" i="7"/>
  <c r="B23" i="7"/>
  <c r="C23" i="7"/>
  <c r="D23" i="7"/>
  <c r="E23" i="7"/>
  <c r="F23" i="7"/>
  <c r="G23" i="7"/>
  <c r="H23" i="7"/>
  <c r="I23" i="7"/>
  <c r="B24" i="7"/>
  <c r="C24" i="7"/>
  <c r="D24" i="7"/>
  <c r="E24" i="7"/>
  <c r="F24" i="7"/>
  <c r="G24" i="7"/>
  <c r="H24" i="7"/>
  <c r="I24" i="7"/>
  <c r="B25" i="7"/>
  <c r="C25" i="7"/>
  <c r="D25" i="7"/>
  <c r="E25" i="7"/>
  <c r="F25" i="7"/>
  <c r="G25" i="7"/>
  <c r="H25" i="7"/>
  <c r="I25" i="7"/>
  <c r="G5" i="7"/>
  <c r="H5" i="7"/>
  <c r="I5" i="7"/>
  <c r="C5" i="7"/>
  <c r="D5" i="7"/>
  <c r="E5" i="7"/>
  <c r="B5" i="7"/>
  <c r="F5" i="7"/>
  <c r="J5" i="7"/>
  <c r="N5" i="7"/>
  <c r="R5" i="7"/>
  <c r="V5" i="7"/>
  <c r="Z5" i="7"/>
  <c r="AD5" i="7"/>
  <c r="AH5" i="7"/>
  <c r="AL5" i="7"/>
  <c r="AP5" i="7"/>
  <c r="AT5" i="7"/>
  <c r="B5" i="5"/>
  <c r="B6" i="5"/>
  <c r="C6" i="5"/>
  <c r="D6" i="5"/>
  <c r="E6" i="5"/>
  <c r="F6" i="5"/>
  <c r="G6" i="5"/>
  <c r="H6" i="5"/>
  <c r="I6" i="5"/>
  <c r="B7" i="5"/>
  <c r="C7" i="5"/>
  <c r="D7" i="5"/>
  <c r="E7" i="5"/>
  <c r="F7" i="5"/>
  <c r="G7" i="5"/>
  <c r="H7" i="5"/>
  <c r="I7" i="5"/>
  <c r="B8" i="5"/>
  <c r="C8" i="5"/>
  <c r="D8" i="5"/>
  <c r="E8" i="5"/>
  <c r="F8" i="5"/>
  <c r="G8" i="5"/>
  <c r="H8" i="5"/>
  <c r="I8" i="5"/>
  <c r="B9" i="5"/>
  <c r="C9" i="5"/>
  <c r="D9" i="5"/>
  <c r="E9" i="5"/>
  <c r="F9" i="5"/>
  <c r="G9" i="5"/>
  <c r="H9" i="5"/>
  <c r="I9" i="5"/>
  <c r="B10" i="5"/>
  <c r="C10" i="5"/>
  <c r="D10" i="5"/>
  <c r="E10" i="5"/>
  <c r="F10" i="5"/>
  <c r="G10" i="5"/>
  <c r="H10" i="5"/>
  <c r="I10" i="5"/>
  <c r="B11" i="5"/>
  <c r="C11" i="5"/>
  <c r="D11" i="5"/>
  <c r="E11" i="5"/>
  <c r="F11" i="5"/>
  <c r="G11" i="5"/>
  <c r="H11" i="5"/>
  <c r="I11" i="5"/>
  <c r="B12" i="5"/>
  <c r="C12" i="5"/>
  <c r="D12" i="5"/>
  <c r="E12" i="5"/>
  <c r="F12" i="5"/>
  <c r="G12" i="5"/>
  <c r="H12" i="5"/>
  <c r="I12" i="5"/>
  <c r="B13" i="5"/>
  <c r="C13" i="5"/>
  <c r="D13" i="5"/>
  <c r="E13" i="5"/>
  <c r="F13" i="5"/>
  <c r="G13" i="5"/>
  <c r="H13" i="5"/>
  <c r="I13" i="5"/>
  <c r="B14" i="5"/>
  <c r="C14" i="5"/>
  <c r="D14" i="5"/>
  <c r="E14" i="5"/>
  <c r="F14" i="5"/>
  <c r="G14" i="5"/>
  <c r="H14" i="5"/>
  <c r="I14" i="5"/>
  <c r="B15" i="5"/>
  <c r="C15" i="5"/>
  <c r="D15" i="5"/>
  <c r="E15" i="5"/>
  <c r="F15" i="5"/>
  <c r="G15" i="5"/>
  <c r="H15" i="5"/>
  <c r="I15" i="5"/>
  <c r="B16" i="5"/>
  <c r="C16" i="5"/>
  <c r="D16" i="5"/>
  <c r="E16" i="5"/>
  <c r="F16" i="5"/>
  <c r="G16" i="5"/>
  <c r="H16" i="5"/>
  <c r="I16" i="5"/>
  <c r="G5" i="5"/>
  <c r="H5" i="5"/>
  <c r="I5" i="5"/>
  <c r="C5" i="5"/>
  <c r="D5" i="5"/>
  <c r="E5" i="5"/>
  <c r="F5" i="5"/>
  <c r="J6" i="5"/>
  <c r="K6" i="5"/>
  <c r="L6" i="5"/>
  <c r="M6" i="5"/>
  <c r="N6" i="5"/>
  <c r="O6" i="5"/>
  <c r="P6" i="5"/>
  <c r="Q6" i="5"/>
  <c r="J7" i="5"/>
  <c r="K7" i="5"/>
  <c r="L7" i="5"/>
  <c r="M7" i="5"/>
  <c r="N7" i="5"/>
  <c r="O7" i="5"/>
  <c r="P7" i="5"/>
  <c r="Q7" i="5"/>
  <c r="J8" i="5"/>
  <c r="K8" i="5"/>
  <c r="L8" i="5"/>
  <c r="M8" i="5"/>
  <c r="N8" i="5"/>
  <c r="O8" i="5"/>
  <c r="P8" i="5"/>
  <c r="Q8" i="5"/>
  <c r="J9" i="5"/>
  <c r="K9" i="5"/>
  <c r="L9" i="5"/>
  <c r="M9" i="5"/>
  <c r="N9" i="5"/>
  <c r="O9" i="5"/>
  <c r="P9" i="5"/>
  <c r="Q9" i="5"/>
  <c r="J10" i="5"/>
  <c r="K10" i="5"/>
  <c r="L10" i="5"/>
  <c r="M10" i="5"/>
  <c r="N10" i="5"/>
  <c r="O10" i="5"/>
  <c r="P10" i="5"/>
  <c r="Q10" i="5"/>
  <c r="J11" i="5"/>
  <c r="K11" i="5"/>
  <c r="L11" i="5"/>
  <c r="M11" i="5"/>
  <c r="N11" i="5"/>
  <c r="O11" i="5"/>
  <c r="P11" i="5"/>
  <c r="Q11" i="5"/>
  <c r="J12" i="5"/>
  <c r="K12" i="5"/>
  <c r="L12" i="5"/>
  <c r="M12" i="5"/>
  <c r="N12" i="5"/>
  <c r="O12" i="5"/>
  <c r="P12" i="5"/>
  <c r="Q12" i="5"/>
  <c r="J13" i="5"/>
  <c r="K13" i="5"/>
  <c r="L13" i="5"/>
  <c r="M13" i="5"/>
  <c r="N13" i="5"/>
  <c r="O13" i="5"/>
  <c r="P13" i="5"/>
  <c r="Q13" i="5"/>
  <c r="J14" i="5"/>
  <c r="K14" i="5"/>
  <c r="L14" i="5"/>
  <c r="M14" i="5"/>
  <c r="N14" i="5"/>
  <c r="O14" i="5"/>
  <c r="P14" i="5"/>
  <c r="Q14" i="5"/>
  <c r="J15" i="5"/>
  <c r="K15" i="5"/>
  <c r="L15" i="5"/>
  <c r="M15" i="5"/>
  <c r="N15" i="5"/>
  <c r="O15" i="5"/>
  <c r="P15" i="5"/>
  <c r="Q15" i="5"/>
  <c r="J16" i="5"/>
  <c r="K16" i="5"/>
  <c r="L16" i="5"/>
  <c r="M16" i="5"/>
  <c r="N16" i="5"/>
  <c r="O16" i="5"/>
  <c r="P16" i="5"/>
  <c r="Q16" i="5"/>
  <c r="O5" i="5"/>
  <c r="P5" i="5"/>
  <c r="Q5" i="5"/>
  <c r="K5" i="5"/>
  <c r="L5" i="5"/>
  <c r="M5" i="5"/>
  <c r="N5" i="5"/>
  <c r="J5" i="5"/>
  <c r="R6" i="5"/>
  <c r="S6" i="5"/>
  <c r="T6" i="5"/>
  <c r="U6" i="5"/>
  <c r="V6" i="5"/>
  <c r="W6" i="5"/>
  <c r="X6" i="5"/>
  <c r="Y6" i="5"/>
  <c r="R7" i="5"/>
  <c r="S7" i="5"/>
  <c r="T7" i="5"/>
  <c r="U7" i="5"/>
  <c r="V7" i="5"/>
  <c r="W7" i="5"/>
  <c r="X7" i="5"/>
  <c r="Y7" i="5"/>
  <c r="R8" i="5"/>
  <c r="S8" i="5"/>
  <c r="T8" i="5"/>
  <c r="U8" i="5"/>
  <c r="V8" i="5"/>
  <c r="W8" i="5"/>
  <c r="X8" i="5"/>
  <c r="Y8" i="5"/>
  <c r="R9" i="5"/>
  <c r="S9" i="5"/>
  <c r="T9" i="5"/>
  <c r="U9" i="5"/>
  <c r="V9" i="5"/>
  <c r="W9" i="5"/>
  <c r="X9" i="5"/>
  <c r="Y9" i="5"/>
  <c r="R10" i="5"/>
  <c r="S10" i="5"/>
  <c r="T10" i="5"/>
  <c r="U10" i="5"/>
  <c r="V10" i="5"/>
  <c r="W10" i="5"/>
  <c r="X10" i="5"/>
  <c r="Y10" i="5"/>
  <c r="R11" i="5"/>
  <c r="S11" i="5"/>
  <c r="T11" i="5"/>
  <c r="U11" i="5"/>
  <c r="V11" i="5"/>
  <c r="W11" i="5"/>
  <c r="X11" i="5"/>
  <c r="Y11" i="5"/>
  <c r="R12" i="5"/>
  <c r="S12" i="5"/>
  <c r="T12" i="5"/>
  <c r="U12" i="5"/>
  <c r="V12" i="5"/>
  <c r="W12" i="5"/>
  <c r="X12" i="5"/>
  <c r="Y12" i="5"/>
  <c r="R13" i="5"/>
  <c r="S13" i="5"/>
  <c r="T13" i="5"/>
  <c r="U13" i="5"/>
  <c r="V13" i="5"/>
  <c r="W13" i="5"/>
  <c r="X13" i="5"/>
  <c r="Y13" i="5"/>
  <c r="R14" i="5"/>
  <c r="S14" i="5"/>
  <c r="T14" i="5"/>
  <c r="U14" i="5"/>
  <c r="V14" i="5"/>
  <c r="W14" i="5"/>
  <c r="X14" i="5"/>
  <c r="Y14" i="5"/>
  <c r="R15" i="5"/>
  <c r="S15" i="5"/>
  <c r="T15" i="5"/>
  <c r="U15" i="5"/>
  <c r="V15" i="5"/>
  <c r="W15" i="5"/>
  <c r="X15" i="5"/>
  <c r="Y15" i="5"/>
  <c r="R16" i="5"/>
  <c r="S16" i="5"/>
  <c r="T16" i="5"/>
  <c r="U16" i="5"/>
  <c r="V16" i="5"/>
  <c r="W16" i="5"/>
  <c r="X16" i="5"/>
  <c r="Y16" i="5"/>
  <c r="W5" i="5"/>
  <c r="X5" i="5"/>
  <c r="Y5" i="5"/>
  <c r="V5" i="5"/>
  <c r="S5" i="5"/>
  <c r="T5" i="5"/>
  <c r="U5" i="5"/>
  <c r="R5" i="5"/>
  <c r="Z6" i="5"/>
  <c r="AA6" i="5"/>
  <c r="AB6" i="5"/>
  <c r="AC6" i="5"/>
  <c r="AD6" i="5"/>
  <c r="AE6" i="5"/>
  <c r="AF6" i="5"/>
  <c r="AG6" i="5"/>
  <c r="Z7" i="5"/>
  <c r="AA7" i="5"/>
  <c r="AB7" i="5"/>
  <c r="AC7" i="5"/>
  <c r="AD7" i="5"/>
  <c r="AE7" i="5"/>
  <c r="AF7" i="5"/>
  <c r="AG7" i="5"/>
  <c r="Z8" i="5"/>
  <c r="AA8" i="5"/>
  <c r="AB8" i="5"/>
  <c r="AC8" i="5"/>
  <c r="AD8" i="5"/>
  <c r="AE8" i="5"/>
  <c r="AF8" i="5"/>
  <c r="AG8" i="5"/>
  <c r="Z9" i="5"/>
  <c r="AA9" i="5"/>
  <c r="AB9" i="5"/>
  <c r="AC9" i="5"/>
  <c r="AD9" i="5"/>
  <c r="AE9" i="5"/>
  <c r="AF9" i="5"/>
  <c r="AG9" i="5"/>
  <c r="Z10" i="5"/>
  <c r="AA10" i="5"/>
  <c r="AB10" i="5"/>
  <c r="AC10" i="5"/>
  <c r="AD10" i="5"/>
  <c r="AE10" i="5"/>
  <c r="AF10" i="5"/>
  <c r="AG10" i="5"/>
  <c r="Z11" i="5"/>
  <c r="AA11" i="5"/>
  <c r="AB11" i="5"/>
  <c r="AC11" i="5"/>
  <c r="AD11" i="5"/>
  <c r="AE11" i="5"/>
  <c r="AF11" i="5"/>
  <c r="AG11" i="5"/>
  <c r="Z12" i="5"/>
  <c r="AA12" i="5"/>
  <c r="AB12" i="5"/>
  <c r="AC12" i="5"/>
  <c r="AD12" i="5"/>
  <c r="AE12" i="5"/>
  <c r="AF12" i="5"/>
  <c r="AG12" i="5"/>
  <c r="Z13" i="5"/>
  <c r="AA13" i="5"/>
  <c r="AB13" i="5"/>
  <c r="AC13" i="5"/>
  <c r="AD13" i="5"/>
  <c r="AE13" i="5"/>
  <c r="AF13" i="5"/>
  <c r="AG13" i="5"/>
  <c r="Z14" i="5"/>
  <c r="AA14" i="5"/>
  <c r="AB14" i="5"/>
  <c r="AC14" i="5"/>
  <c r="AD14" i="5"/>
  <c r="AE14" i="5"/>
  <c r="AF14" i="5"/>
  <c r="AG14" i="5"/>
  <c r="Z15" i="5"/>
  <c r="AA15" i="5"/>
  <c r="AB15" i="5"/>
  <c r="AC15" i="5"/>
  <c r="AD15" i="5"/>
  <c r="AE15" i="5"/>
  <c r="AF15" i="5"/>
  <c r="AG15" i="5"/>
  <c r="Z16" i="5"/>
  <c r="AA16" i="5"/>
  <c r="AB16" i="5"/>
  <c r="AC16" i="5"/>
  <c r="AD16" i="5"/>
  <c r="AE16" i="5"/>
  <c r="AF16" i="5"/>
  <c r="AG16" i="5"/>
  <c r="AE5" i="5"/>
  <c r="AF5" i="5"/>
  <c r="AG5" i="5"/>
  <c r="AA5" i="5"/>
  <c r="AB5" i="5"/>
  <c r="AC5" i="5"/>
  <c r="AD5" i="5"/>
  <c r="Z5" i="5"/>
  <c r="AH6" i="5"/>
  <c r="AI6" i="5"/>
  <c r="AJ6" i="5"/>
  <c r="AK6" i="5"/>
  <c r="AL6" i="5"/>
  <c r="AM6" i="5"/>
  <c r="AN6" i="5"/>
  <c r="AO6" i="5"/>
  <c r="AH7" i="5"/>
  <c r="AI7" i="5"/>
  <c r="AJ7" i="5"/>
  <c r="AK7" i="5"/>
  <c r="AL7" i="5"/>
  <c r="AM7" i="5"/>
  <c r="AN7" i="5"/>
  <c r="AO7" i="5"/>
  <c r="AH8" i="5"/>
  <c r="AI8" i="5"/>
  <c r="AJ8" i="5"/>
  <c r="AK8" i="5"/>
  <c r="AL8" i="5"/>
  <c r="AM8" i="5"/>
  <c r="AN8" i="5"/>
  <c r="AO8" i="5"/>
  <c r="AH9" i="5"/>
  <c r="AI9" i="5"/>
  <c r="AJ9" i="5"/>
  <c r="AK9" i="5"/>
  <c r="AL9" i="5"/>
  <c r="AM9" i="5"/>
  <c r="AN9" i="5"/>
  <c r="AO9" i="5"/>
  <c r="AH10" i="5"/>
  <c r="AI10" i="5"/>
  <c r="AJ10" i="5"/>
  <c r="AK10" i="5"/>
  <c r="AL10" i="5"/>
  <c r="AM10" i="5"/>
  <c r="AN10" i="5"/>
  <c r="AO10" i="5"/>
  <c r="AH11" i="5"/>
  <c r="AI11" i="5"/>
  <c r="AJ11" i="5"/>
  <c r="AK11" i="5"/>
  <c r="AL11" i="5"/>
  <c r="AM11" i="5"/>
  <c r="AN11" i="5"/>
  <c r="AO11" i="5"/>
  <c r="AH12" i="5"/>
  <c r="AI12" i="5"/>
  <c r="AJ12" i="5"/>
  <c r="AK12" i="5"/>
  <c r="AL12" i="5"/>
  <c r="AM12" i="5"/>
  <c r="AN12" i="5"/>
  <c r="AO12" i="5"/>
  <c r="AH13" i="5"/>
  <c r="AI13" i="5"/>
  <c r="AJ13" i="5"/>
  <c r="AK13" i="5"/>
  <c r="AL13" i="5"/>
  <c r="AM13" i="5"/>
  <c r="AN13" i="5"/>
  <c r="AO13" i="5"/>
  <c r="AH14" i="5"/>
  <c r="AI14" i="5"/>
  <c r="AJ14" i="5"/>
  <c r="AK14" i="5"/>
  <c r="AL14" i="5"/>
  <c r="AM14" i="5"/>
  <c r="AN14" i="5"/>
  <c r="AO14" i="5"/>
  <c r="AH15" i="5"/>
  <c r="AI15" i="5"/>
  <c r="AJ15" i="5"/>
  <c r="AK15" i="5"/>
  <c r="AL15" i="5"/>
  <c r="AM15" i="5"/>
  <c r="AN15" i="5"/>
  <c r="AO15" i="5"/>
  <c r="AH16" i="5"/>
  <c r="AI16" i="5"/>
  <c r="AJ16" i="5"/>
  <c r="AK16" i="5"/>
  <c r="AL16" i="5"/>
  <c r="AM16" i="5"/>
  <c r="AN16" i="5"/>
  <c r="AO16" i="5"/>
  <c r="AM5" i="5"/>
  <c r="AN5" i="5"/>
  <c r="AO5" i="5"/>
  <c r="AI5" i="5"/>
  <c r="AJ5" i="5"/>
  <c r="AK5" i="5"/>
  <c r="AL5" i="5"/>
  <c r="AH5" i="5"/>
  <c r="AP6" i="5"/>
  <c r="AQ6" i="5"/>
  <c r="AR6" i="5"/>
  <c r="AS6" i="5"/>
  <c r="AT6" i="5"/>
  <c r="AU6" i="5"/>
  <c r="AV6" i="5"/>
  <c r="AW6" i="5"/>
  <c r="AP7" i="5"/>
  <c r="AQ7" i="5"/>
  <c r="AR7" i="5"/>
  <c r="AS7" i="5"/>
  <c r="AT7" i="5"/>
  <c r="AU7" i="5"/>
  <c r="AV7" i="5"/>
  <c r="AW7" i="5"/>
  <c r="AP8" i="5"/>
  <c r="AQ8" i="5"/>
  <c r="AR8" i="5"/>
  <c r="AS8" i="5"/>
  <c r="AT8" i="5"/>
  <c r="AU8" i="5"/>
  <c r="AV8" i="5"/>
  <c r="AW8" i="5"/>
  <c r="AP9" i="5"/>
  <c r="AQ9" i="5"/>
  <c r="AR9" i="5"/>
  <c r="AS9" i="5"/>
  <c r="AT9" i="5"/>
  <c r="AU9" i="5"/>
  <c r="AV9" i="5"/>
  <c r="AW9" i="5"/>
  <c r="AP10" i="5"/>
  <c r="AQ10" i="5"/>
  <c r="AR10" i="5"/>
  <c r="AS10" i="5"/>
  <c r="AT10" i="5"/>
  <c r="AU10" i="5"/>
  <c r="AV10" i="5"/>
  <c r="AW10" i="5"/>
  <c r="AP11" i="5"/>
  <c r="AQ11" i="5"/>
  <c r="AR11" i="5"/>
  <c r="AS11" i="5"/>
  <c r="AT11" i="5"/>
  <c r="AU11" i="5"/>
  <c r="AV11" i="5"/>
  <c r="AW11" i="5"/>
  <c r="AP12" i="5"/>
  <c r="AQ12" i="5"/>
  <c r="AR12" i="5"/>
  <c r="AS12" i="5"/>
  <c r="AT12" i="5"/>
  <c r="AU12" i="5"/>
  <c r="AV12" i="5"/>
  <c r="AW12" i="5"/>
  <c r="AP13" i="5"/>
  <c r="AQ13" i="5"/>
  <c r="AR13" i="5"/>
  <c r="AS13" i="5"/>
  <c r="AT13" i="5"/>
  <c r="AU13" i="5"/>
  <c r="AV13" i="5"/>
  <c r="AW13" i="5"/>
  <c r="AP14" i="5"/>
  <c r="AQ14" i="5"/>
  <c r="AR14" i="5"/>
  <c r="AS14" i="5"/>
  <c r="AT14" i="5"/>
  <c r="AU14" i="5"/>
  <c r="AV14" i="5"/>
  <c r="AW14" i="5"/>
  <c r="AP15" i="5"/>
  <c r="AQ15" i="5"/>
  <c r="AR15" i="5"/>
  <c r="AS15" i="5"/>
  <c r="AT15" i="5"/>
  <c r="AU15" i="5"/>
  <c r="AV15" i="5"/>
  <c r="AW15" i="5"/>
  <c r="AP16" i="5"/>
  <c r="AQ16" i="5"/>
  <c r="AR16" i="5"/>
  <c r="AS16" i="5"/>
  <c r="AT16" i="5"/>
  <c r="AU16" i="5"/>
  <c r="AV16" i="5"/>
  <c r="AW16" i="5"/>
  <c r="AU5" i="5"/>
  <c r="AV5" i="5"/>
  <c r="AW5" i="5"/>
  <c r="AQ5" i="5"/>
  <c r="AR5" i="5"/>
  <c r="AS5" i="5"/>
  <c r="AT5" i="5"/>
  <c r="AP5" i="5"/>
  <c r="AX6" i="5"/>
  <c r="AY6" i="5"/>
  <c r="AZ6" i="5"/>
  <c r="BA6" i="5"/>
  <c r="AX7" i="5"/>
  <c r="AZ7" i="5"/>
  <c r="BA7" i="5"/>
  <c r="AX8" i="5"/>
  <c r="AY8" i="5"/>
  <c r="AZ8" i="5"/>
  <c r="BA8" i="5"/>
  <c r="AX9" i="5"/>
  <c r="AZ9" i="5"/>
  <c r="BA9" i="5"/>
  <c r="AX10" i="5"/>
  <c r="AZ10" i="5"/>
  <c r="BA10" i="5"/>
  <c r="AX11" i="5"/>
  <c r="AZ11" i="5"/>
  <c r="BA11" i="5"/>
  <c r="AX12" i="5"/>
  <c r="AZ12" i="5"/>
  <c r="BA12" i="5"/>
  <c r="AX13" i="5"/>
  <c r="AZ13" i="5"/>
  <c r="BA13" i="5"/>
  <c r="AX14" i="5"/>
  <c r="AZ14" i="5"/>
  <c r="BA14" i="5"/>
  <c r="AX15" i="5"/>
  <c r="AZ15" i="5"/>
  <c r="BA15" i="5"/>
  <c r="AX16" i="5"/>
  <c r="AZ16" i="5"/>
  <c r="BA16" i="5"/>
  <c r="AY5" i="5"/>
  <c r="AZ5" i="5"/>
  <c r="BA5" i="5"/>
  <c r="B5" i="4"/>
  <c r="AX6" i="4"/>
  <c r="AY6" i="4"/>
  <c r="AZ6" i="4"/>
  <c r="BA6" i="4"/>
  <c r="AX7" i="4"/>
  <c r="BA7" i="4"/>
  <c r="AX8" i="4"/>
  <c r="AY8" i="4"/>
  <c r="AZ8" i="4"/>
  <c r="BA8" i="4"/>
  <c r="AX9" i="4"/>
  <c r="BA9" i="4"/>
  <c r="AX10" i="4"/>
  <c r="BA10" i="4"/>
  <c r="AX11" i="4"/>
  <c r="BA11" i="4"/>
  <c r="AX12" i="4"/>
  <c r="BA12" i="4"/>
  <c r="AX13" i="4"/>
  <c r="BA13" i="4"/>
  <c r="AX14" i="4"/>
  <c r="BA14" i="4"/>
  <c r="AX15" i="4"/>
  <c r="BA15" i="4"/>
  <c r="AX16" i="4"/>
  <c r="BA16" i="4"/>
  <c r="AX17" i="4"/>
  <c r="BA17" i="4"/>
  <c r="AX18" i="4"/>
  <c r="BA18" i="4"/>
  <c r="AX19" i="4"/>
  <c r="BA19" i="4"/>
  <c r="AX20" i="4"/>
  <c r="BA20" i="4"/>
  <c r="AX21" i="4"/>
  <c r="BA21" i="4"/>
  <c r="AX22" i="4"/>
  <c r="BA22" i="4"/>
  <c r="AX23" i="4"/>
  <c r="BA23" i="4"/>
  <c r="AX24" i="4"/>
  <c r="BA24" i="4"/>
  <c r="AX25" i="4"/>
  <c r="BA25" i="4"/>
  <c r="AX26" i="4"/>
  <c r="BA26" i="4"/>
  <c r="AY5" i="4"/>
  <c r="AZ5" i="4"/>
  <c r="BA5" i="4"/>
  <c r="AP6" i="4"/>
  <c r="AQ6" i="4"/>
  <c r="AR6" i="4"/>
  <c r="AS6" i="4"/>
  <c r="AT6" i="4"/>
  <c r="AU6" i="4"/>
  <c r="AV6" i="4"/>
  <c r="AW6" i="4"/>
  <c r="AP7" i="4"/>
  <c r="AQ7" i="4"/>
  <c r="AR7" i="4"/>
  <c r="AS7" i="4"/>
  <c r="AT7" i="4"/>
  <c r="AU7" i="4"/>
  <c r="AV7" i="4"/>
  <c r="AW7" i="4"/>
  <c r="AP8" i="4"/>
  <c r="AQ8" i="4"/>
  <c r="AR8" i="4"/>
  <c r="AS8" i="4"/>
  <c r="AT8" i="4"/>
  <c r="AU8" i="4"/>
  <c r="AV8" i="4"/>
  <c r="AW8" i="4"/>
  <c r="AP9" i="4"/>
  <c r="AQ9" i="4"/>
  <c r="AR9" i="4"/>
  <c r="AS9" i="4"/>
  <c r="AT9" i="4"/>
  <c r="AU9" i="4"/>
  <c r="AV9" i="4"/>
  <c r="AW9" i="4"/>
  <c r="AP10" i="4"/>
  <c r="AQ10" i="4"/>
  <c r="AR10" i="4"/>
  <c r="AS10" i="4"/>
  <c r="AT10" i="4"/>
  <c r="AU10" i="4"/>
  <c r="AV10" i="4"/>
  <c r="AW10" i="4"/>
  <c r="AP11" i="4"/>
  <c r="AQ11" i="4"/>
  <c r="AR11" i="4"/>
  <c r="AS11" i="4"/>
  <c r="AT11" i="4"/>
  <c r="AU11" i="4"/>
  <c r="AV11" i="4"/>
  <c r="AW11" i="4"/>
  <c r="AP12" i="4"/>
  <c r="AQ12" i="4"/>
  <c r="AR12" i="4"/>
  <c r="AS12" i="4"/>
  <c r="AT12" i="4"/>
  <c r="AU12" i="4"/>
  <c r="AV12" i="4"/>
  <c r="AW12" i="4"/>
  <c r="AP13" i="4"/>
  <c r="AQ13" i="4"/>
  <c r="AR13" i="4"/>
  <c r="AS13" i="4"/>
  <c r="AT13" i="4"/>
  <c r="AU13" i="4"/>
  <c r="AV13" i="4"/>
  <c r="AW13" i="4"/>
  <c r="AP14" i="4"/>
  <c r="AQ14" i="4"/>
  <c r="AR14" i="4"/>
  <c r="AS14" i="4"/>
  <c r="AT14" i="4"/>
  <c r="AU14" i="4"/>
  <c r="AV14" i="4"/>
  <c r="AW14" i="4"/>
  <c r="AP15" i="4"/>
  <c r="AQ15" i="4"/>
  <c r="AR15" i="4"/>
  <c r="AS15" i="4"/>
  <c r="AT15" i="4"/>
  <c r="AU15" i="4"/>
  <c r="AV15" i="4"/>
  <c r="AW15" i="4"/>
  <c r="AP16" i="4"/>
  <c r="AQ16" i="4"/>
  <c r="AR16" i="4"/>
  <c r="AS16" i="4"/>
  <c r="AT16" i="4"/>
  <c r="AU16" i="4"/>
  <c r="AV16" i="4"/>
  <c r="AW16" i="4"/>
  <c r="AP17" i="4"/>
  <c r="AQ17" i="4"/>
  <c r="AR17" i="4"/>
  <c r="AS17" i="4"/>
  <c r="AT17" i="4"/>
  <c r="AU17" i="4"/>
  <c r="AV17" i="4"/>
  <c r="AW17" i="4"/>
  <c r="AP18" i="4"/>
  <c r="AQ18" i="4"/>
  <c r="AR18" i="4"/>
  <c r="AS18" i="4"/>
  <c r="AT18" i="4"/>
  <c r="AU18" i="4"/>
  <c r="AV18" i="4"/>
  <c r="AW18" i="4"/>
  <c r="AP19" i="4"/>
  <c r="AQ19" i="4"/>
  <c r="AR19" i="4"/>
  <c r="AS19" i="4"/>
  <c r="AT19" i="4"/>
  <c r="AU19" i="4"/>
  <c r="AV19" i="4"/>
  <c r="AW19" i="4"/>
  <c r="AP20" i="4"/>
  <c r="AQ20" i="4"/>
  <c r="AR20" i="4"/>
  <c r="AS20" i="4"/>
  <c r="AT20" i="4"/>
  <c r="AU20" i="4"/>
  <c r="AV20" i="4"/>
  <c r="AW20" i="4"/>
  <c r="AP21" i="4"/>
  <c r="AQ21" i="4"/>
  <c r="AR21" i="4"/>
  <c r="AS21" i="4"/>
  <c r="AT21" i="4"/>
  <c r="AU21" i="4"/>
  <c r="AV21" i="4"/>
  <c r="AW21" i="4"/>
  <c r="AP22" i="4"/>
  <c r="AQ22" i="4"/>
  <c r="AR22" i="4"/>
  <c r="AS22" i="4"/>
  <c r="AT22" i="4"/>
  <c r="AU22" i="4"/>
  <c r="AV22" i="4"/>
  <c r="AW22" i="4"/>
  <c r="AP23" i="4"/>
  <c r="AQ23" i="4"/>
  <c r="AR23" i="4"/>
  <c r="AS23" i="4"/>
  <c r="AT23" i="4"/>
  <c r="AU23" i="4"/>
  <c r="AV23" i="4"/>
  <c r="AW23" i="4"/>
  <c r="AP24" i="4"/>
  <c r="AQ24" i="4"/>
  <c r="AR24" i="4"/>
  <c r="AS24" i="4"/>
  <c r="AT24" i="4"/>
  <c r="AU24" i="4"/>
  <c r="AV24" i="4"/>
  <c r="AW24" i="4"/>
  <c r="AP25" i="4"/>
  <c r="AQ25" i="4"/>
  <c r="AR25" i="4"/>
  <c r="AS25" i="4"/>
  <c r="AT25" i="4"/>
  <c r="AU25" i="4"/>
  <c r="AV25" i="4"/>
  <c r="AW25" i="4"/>
  <c r="AP26" i="4"/>
  <c r="AQ26" i="4"/>
  <c r="AR26" i="4"/>
  <c r="AS26" i="4"/>
  <c r="AT26" i="4"/>
  <c r="AU26" i="4"/>
  <c r="AV26" i="4"/>
  <c r="AW26" i="4"/>
  <c r="AU5" i="4"/>
  <c r="AV5" i="4"/>
  <c r="AW5" i="4"/>
  <c r="AQ5" i="4"/>
  <c r="AR5" i="4"/>
  <c r="AS5" i="4"/>
  <c r="AH6" i="4"/>
  <c r="AI6" i="4"/>
  <c r="AJ6" i="4"/>
  <c r="AK6" i="4"/>
  <c r="AL6" i="4"/>
  <c r="AM6" i="4"/>
  <c r="AN6" i="4"/>
  <c r="AO6" i="4"/>
  <c r="AH7" i="4"/>
  <c r="AI7" i="4"/>
  <c r="AJ7" i="4"/>
  <c r="AK7" i="4"/>
  <c r="AL7" i="4"/>
  <c r="AM7" i="4"/>
  <c r="AN7" i="4"/>
  <c r="AO7" i="4"/>
  <c r="AH8" i="4"/>
  <c r="AI8" i="4"/>
  <c r="AJ8" i="4"/>
  <c r="AK8" i="4"/>
  <c r="AL8" i="4"/>
  <c r="AM8" i="4"/>
  <c r="AN8" i="4"/>
  <c r="AO8" i="4"/>
  <c r="AH9" i="4"/>
  <c r="AI9" i="4"/>
  <c r="AJ9" i="4"/>
  <c r="AK9" i="4"/>
  <c r="AL9" i="4"/>
  <c r="AM9" i="4"/>
  <c r="AN9" i="4"/>
  <c r="AO9" i="4"/>
  <c r="AH10" i="4"/>
  <c r="AI10" i="4"/>
  <c r="AJ10" i="4"/>
  <c r="AK10" i="4"/>
  <c r="AL10" i="4"/>
  <c r="AM10" i="4"/>
  <c r="AN10" i="4"/>
  <c r="AO10" i="4"/>
  <c r="AH11" i="4"/>
  <c r="AI11" i="4"/>
  <c r="AJ11" i="4"/>
  <c r="AK11" i="4"/>
  <c r="AL11" i="4"/>
  <c r="AM11" i="4"/>
  <c r="AN11" i="4"/>
  <c r="AO11" i="4"/>
  <c r="AH12" i="4"/>
  <c r="AI12" i="4"/>
  <c r="AJ12" i="4"/>
  <c r="AK12" i="4"/>
  <c r="AL12" i="4"/>
  <c r="AM12" i="4"/>
  <c r="AN12" i="4"/>
  <c r="AO12" i="4"/>
  <c r="AH13" i="4"/>
  <c r="AI13" i="4"/>
  <c r="AJ13" i="4"/>
  <c r="AK13" i="4"/>
  <c r="AL13" i="4"/>
  <c r="AM13" i="4"/>
  <c r="AN13" i="4"/>
  <c r="AO13" i="4"/>
  <c r="AH14" i="4"/>
  <c r="AI14" i="4"/>
  <c r="AJ14" i="4"/>
  <c r="AK14" i="4"/>
  <c r="AL14" i="4"/>
  <c r="AM14" i="4"/>
  <c r="AN14" i="4"/>
  <c r="AO14" i="4"/>
  <c r="AH15" i="4"/>
  <c r="AI15" i="4"/>
  <c r="AJ15" i="4"/>
  <c r="AK15" i="4"/>
  <c r="AL15" i="4"/>
  <c r="AM15" i="4"/>
  <c r="AN15" i="4"/>
  <c r="AO15" i="4"/>
  <c r="AH16" i="4"/>
  <c r="AI16" i="4"/>
  <c r="AJ16" i="4"/>
  <c r="AK16" i="4"/>
  <c r="AL16" i="4"/>
  <c r="AM16" i="4"/>
  <c r="AN16" i="4"/>
  <c r="AO16" i="4"/>
  <c r="AH17" i="4"/>
  <c r="AI17" i="4"/>
  <c r="AJ17" i="4"/>
  <c r="AK17" i="4"/>
  <c r="AL17" i="4"/>
  <c r="AM17" i="4"/>
  <c r="AN17" i="4"/>
  <c r="AO17" i="4"/>
  <c r="AH18" i="4"/>
  <c r="AI18" i="4"/>
  <c r="AJ18" i="4"/>
  <c r="AK18" i="4"/>
  <c r="AL18" i="4"/>
  <c r="AM18" i="4"/>
  <c r="AN18" i="4"/>
  <c r="AO18" i="4"/>
  <c r="AH19" i="4"/>
  <c r="AI19" i="4"/>
  <c r="AJ19" i="4"/>
  <c r="AK19" i="4"/>
  <c r="AL19" i="4"/>
  <c r="AM19" i="4"/>
  <c r="AN19" i="4"/>
  <c r="AO19" i="4"/>
  <c r="AH20" i="4"/>
  <c r="AI20" i="4"/>
  <c r="AJ20" i="4"/>
  <c r="AK20" i="4"/>
  <c r="AL20" i="4"/>
  <c r="AM20" i="4"/>
  <c r="AN20" i="4"/>
  <c r="AO20" i="4"/>
  <c r="AH21" i="4"/>
  <c r="AI21" i="4"/>
  <c r="AJ21" i="4"/>
  <c r="AK21" i="4"/>
  <c r="AL21" i="4"/>
  <c r="AM21" i="4"/>
  <c r="AN21" i="4"/>
  <c r="AO21" i="4"/>
  <c r="AH22" i="4"/>
  <c r="AI22" i="4"/>
  <c r="AJ22" i="4"/>
  <c r="AK22" i="4"/>
  <c r="AL22" i="4"/>
  <c r="AM22" i="4"/>
  <c r="AN22" i="4"/>
  <c r="AO22" i="4"/>
  <c r="AH23" i="4"/>
  <c r="AI23" i="4"/>
  <c r="AJ23" i="4"/>
  <c r="AK23" i="4"/>
  <c r="AL23" i="4"/>
  <c r="AM23" i="4"/>
  <c r="AN23" i="4"/>
  <c r="AO23" i="4"/>
  <c r="AH24" i="4"/>
  <c r="AI24" i="4"/>
  <c r="AJ24" i="4"/>
  <c r="AK24" i="4"/>
  <c r="AL24" i="4"/>
  <c r="AM24" i="4"/>
  <c r="AN24" i="4"/>
  <c r="AO24" i="4"/>
  <c r="AH25" i="4"/>
  <c r="AI25" i="4"/>
  <c r="AJ25" i="4"/>
  <c r="AK25" i="4"/>
  <c r="AL25" i="4"/>
  <c r="AM25" i="4"/>
  <c r="AN25" i="4"/>
  <c r="AO25" i="4"/>
  <c r="AH26" i="4"/>
  <c r="AI26" i="4"/>
  <c r="AJ26" i="4"/>
  <c r="AK26" i="4"/>
  <c r="AL26" i="4"/>
  <c r="AM26" i="4"/>
  <c r="AN26" i="4"/>
  <c r="AO26" i="4"/>
  <c r="AM5" i="4"/>
  <c r="AN5" i="4"/>
  <c r="AO5" i="4"/>
  <c r="AI5" i="4"/>
  <c r="AJ5" i="4"/>
  <c r="AK5" i="4"/>
  <c r="Z6" i="4"/>
  <c r="AA6" i="4"/>
  <c r="AB6" i="4"/>
  <c r="AC6" i="4"/>
  <c r="AD6" i="4"/>
  <c r="AE6" i="4"/>
  <c r="AF6" i="4"/>
  <c r="AG6" i="4"/>
  <c r="Z7" i="4"/>
  <c r="AA7" i="4"/>
  <c r="AB7" i="4"/>
  <c r="AC7" i="4"/>
  <c r="AD7" i="4"/>
  <c r="AE7" i="4"/>
  <c r="AF7" i="4"/>
  <c r="AG7" i="4"/>
  <c r="Z8" i="4"/>
  <c r="AA8" i="4"/>
  <c r="AB8" i="4"/>
  <c r="AC8" i="4"/>
  <c r="AD8" i="4"/>
  <c r="AE8" i="4"/>
  <c r="AF8" i="4"/>
  <c r="AG8" i="4"/>
  <c r="Z9" i="4"/>
  <c r="AA9" i="4"/>
  <c r="AB9" i="4"/>
  <c r="AC9" i="4"/>
  <c r="AD9" i="4"/>
  <c r="AE9" i="4"/>
  <c r="AF9" i="4"/>
  <c r="AG9" i="4"/>
  <c r="Z10" i="4"/>
  <c r="AA10" i="4"/>
  <c r="AB10" i="4"/>
  <c r="AC10" i="4"/>
  <c r="AD10" i="4"/>
  <c r="AE10" i="4"/>
  <c r="AF10" i="4"/>
  <c r="AG10" i="4"/>
  <c r="Z11" i="4"/>
  <c r="AA11" i="4"/>
  <c r="AB11" i="4"/>
  <c r="AC11" i="4"/>
  <c r="AD11" i="4"/>
  <c r="AE11" i="4"/>
  <c r="AF11" i="4"/>
  <c r="AG11" i="4"/>
  <c r="Z12" i="4"/>
  <c r="AA12" i="4"/>
  <c r="AB12" i="4"/>
  <c r="AC12" i="4"/>
  <c r="AD12" i="4"/>
  <c r="AE12" i="4"/>
  <c r="AF12" i="4"/>
  <c r="AG12" i="4"/>
  <c r="Z13" i="4"/>
  <c r="AA13" i="4"/>
  <c r="AB13" i="4"/>
  <c r="AC13" i="4"/>
  <c r="AD13" i="4"/>
  <c r="AE13" i="4"/>
  <c r="AF13" i="4"/>
  <c r="AG13" i="4"/>
  <c r="Z14" i="4"/>
  <c r="AA14" i="4"/>
  <c r="AB14" i="4"/>
  <c r="AC14" i="4"/>
  <c r="AD14" i="4"/>
  <c r="AE14" i="4"/>
  <c r="AF14" i="4"/>
  <c r="AG14" i="4"/>
  <c r="Z15" i="4"/>
  <c r="AA15" i="4"/>
  <c r="AB15" i="4"/>
  <c r="AC15" i="4"/>
  <c r="AD15" i="4"/>
  <c r="AE15" i="4"/>
  <c r="AF15" i="4"/>
  <c r="AG15" i="4"/>
  <c r="Z16" i="4"/>
  <c r="AA16" i="4"/>
  <c r="AB16" i="4"/>
  <c r="AC16" i="4"/>
  <c r="AD16" i="4"/>
  <c r="AE16" i="4"/>
  <c r="AF16" i="4"/>
  <c r="AG16" i="4"/>
  <c r="Z17" i="4"/>
  <c r="AA17" i="4"/>
  <c r="AB17" i="4"/>
  <c r="AC17" i="4"/>
  <c r="AD17" i="4"/>
  <c r="AE17" i="4"/>
  <c r="AF17" i="4"/>
  <c r="AG17" i="4"/>
  <c r="Z18" i="4"/>
  <c r="AA18" i="4"/>
  <c r="AB18" i="4"/>
  <c r="AC18" i="4"/>
  <c r="AD18" i="4"/>
  <c r="AE18" i="4"/>
  <c r="AF18" i="4"/>
  <c r="AG18" i="4"/>
  <c r="Z19" i="4"/>
  <c r="AA19" i="4"/>
  <c r="AB19" i="4"/>
  <c r="AC19" i="4"/>
  <c r="AD19" i="4"/>
  <c r="AE19" i="4"/>
  <c r="AF19" i="4"/>
  <c r="AG19" i="4"/>
  <c r="Z20" i="4"/>
  <c r="AA20" i="4"/>
  <c r="AB20" i="4"/>
  <c r="AC20" i="4"/>
  <c r="AD20" i="4"/>
  <c r="AE20" i="4"/>
  <c r="AF20" i="4"/>
  <c r="AG20" i="4"/>
  <c r="Z21" i="4"/>
  <c r="AA21" i="4"/>
  <c r="AB21" i="4"/>
  <c r="AC21" i="4"/>
  <c r="AD21" i="4"/>
  <c r="AE21" i="4"/>
  <c r="AF21" i="4"/>
  <c r="AG21" i="4"/>
  <c r="Z22" i="4"/>
  <c r="AA22" i="4"/>
  <c r="AB22" i="4"/>
  <c r="AC22" i="4"/>
  <c r="AD22" i="4"/>
  <c r="AE22" i="4"/>
  <c r="AF22" i="4"/>
  <c r="AG22" i="4"/>
  <c r="Z23" i="4"/>
  <c r="AA23" i="4"/>
  <c r="AB23" i="4"/>
  <c r="AC23" i="4"/>
  <c r="AD23" i="4"/>
  <c r="AE23" i="4"/>
  <c r="AF23" i="4"/>
  <c r="AG23" i="4"/>
  <c r="Z24" i="4"/>
  <c r="AA24" i="4"/>
  <c r="AB24" i="4"/>
  <c r="AC24" i="4"/>
  <c r="AD24" i="4"/>
  <c r="AE24" i="4"/>
  <c r="AF24" i="4"/>
  <c r="AG24" i="4"/>
  <c r="Z25" i="4"/>
  <c r="AA25" i="4"/>
  <c r="AB25" i="4"/>
  <c r="AC25" i="4"/>
  <c r="AD25" i="4"/>
  <c r="AE25" i="4"/>
  <c r="AF25" i="4"/>
  <c r="AG25" i="4"/>
  <c r="Z26" i="4"/>
  <c r="AA26" i="4"/>
  <c r="AB26" i="4"/>
  <c r="AC26" i="4"/>
  <c r="AD26" i="4"/>
  <c r="AE26" i="4"/>
  <c r="AF26" i="4"/>
  <c r="AG26" i="4"/>
  <c r="AE5" i="4"/>
  <c r="AF5" i="4"/>
  <c r="AG5" i="4"/>
  <c r="AA5" i="4"/>
  <c r="AB5" i="4"/>
  <c r="AC5" i="4"/>
  <c r="R6" i="4"/>
  <c r="S6" i="4"/>
  <c r="T6" i="4"/>
  <c r="U6" i="4"/>
  <c r="V6" i="4"/>
  <c r="W6" i="4"/>
  <c r="X6" i="4"/>
  <c r="Y6" i="4"/>
  <c r="R7" i="4"/>
  <c r="S7" i="4"/>
  <c r="T7" i="4"/>
  <c r="U7" i="4"/>
  <c r="V7" i="4"/>
  <c r="W7" i="4"/>
  <c r="X7" i="4"/>
  <c r="Y7" i="4"/>
  <c r="R8" i="4"/>
  <c r="S8" i="4"/>
  <c r="T8" i="4"/>
  <c r="U8" i="4"/>
  <c r="V8" i="4"/>
  <c r="W8" i="4"/>
  <c r="X8" i="4"/>
  <c r="Y8" i="4"/>
  <c r="R9" i="4"/>
  <c r="S9" i="4"/>
  <c r="T9" i="4"/>
  <c r="U9" i="4"/>
  <c r="V9" i="4"/>
  <c r="W9" i="4"/>
  <c r="X9" i="4"/>
  <c r="Y9" i="4"/>
  <c r="R10" i="4"/>
  <c r="S10" i="4"/>
  <c r="T10" i="4"/>
  <c r="U10" i="4"/>
  <c r="V10" i="4"/>
  <c r="W10" i="4"/>
  <c r="X10" i="4"/>
  <c r="Y10" i="4"/>
  <c r="R11" i="4"/>
  <c r="S11" i="4"/>
  <c r="T11" i="4"/>
  <c r="U11" i="4"/>
  <c r="V11" i="4"/>
  <c r="W11" i="4"/>
  <c r="X11" i="4"/>
  <c r="Y11" i="4"/>
  <c r="R12" i="4"/>
  <c r="S12" i="4"/>
  <c r="T12" i="4"/>
  <c r="U12" i="4"/>
  <c r="V12" i="4"/>
  <c r="W12" i="4"/>
  <c r="X12" i="4"/>
  <c r="Y12" i="4"/>
  <c r="R13" i="4"/>
  <c r="S13" i="4"/>
  <c r="T13" i="4"/>
  <c r="U13" i="4"/>
  <c r="V13" i="4"/>
  <c r="W13" i="4"/>
  <c r="X13" i="4"/>
  <c r="Y13" i="4"/>
  <c r="R14" i="4"/>
  <c r="S14" i="4"/>
  <c r="T14" i="4"/>
  <c r="U14" i="4"/>
  <c r="V14" i="4"/>
  <c r="W14" i="4"/>
  <c r="X14" i="4"/>
  <c r="Y14" i="4"/>
  <c r="R15" i="4"/>
  <c r="S15" i="4"/>
  <c r="T15" i="4"/>
  <c r="U15" i="4"/>
  <c r="V15" i="4"/>
  <c r="W15" i="4"/>
  <c r="X15" i="4"/>
  <c r="Y15" i="4"/>
  <c r="R16" i="4"/>
  <c r="S16" i="4"/>
  <c r="T16" i="4"/>
  <c r="U16" i="4"/>
  <c r="V16" i="4"/>
  <c r="W16" i="4"/>
  <c r="X16" i="4"/>
  <c r="Y16" i="4"/>
  <c r="R17" i="4"/>
  <c r="S17" i="4"/>
  <c r="T17" i="4"/>
  <c r="U17" i="4"/>
  <c r="V17" i="4"/>
  <c r="W17" i="4"/>
  <c r="X17" i="4"/>
  <c r="Y17" i="4"/>
  <c r="R18" i="4"/>
  <c r="S18" i="4"/>
  <c r="T18" i="4"/>
  <c r="U18" i="4"/>
  <c r="V18" i="4"/>
  <c r="W18" i="4"/>
  <c r="X18" i="4"/>
  <c r="Y18" i="4"/>
  <c r="R19" i="4"/>
  <c r="S19" i="4"/>
  <c r="T19" i="4"/>
  <c r="U19" i="4"/>
  <c r="V19" i="4"/>
  <c r="W19" i="4"/>
  <c r="X19" i="4"/>
  <c r="Y19" i="4"/>
  <c r="R20" i="4"/>
  <c r="S20" i="4"/>
  <c r="T20" i="4"/>
  <c r="U20" i="4"/>
  <c r="V20" i="4"/>
  <c r="W20" i="4"/>
  <c r="X20" i="4"/>
  <c r="Y20" i="4"/>
  <c r="R21" i="4"/>
  <c r="S21" i="4"/>
  <c r="T21" i="4"/>
  <c r="U21" i="4"/>
  <c r="V21" i="4"/>
  <c r="W21" i="4"/>
  <c r="X21" i="4"/>
  <c r="Y21" i="4"/>
  <c r="R22" i="4"/>
  <c r="S22" i="4"/>
  <c r="T22" i="4"/>
  <c r="U22" i="4"/>
  <c r="V22" i="4"/>
  <c r="W22" i="4"/>
  <c r="X22" i="4"/>
  <c r="Y22" i="4"/>
  <c r="R23" i="4"/>
  <c r="S23" i="4"/>
  <c r="T23" i="4"/>
  <c r="U23" i="4"/>
  <c r="V23" i="4"/>
  <c r="W23" i="4"/>
  <c r="X23" i="4"/>
  <c r="Y23" i="4"/>
  <c r="R24" i="4"/>
  <c r="S24" i="4"/>
  <c r="T24" i="4"/>
  <c r="U24" i="4"/>
  <c r="V24" i="4"/>
  <c r="W24" i="4"/>
  <c r="X24" i="4"/>
  <c r="Y24" i="4"/>
  <c r="R25" i="4"/>
  <c r="S25" i="4"/>
  <c r="T25" i="4"/>
  <c r="U25" i="4"/>
  <c r="V25" i="4"/>
  <c r="W25" i="4"/>
  <c r="X25" i="4"/>
  <c r="Y25" i="4"/>
  <c r="R26" i="4"/>
  <c r="S26" i="4"/>
  <c r="T26" i="4"/>
  <c r="U26" i="4"/>
  <c r="V26" i="4"/>
  <c r="W26" i="4"/>
  <c r="X26" i="4"/>
  <c r="Y26" i="4"/>
  <c r="W5" i="4"/>
  <c r="X5" i="4"/>
  <c r="Y5" i="4"/>
  <c r="S5" i="4"/>
  <c r="T5" i="4"/>
  <c r="U5" i="4"/>
  <c r="J6" i="4"/>
  <c r="K6" i="4"/>
  <c r="L6" i="4"/>
  <c r="M6" i="4"/>
  <c r="N6" i="4"/>
  <c r="O6" i="4"/>
  <c r="P6" i="4"/>
  <c r="Q6" i="4"/>
  <c r="J7" i="4"/>
  <c r="K7" i="4"/>
  <c r="L7" i="4"/>
  <c r="M7" i="4"/>
  <c r="N7" i="4"/>
  <c r="O7" i="4"/>
  <c r="P7" i="4"/>
  <c r="Q7" i="4"/>
  <c r="J8" i="4"/>
  <c r="K8" i="4"/>
  <c r="L8" i="4"/>
  <c r="M8" i="4"/>
  <c r="N8" i="4"/>
  <c r="O8" i="4"/>
  <c r="P8" i="4"/>
  <c r="Q8" i="4"/>
  <c r="J9" i="4"/>
  <c r="K9" i="4"/>
  <c r="L9" i="4"/>
  <c r="M9" i="4"/>
  <c r="N9" i="4"/>
  <c r="O9" i="4"/>
  <c r="P9" i="4"/>
  <c r="Q9" i="4"/>
  <c r="J10" i="4"/>
  <c r="K10" i="4"/>
  <c r="L10" i="4"/>
  <c r="M10" i="4"/>
  <c r="N10" i="4"/>
  <c r="O10" i="4"/>
  <c r="P10" i="4"/>
  <c r="Q10" i="4"/>
  <c r="J11" i="4"/>
  <c r="K11" i="4"/>
  <c r="L11" i="4"/>
  <c r="M11" i="4"/>
  <c r="N11" i="4"/>
  <c r="O11" i="4"/>
  <c r="P11" i="4"/>
  <c r="Q11" i="4"/>
  <c r="J12" i="4"/>
  <c r="K12" i="4"/>
  <c r="L12" i="4"/>
  <c r="M12" i="4"/>
  <c r="N12" i="4"/>
  <c r="O12" i="4"/>
  <c r="P12" i="4"/>
  <c r="Q12" i="4"/>
  <c r="J13" i="4"/>
  <c r="K13" i="4"/>
  <c r="L13" i="4"/>
  <c r="M13" i="4"/>
  <c r="N13" i="4"/>
  <c r="O13" i="4"/>
  <c r="P13" i="4"/>
  <c r="Q13" i="4"/>
  <c r="J14" i="4"/>
  <c r="K14" i="4"/>
  <c r="L14" i="4"/>
  <c r="M14" i="4"/>
  <c r="N14" i="4"/>
  <c r="O14" i="4"/>
  <c r="P14" i="4"/>
  <c r="Q14" i="4"/>
  <c r="J15" i="4"/>
  <c r="K15" i="4"/>
  <c r="L15" i="4"/>
  <c r="M15" i="4"/>
  <c r="N15" i="4"/>
  <c r="O15" i="4"/>
  <c r="P15" i="4"/>
  <c r="Q15" i="4"/>
  <c r="J16" i="4"/>
  <c r="K16" i="4"/>
  <c r="L16" i="4"/>
  <c r="M16" i="4"/>
  <c r="N16" i="4"/>
  <c r="O16" i="4"/>
  <c r="P16" i="4"/>
  <c r="Q16" i="4"/>
  <c r="J17" i="4"/>
  <c r="K17" i="4"/>
  <c r="L17" i="4"/>
  <c r="M17" i="4"/>
  <c r="N17" i="4"/>
  <c r="O17" i="4"/>
  <c r="P17" i="4"/>
  <c r="Q17" i="4"/>
  <c r="J18" i="4"/>
  <c r="K18" i="4"/>
  <c r="L18" i="4"/>
  <c r="M18" i="4"/>
  <c r="N18" i="4"/>
  <c r="O18" i="4"/>
  <c r="P18" i="4"/>
  <c r="Q18" i="4"/>
  <c r="J19" i="4"/>
  <c r="K19" i="4"/>
  <c r="L19" i="4"/>
  <c r="M19" i="4"/>
  <c r="N19" i="4"/>
  <c r="O19" i="4"/>
  <c r="P19" i="4"/>
  <c r="Q19" i="4"/>
  <c r="J20" i="4"/>
  <c r="K20" i="4"/>
  <c r="L20" i="4"/>
  <c r="M20" i="4"/>
  <c r="N20" i="4"/>
  <c r="O20" i="4"/>
  <c r="P20" i="4"/>
  <c r="Q20" i="4"/>
  <c r="J21" i="4"/>
  <c r="K21" i="4"/>
  <c r="L21" i="4"/>
  <c r="M21" i="4"/>
  <c r="N21" i="4"/>
  <c r="O21" i="4"/>
  <c r="P21" i="4"/>
  <c r="Q21" i="4"/>
  <c r="J22" i="4"/>
  <c r="K22" i="4"/>
  <c r="L22" i="4"/>
  <c r="M22" i="4"/>
  <c r="N22" i="4"/>
  <c r="O22" i="4"/>
  <c r="P22" i="4"/>
  <c r="Q22" i="4"/>
  <c r="J23" i="4"/>
  <c r="K23" i="4"/>
  <c r="L23" i="4"/>
  <c r="M23" i="4"/>
  <c r="N23" i="4"/>
  <c r="O23" i="4"/>
  <c r="P23" i="4"/>
  <c r="Q23" i="4"/>
  <c r="J24" i="4"/>
  <c r="K24" i="4"/>
  <c r="L24" i="4"/>
  <c r="M24" i="4"/>
  <c r="N24" i="4"/>
  <c r="O24" i="4"/>
  <c r="P24" i="4"/>
  <c r="Q24" i="4"/>
  <c r="J25" i="4"/>
  <c r="K25" i="4"/>
  <c r="L25" i="4"/>
  <c r="M25" i="4"/>
  <c r="N25" i="4"/>
  <c r="O25" i="4"/>
  <c r="P25" i="4"/>
  <c r="Q25" i="4"/>
  <c r="J26" i="4"/>
  <c r="K26" i="4"/>
  <c r="L26" i="4"/>
  <c r="M26" i="4"/>
  <c r="N26" i="4"/>
  <c r="O26" i="4"/>
  <c r="P26" i="4"/>
  <c r="Q26" i="4"/>
  <c r="O5" i="4"/>
  <c r="P5" i="4"/>
  <c r="Q5" i="4"/>
  <c r="K5" i="4"/>
  <c r="L5" i="4"/>
  <c r="M5" i="4"/>
  <c r="B6" i="4"/>
  <c r="C6" i="4"/>
  <c r="D6" i="4"/>
  <c r="E6" i="4"/>
  <c r="F6" i="4"/>
  <c r="G6" i="4"/>
  <c r="H6" i="4"/>
  <c r="I6" i="4"/>
  <c r="B7" i="4"/>
  <c r="C7" i="4"/>
  <c r="D7" i="4"/>
  <c r="E7" i="4"/>
  <c r="F7" i="4"/>
  <c r="G7" i="4"/>
  <c r="H7" i="4"/>
  <c r="I7" i="4"/>
  <c r="B8" i="4"/>
  <c r="C8" i="4"/>
  <c r="D8" i="4"/>
  <c r="E8" i="4"/>
  <c r="F8" i="4"/>
  <c r="G8" i="4"/>
  <c r="H8" i="4"/>
  <c r="I8" i="4"/>
  <c r="B9" i="4"/>
  <c r="C9" i="4"/>
  <c r="D9" i="4"/>
  <c r="E9" i="4"/>
  <c r="F9" i="4"/>
  <c r="G9" i="4"/>
  <c r="H9" i="4"/>
  <c r="I9" i="4"/>
  <c r="B10" i="4"/>
  <c r="C10" i="4"/>
  <c r="D10" i="4"/>
  <c r="E10" i="4"/>
  <c r="F10" i="4"/>
  <c r="G10" i="4"/>
  <c r="H10" i="4"/>
  <c r="I10" i="4"/>
  <c r="B11" i="4"/>
  <c r="C11" i="4"/>
  <c r="D11" i="4"/>
  <c r="E11" i="4"/>
  <c r="F11" i="4"/>
  <c r="G11" i="4"/>
  <c r="H11" i="4"/>
  <c r="I11" i="4"/>
  <c r="B12" i="4"/>
  <c r="C12" i="4"/>
  <c r="D12" i="4"/>
  <c r="E12" i="4"/>
  <c r="F12" i="4"/>
  <c r="G12" i="4"/>
  <c r="H12" i="4"/>
  <c r="I12" i="4"/>
  <c r="B13" i="4"/>
  <c r="C13" i="4"/>
  <c r="D13" i="4"/>
  <c r="E13" i="4"/>
  <c r="F13" i="4"/>
  <c r="G13" i="4"/>
  <c r="H13" i="4"/>
  <c r="I13" i="4"/>
  <c r="B14" i="4"/>
  <c r="C14" i="4"/>
  <c r="D14" i="4"/>
  <c r="E14" i="4"/>
  <c r="F14" i="4"/>
  <c r="G14" i="4"/>
  <c r="H14" i="4"/>
  <c r="I14" i="4"/>
  <c r="B15" i="4"/>
  <c r="C15" i="4"/>
  <c r="D15" i="4"/>
  <c r="E15" i="4"/>
  <c r="F15" i="4"/>
  <c r="G15" i="4"/>
  <c r="H15" i="4"/>
  <c r="I15" i="4"/>
  <c r="B16" i="4"/>
  <c r="C16" i="4"/>
  <c r="D16" i="4"/>
  <c r="E16" i="4"/>
  <c r="F16" i="4"/>
  <c r="G16" i="4"/>
  <c r="H16" i="4"/>
  <c r="I16" i="4"/>
  <c r="B17" i="4"/>
  <c r="C17" i="4"/>
  <c r="D17" i="4"/>
  <c r="E17" i="4"/>
  <c r="F17" i="4"/>
  <c r="G17" i="4"/>
  <c r="H17" i="4"/>
  <c r="I17" i="4"/>
  <c r="B18" i="4"/>
  <c r="C18" i="4"/>
  <c r="D18" i="4"/>
  <c r="E18" i="4"/>
  <c r="F18" i="4"/>
  <c r="G18" i="4"/>
  <c r="H18" i="4"/>
  <c r="I18" i="4"/>
  <c r="B19" i="4"/>
  <c r="C19" i="4"/>
  <c r="D19" i="4"/>
  <c r="E19" i="4"/>
  <c r="F19" i="4"/>
  <c r="G19" i="4"/>
  <c r="H19" i="4"/>
  <c r="I19" i="4"/>
  <c r="B20" i="4"/>
  <c r="C20" i="4"/>
  <c r="D20" i="4"/>
  <c r="E20" i="4"/>
  <c r="F20" i="4"/>
  <c r="G20" i="4"/>
  <c r="H20" i="4"/>
  <c r="I20" i="4"/>
  <c r="B21" i="4"/>
  <c r="C21" i="4"/>
  <c r="D21" i="4"/>
  <c r="E21" i="4"/>
  <c r="F21" i="4"/>
  <c r="G21" i="4"/>
  <c r="H21" i="4"/>
  <c r="I21" i="4"/>
  <c r="B22" i="4"/>
  <c r="C22" i="4"/>
  <c r="D22" i="4"/>
  <c r="E22" i="4"/>
  <c r="F22" i="4"/>
  <c r="G22" i="4"/>
  <c r="H22" i="4"/>
  <c r="I22" i="4"/>
  <c r="B23" i="4"/>
  <c r="C23" i="4"/>
  <c r="D23" i="4"/>
  <c r="E23" i="4"/>
  <c r="F23" i="4"/>
  <c r="G23" i="4"/>
  <c r="H23" i="4"/>
  <c r="I23" i="4"/>
  <c r="B24" i="4"/>
  <c r="C24" i="4"/>
  <c r="D24" i="4"/>
  <c r="E24" i="4"/>
  <c r="F24" i="4"/>
  <c r="G24" i="4"/>
  <c r="H24" i="4"/>
  <c r="I24" i="4"/>
  <c r="B25" i="4"/>
  <c r="C25" i="4"/>
  <c r="D25" i="4"/>
  <c r="E25" i="4"/>
  <c r="F25" i="4"/>
  <c r="G25" i="4"/>
  <c r="H25" i="4"/>
  <c r="I25" i="4"/>
  <c r="B26" i="4"/>
  <c r="C26" i="4"/>
  <c r="D26" i="4"/>
  <c r="E26" i="4"/>
  <c r="F26" i="4"/>
  <c r="G26" i="4"/>
  <c r="H26" i="4"/>
  <c r="I26" i="4"/>
  <c r="G5" i="4"/>
  <c r="H5" i="4"/>
  <c r="I5" i="4"/>
  <c r="C5" i="4"/>
  <c r="D5" i="4"/>
  <c r="E5" i="4"/>
  <c r="AT5" i="4"/>
  <c r="AP5" i="4"/>
  <c r="AL5" i="4"/>
  <c r="AH5" i="4"/>
  <c r="AD5" i="4"/>
  <c r="Z5" i="4"/>
  <c r="V5" i="4"/>
  <c r="R5" i="4"/>
  <c r="N5" i="4"/>
  <c r="J5" i="4"/>
  <c r="F5" i="4"/>
  <c r="B5" i="1"/>
  <c r="AT6" i="1"/>
  <c r="AU6" i="1"/>
  <c r="AV6" i="1"/>
  <c r="AW6" i="1"/>
  <c r="AX6" i="1"/>
  <c r="AY6" i="1"/>
  <c r="AZ6" i="1"/>
  <c r="BA6" i="1"/>
  <c r="AT7" i="1"/>
  <c r="AU7" i="1"/>
  <c r="C12" i="9" s="1"/>
  <c r="F42" i="9" s="1"/>
  <c r="AV7" i="1"/>
  <c r="AW7" i="1"/>
  <c r="AX7" i="1"/>
  <c r="BA7" i="1"/>
  <c r="AT8" i="1"/>
  <c r="AU8" i="1"/>
  <c r="AV8" i="1"/>
  <c r="AW8" i="1"/>
  <c r="AX8" i="1"/>
  <c r="AY8" i="1"/>
  <c r="AZ8" i="1"/>
  <c r="BA8" i="1"/>
  <c r="AT9" i="1"/>
  <c r="AU9" i="1"/>
  <c r="AV9" i="1"/>
  <c r="G42" i="9" s="1"/>
  <c r="AW9" i="1"/>
  <c r="AX9" i="1"/>
  <c r="BA9" i="1"/>
  <c r="AT10" i="1"/>
  <c r="AU10" i="1"/>
  <c r="AV10" i="1"/>
  <c r="AW10" i="1"/>
  <c r="AX10" i="1"/>
  <c r="BA10" i="1"/>
  <c r="AT11" i="1"/>
  <c r="AU11" i="1"/>
  <c r="AV11" i="1"/>
  <c r="AW11" i="1"/>
  <c r="AX11" i="1"/>
  <c r="BA11" i="1"/>
  <c r="AT12" i="1"/>
  <c r="AU12" i="1"/>
  <c r="AV12" i="1"/>
  <c r="AW12" i="1"/>
  <c r="AX12" i="1"/>
  <c r="BA12" i="1"/>
  <c r="AT13" i="1"/>
  <c r="AU13" i="1"/>
  <c r="AV13" i="1"/>
  <c r="AW13" i="1"/>
  <c r="AX13" i="1"/>
  <c r="BA13" i="1"/>
  <c r="AT14" i="1"/>
  <c r="AU14" i="1"/>
  <c r="AV14" i="1"/>
  <c r="AW14" i="1"/>
  <c r="AX14" i="1"/>
  <c r="BA14" i="1"/>
  <c r="AT15" i="1"/>
  <c r="AU15" i="1"/>
  <c r="AV15" i="1"/>
  <c r="AW15" i="1"/>
  <c r="AX15" i="1"/>
  <c r="AY15" i="1"/>
  <c r="AZ15" i="1"/>
  <c r="BA15" i="1"/>
  <c r="AT16" i="1"/>
  <c r="AU16" i="1"/>
  <c r="AV16" i="1"/>
  <c r="AW16" i="1"/>
  <c r="AX16" i="1"/>
  <c r="BA16" i="1"/>
  <c r="AT17" i="1"/>
  <c r="AU17" i="1"/>
  <c r="AV17" i="1"/>
  <c r="AW17" i="1"/>
  <c r="AX17" i="1"/>
  <c r="BA17" i="1"/>
  <c r="AT18" i="1"/>
  <c r="AU18" i="1"/>
  <c r="AV18" i="1"/>
  <c r="AW18" i="1"/>
  <c r="AX18" i="1"/>
  <c r="BA18" i="1"/>
  <c r="AT19" i="1"/>
  <c r="AU19" i="1"/>
  <c r="AV19" i="1"/>
  <c r="AW19" i="1"/>
  <c r="AX19" i="1"/>
  <c r="BA19" i="1"/>
  <c r="AT20" i="1"/>
  <c r="AU20" i="1"/>
  <c r="AV20" i="1"/>
  <c r="AW20" i="1"/>
  <c r="AX20" i="1"/>
  <c r="AY20" i="1"/>
  <c r="AZ20" i="1"/>
  <c r="BA20" i="1"/>
  <c r="AT21" i="1"/>
  <c r="AU21" i="1"/>
  <c r="AV21" i="1"/>
  <c r="AW21" i="1"/>
  <c r="AX21" i="1"/>
  <c r="BA21" i="1"/>
  <c r="AT22" i="1"/>
  <c r="AU22" i="1"/>
  <c r="AV22" i="1"/>
  <c r="AW22" i="1"/>
  <c r="AX22" i="1"/>
  <c r="BA22" i="1"/>
  <c r="AT23" i="1"/>
  <c r="AU23" i="1"/>
  <c r="AV23" i="1"/>
  <c r="AW23" i="1"/>
  <c r="AX23" i="1"/>
  <c r="BA23" i="1"/>
  <c r="AT24" i="1"/>
  <c r="AU24" i="1"/>
  <c r="AV24" i="1"/>
  <c r="AW24" i="1"/>
  <c r="AX24" i="1"/>
  <c r="BA24" i="1"/>
  <c r="AY5" i="1"/>
  <c r="AZ5" i="1"/>
  <c r="BA5" i="1"/>
  <c r="AU5" i="1"/>
  <c r="AV5" i="1"/>
  <c r="AW5" i="1"/>
  <c r="AL6" i="1"/>
  <c r="AM6" i="1"/>
  <c r="AN6" i="1"/>
  <c r="AO6" i="1"/>
  <c r="AP6" i="1"/>
  <c r="AQ6" i="1"/>
  <c r="AR6" i="1"/>
  <c r="AS6" i="1"/>
  <c r="AL7" i="1"/>
  <c r="AM7" i="1"/>
  <c r="C10" i="9" s="1"/>
  <c r="F40" i="9" s="1"/>
  <c r="AN7" i="1"/>
  <c r="AO7" i="1"/>
  <c r="AP7" i="1"/>
  <c r="AQ7" i="1"/>
  <c r="C11" i="9" s="1"/>
  <c r="F41" i="9" s="1"/>
  <c r="AR7" i="1"/>
  <c r="AS7" i="1"/>
  <c r="AL8" i="1"/>
  <c r="AM8" i="1"/>
  <c r="AN8" i="1"/>
  <c r="AO8" i="1"/>
  <c r="AP8" i="1"/>
  <c r="AQ8" i="1"/>
  <c r="AR8" i="1"/>
  <c r="AS8" i="1"/>
  <c r="AL9" i="1"/>
  <c r="AM9" i="1"/>
  <c r="AN9" i="1"/>
  <c r="G40" i="9" s="1"/>
  <c r="AO9" i="1"/>
  <c r="AP9" i="1"/>
  <c r="AQ9" i="1"/>
  <c r="AR9" i="1"/>
  <c r="G41" i="9" s="1"/>
  <c r="AS9" i="1"/>
  <c r="AL10" i="1"/>
  <c r="AM10" i="1"/>
  <c r="AN10" i="1"/>
  <c r="AO10" i="1"/>
  <c r="AP10" i="1"/>
  <c r="AQ10" i="1"/>
  <c r="AR10" i="1"/>
  <c r="AS10" i="1"/>
  <c r="AL11" i="1"/>
  <c r="AM11" i="1"/>
  <c r="AN11" i="1"/>
  <c r="AO11" i="1"/>
  <c r="AP11" i="1"/>
  <c r="AQ11" i="1"/>
  <c r="AR11" i="1"/>
  <c r="AS11" i="1"/>
  <c r="AL12" i="1"/>
  <c r="AM12" i="1"/>
  <c r="AN12" i="1"/>
  <c r="AO12" i="1"/>
  <c r="AP12" i="1"/>
  <c r="AQ12" i="1"/>
  <c r="AR12" i="1"/>
  <c r="AS12" i="1"/>
  <c r="AL13" i="1"/>
  <c r="AM13" i="1"/>
  <c r="AN13" i="1"/>
  <c r="AO13" i="1"/>
  <c r="AP13" i="1"/>
  <c r="AQ13" i="1"/>
  <c r="AR13" i="1"/>
  <c r="AS13" i="1"/>
  <c r="AL14" i="1"/>
  <c r="AM14" i="1"/>
  <c r="AN14" i="1"/>
  <c r="AO14" i="1"/>
  <c r="AP14" i="1"/>
  <c r="AQ14" i="1"/>
  <c r="AR14" i="1"/>
  <c r="AS14" i="1"/>
  <c r="AL15" i="1"/>
  <c r="AM15" i="1"/>
  <c r="AN15" i="1"/>
  <c r="AO15" i="1"/>
  <c r="AP15" i="1"/>
  <c r="AQ15" i="1"/>
  <c r="AR15" i="1"/>
  <c r="AS15" i="1"/>
  <c r="AL16" i="1"/>
  <c r="AM16" i="1"/>
  <c r="AN16" i="1"/>
  <c r="AO16" i="1"/>
  <c r="AP16" i="1"/>
  <c r="AQ16" i="1"/>
  <c r="AR16" i="1"/>
  <c r="AS16" i="1"/>
  <c r="AL17" i="1"/>
  <c r="AM17" i="1"/>
  <c r="AN17" i="1"/>
  <c r="AO17" i="1"/>
  <c r="AP17" i="1"/>
  <c r="AQ17" i="1"/>
  <c r="AR17" i="1"/>
  <c r="AS17" i="1"/>
  <c r="AL18" i="1"/>
  <c r="AM18" i="1"/>
  <c r="AN18" i="1"/>
  <c r="AO18" i="1"/>
  <c r="AP18" i="1"/>
  <c r="AQ18" i="1"/>
  <c r="AR18" i="1"/>
  <c r="AS18" i="1"/>
  <c r="AL19" i="1"/>
  <c r="AM19" i="1"/>
  <c r="AN19" i="1"/>
  <c r="AO19" i="1"/>
  <c r="AP19" i="1"/>
  <c r="AQ19" i="1"/>
  <c r="AR19" i="1"/>
  <c r="AS19" i="1"/>
  <c r="AL20" i="1"/>
  <c r="AM20" i="1"/>
  <c r="AN20" i="1"/>
  <c r="AO20" i="1"/>
  <c r="AP20" i="1"/>
  <c r="AQ20" i="1"/>
  <c r="AR20" i="1"/>
  <c r="AS20" i="1"/>
  <c r="AL21" i="1"/>
  <c r="AM21" i="1"/>
  <c r="AN21" i="1"/>
  <c r="AO21" i="1"/>
  <c r="AP21" i="1"/>
  <c r="AQ21" i="1"/>
  <c r="AR21" i="1"/>
  <c r="AS21" i="1"/>
  <c r="AL22" i="1"/>
  <c r="AM22" i="1"/>
  <c r="AN22" i="1"/>
  <c r="AO22" i="1"/>
  <c r="AP22" i="1"/>
  <c r="AQ22" i="1"/>
  <c r="AR22" i="1"/>
  <c r="AS22" i="1"/>
  <c r="AL23" i="1"/>
  <c r="AM23" i="1"/>
  <c r="AN23" i="1"/>
  <c r="AO23" i="1"/>
  <c r="AP23" i="1"/>
  <c r="AQ23" i="1"/>
  <c r="AR23" i="1"/>
  <c r="AS23" i="1"/>
  <c r="AL24" i="1"/>
  <c r="AM24" i="1"/>
  <c r="AN24" i="1"/>
  <c r="AO24" i="1"/>
  <c r="AP24" i="1"/>
  <c r="AQ24" i="1"/>
  <c r="AR24" i="1"/>
  <c r="AS24" i="1"/>
  <c r="AQ5" i="1"/>
  <c r="AR5" i="1"/>
  <c r="AS5" i="1"/>
  <c r="AM5" i="1"/>
  <c r="AN5" i="1"/>
  <c r="AO5" i="1"/>
  <c r="AD6" i="1"/>
  <c r="AE6" i="1"/>
  <c r="AF6" i="1"/>
  <c r="AG6" i="1"/>
  <c r="AH6" i="1"/>
  <c r="AI6" i="1"/>
  <c r="AJ6" i="1"/>
  <c r="AK6" i="1"/>
  <c r="AD7" i="1"/>
  <c r="AE7" i="1"/>
  <c r="C8" i="9" s="1"/>
  <c r="F38" i="9" s="1"/>
  <c r="AF7" i="1"/>
  <c r="AG7" i="1"/>
  <c r="AH7" i="1"/>
  <c r="AJ7" i="1"/>
  <c r="AK7" i="1"/>
  <c r="AD8" i="1"/>
  <c r="AE8" i="1"/>
  <c r="AF8" i="1"/>
  <c r="AG8" i="1"/>
  <c r="AH8" i="1"/>
  <c r="AI8" i="1"/>
  <c r="AJ8" i="1"/>
  <c r="AK8" i="1"/>
  <c r="AD9" i="1"/>
  <c r="AE9" i="1"/>
  <c r="AF9" i="1"/>
  <c r="G38" i="9" s="1"/>
  <c r="AG9" i="1"/>
  <c r="AH9" i="1"/>
  <c r="AI9" i="1"/>
  <c r="AJ9" i="1"/>
  <c r="G39" i="9" s="1"/>
  <c r="AK9" i="1"/>
  <c r="AD10" i="1"/>
  <c r="AE10" i="1"/>
  <c r="AF10" i="1"/>
  <c r="AG10" i="1"/>
  <c r="AH10" i="1"/>
  <c r="AI10" i="1"/>
  <c r="AJ10" i="1"/>
  <c r="AK10" i="1"/>
  <c r="AD11" i="1"/>
  <c r="AE11" i="1"/>
  <c r="AF11" i="1"/>
  <c r="AG11" i="1"/>
  <c r="AH11" i="1"/>
  <c r="AI11" i="1"/>
  <c r="AJ11" i="1"/>
  <c r="AK11" i="1"/>
  <c r="AD12" i="1"/>
  <c r="AE12" i="1"/>
  <c r="AF12" i="1"/>
  <c r="AG12" i="1"/>
  <c r="AH12" i="1"/>
  <c r="AI12" i="1"/>
  <c r="AJ12" i="1"/>
  <c r="AK12" i="1"/>
  <c r="AD13" i="1"/>
  <c r="AE13" i="1"/>
  <c r="AF13" i="1"/>
  <c r="AG13" i="1"/>
  <c r="AH13" i="1"/>
  <c r="AI13" i="1"/>
  <c r="AJ13" i="1"/>
  <c r="AK13" i="1"/>
  <c r="AD14" i="1"/>
  <c r="AE14" i="1"/>
  <c r="AF14" i="1"/>
  <c r="AG14" i="1"/>
  <c r="AH14" i="1"/>
  <c r="AI14" i="1"/>
  <c r="AJ14" i="1"/>
  <c r="AK14" i="1"/>
  <c r="AD15" i="1"/>
  <c r="AE15" i="1"/>
  <c r="AF15" i="1"/>
  <c r="AG15" i="1"/>
  <c r="AH15" i="1"/>
  <c r="AI15" i="1"/>
  <c r="AJ15" i="1"/>
  <c r="AK15" i="1"/>
  <c r="AD16" i="1"/>
  <c r="AE16" i="1"/>
  <c r="AF16" i="1"/>
  <c r="AG16" i="1"/>
  <c r="AH16" i="1"/>
  <c r="AI16" i="1"/>
  <c r="AJ16" i="1"/>
  <c r="AK16" i="1"/>
  <c r="AD17" i="1"/>
  <c r="AE17" i="1"/>
  <c r="AF17" i="1"/>
  <c r="AG17" i="1"/>
  <c r="AH17" i="1"/>
  <c r="AI17" i="1"/>
  <c r="AJ17" i="1"/>
  <c r="AK17" i="1"/>
  <c r="AD18" i="1"/>
  <c r="AE18" i="1"/>
  <c r="AF18" i="1"/>
  <c r="AG18" i="1"/>
  <c r="AH18" i="1"/>
  <c r="AI18" i="1"/>
  <c r="AJ18" i="1"/>
  <c r="AK18" i="1"/>
  <c r="AD19" i="1"/>
  <c r="AE19" i="1"/>
  <c r="AF19" i="1"/>
  <c r="AG19" i="1"/>
  <c r="AH19" i="1"/>
  <c r="AI19" i="1"/>
  <c r="AJ19" i="1"/>
  <c r="AK19" i="1"/>
  <c r="AD20" i="1"/>
  <c r="AE20" i="1"/>
  <c r="AF20" i="1"/>
  <c r="AG20" i="1"/>
  <c r="AH20" i="1"/>
  <c r="AI20" i="1"/>
  <c r="AJ20" i="1"/>
  <c r="AK20" i="1"/>
  <c r="AD21" i="1"/>
  <c r="AE21" i="1"/>
  <c r="AF21" i="1"/>
  <c r="AG21" i="1"/>
  <c r="AH21" i="1"/>
  <c r="AI21" i="1"/>
  <c r="AJ21" i="1"/>
  <c r="AK21" i="1"/>
  <c r="AD22" i="1"/>
  <c r="AE22" i="1"/>
  <c r="AF22" i="1"/>
  <c r="AG22" i="1"/>
  <c r="AH22" i="1"/>
  <c r="AI22" i="1"/>
  <c r="AJ22" i="1"/>
  <c r="AK22" i="1"/>
  <c r="AD23" i="1"/>
  <c r="AE23" i="1"/>
  <c r="AF23" i="1"/>
  <c r="AG23" i="1"/>
  <c r="AH23" i="1"/>
  <c r="AI23" i="1"/>
  <c r="AJ23" i="1"/>
  <c r="AK23" i="1"/>
  <c r="AD24" i="1"/>
  <c r="AE24" i="1"/>
  <c r="AF24" i="1"/>
  <c r="AG24" i="1"/>
  <c r="AH24" i="1"/>
  <c r="AI24" i="1"/>
  <c r="AJ24" i="1"/>
  <c r="AK24" i="1"/>
  <c r="AI5" i="1"/>
  <c r="AJ5" i="1"/>
  <c r="AK5" i="1"/>
  <c r="AE5" i="1"/>
  <c r="AF5" i="1"/>
  <c r="AG5" i="1"/>
  <c r="Z6" i="1"/>
  <c r="AA6" i="1"/>
  <c r="AB6" i="1"/>
  <c r="AC6" i="1"/>
  <c r="Z7" i="1"/>
  <c r="AA7" i="1"/>
  <c r="C7" i="9" s="1"/>
  <c r="F37" i="9" s="1"/>
  <c r="AB7" i="1"/>
  <c r="AC7" i="1"/>
  <c r="Z8" i="1"/>
  <c r="AA8" i="1"/>
  <c r="AB8" i="1"/>
  <c r="AC8" i="1"/>
  <c r="Z9" i="1"/>
  <c r="AA9" i="1"/>
  <c r="AB9" i="1"/>
  <c r="G37" i="9" s="1"/>
  <c r="AC9" i="1"/>
  <c r="Z10" i="1"/>
  <c r="AA10" i="1"/>
  <c r="AB10" i="1"/>
  <c r="AC10" i="1"/>
  <c r="Z11" i="1"/>
  <c r="AA11" i="1"/>
  <c r="AB11" i="1"/>
  <c r="AC11" i="1"/>
  <c r="Z12" i="1"/>
  <c r="AA12" i="1"/>
  <c r="AB12" i="1"/>
  <c r="AC12" i="1"/>
  <c r="Z13" i="1"/>
  <c r="AA13" i="1"/>
  <c r="AB13" i="1"/>
  <c r="AC13" i="1"/>
  <c r="Z14" i="1"/>
  <c r="AA14" i="1"/>
  <c r="AB14" i="1"/>
  <c r="AC14" i="1"/>
  <c r="Z15" i="1"/>
  <c r="AA15" i="1"/>
  <c r="AB15" i="1"/>
  <c r="AC15" i="1"/>
  <c r="Z16" i="1"/>
  <c r="AA16" i="1"/>
  <c r="AB16" i="1"/>
  <c r="AC16" i="1"/>
  <c r="Z17" i="1"/>
  <c r="AA17" i="1"/>
  <c r="AB17" i="1"/>
  <c r="AC17" i="1"/>
  <c r="Z18" i="1"/>
  <c r="AA18" i="1"/>
  <c r="AB18" i="1"/>
  <c r="AC18" i="1"/>
  <c r="Z19" i="1"/>
  <c r="AA19" i="1"/>
  <c r="AB19" i="1"/>
  <c r="AC19" i="1"/>
  <c r="Z20" i="1"/>
  <c r="AA20" i="1"/>
  <c r="AB20" i="1"/>
  <c r="AC20" i="1"/>
  <c r="Z21" i="1"/>
  <c r="AA21" i="1"/>
  <c r="AB21" i="1"/>
  <c r="AC21" i="1"/>
  <c r="Z22" i="1"/>
  <c r="AA22" i="1"/>
  <c r="AB22" i="1"/>
  <c r="AC22" i="1"/>
  <c r="Z23" i="1"/>
  <c r="AA23" i="1"/>
  <c r="AB23" i="1"/>
  <c r="AC23" i="1"/>
  <c r="Z24" i="1"/>
  <c r="AA24" i="1"/>
  <c r="AB24" i="1"/>
  <c r="AC24" i="1"/>
  <c r="AA5" i="1"/>
  <c r="AB5" i="1"/>
  <c r="AC5" i="1"/>
  <c r="V6" i="1"/>
  <c r="W6" i="1"/>
  <c r="X6" i="1"/>
  <c r="Y6" i="1"/>
  <c r="V7" i="1"/>
  <c r="W7" i="1"/>
  <c r="X7" i="1"/>
  <c r="Y7" i="1"/>
  <c r="V8" i="1"/>
  <c r="W8" i="1"/>
  <c r="X8" i="1"/>
  <c r="Y8" i="1"/>
  <c r="V9" i="1"/>
  <c r="W9" i="1"/>
  <c r="X9" i="1"/>
  <c r="G36" i="9" s="1"/>
  <c r="Y9" i="1"/>
  <c r="V10" i="1"/>
  <c r="W10" i="1"/>
  <c r="X10" i="1"/>
  <c r="Y10" i="1"/>
  <c r="V11" i="1"/>
  <c r="W11" i="1"/>
  <c r="X11" i="1"/>
  <c r="Y11" i="1"/>
  <c r="V12" i="1"/>
  <c r="W12" i="1"/>
  <c r="X12" i="1"/>
  <c r="Y12" i="1"/>
  <c r="V13" i="1"/>
  <c r="W13" i="1"/>
  <c r="X13" i="1"/>
  <c r="Y13" i="1"/>
  <c r="V14" i="1"/>
  <c r="W14" i="1"/>
  <c r="X14" i="1"/>
  <c r="Y14" i="1"/>
  <c r="V15" i="1"/>
  <c r="W15" i="1"/>
  <c r="X15" i="1"/>
  <c r="Y15" i="1"/>
  <c r="V16" i="1"/>
  <c r="W16" i="1"/>
  <c r="X16" i="1"/>
  <c r="Y16" i="1"/>
  <c r="V17" i="1"/>
  <c r="W17" i="1"/>
  <c r="X17" i="1"/>
  <c r="Y17" i="1"/>
  <c r="V18" i="1"/>
  <c r="W18" i="1"/>
  <c r="X18" i="1"/>
  <c r="Y18" i="1"/>
  <c r="V19" i="1"/>
  <c r="W19" i="1"/>
  <c r="X19" i="1"/>
  <c r="Y19" i="1"/>
  <c r="V20" i="1"/>
  <c r="W20" i="1"/>
  <c r="X20" i="1"/>
  <c r="Y20" i="1"/>
  <c r="V21" i="1"/>
  <c r="W21" i="1"/>
  <c r="X21" i="1"/>
  <c r="Y21" i="1"/>
  <c r="V22" i="1"/>
  <c r="W22" i="1"/>
  <c r="X22" i="1"/>
  <c r="Y22" i="1"/>
  <c r="V23" i="1"/>
  <c r="W23" i="1"/>
  <c r="X23" i="1"/>
  <c r="Y23" i="1"/>
  <c r="V24" i="1"/>
  <c r="W24" i="1"/>
  <c r="X24" i="1"/>
  <c r="Y24" i="1"/>
  <c r="W5" i="1"/>
  <c r="X5" i="1"/>
  <c r="Y5" i="1"/>
  <c r="R6" i="1"/>
  <c r="S6" i="1"/>
  <c r="T6" i="1"/>
  <c r="U6" i="1"/>
  <c r="R7" i="1"/>
  <c r="S7" i="1"/>
  <c r="C5" i="9" s="1"/>
  <c r="F35" i="9" s="1"/>
  <c r="T7" i="1"/>
  <c r="U7" i="1"/>
  <c r="R8" i="1"/>
  <c r="S8" i="1"/>
  <c r="T8" i="1"/>
  <c r="U8" i="1"/>
  <c r="R9" i="1"/>
  <c r="S9" i="1"/>
  <c r="T9" i="1"/>
  <c r="G35" i="9" s="1"/>
  <c r="U9" i="1"/>
  <c r="R10" i="1"/>
  <c r="S10" i="1"/>
  <c r="T10" i="1"/>
  <c r="U10" i="1"/>
  <c r="R11" i="1"/>
  <c r="S11" i="1"/>
  <c r="T11" i="1"/>
  <c r="U11" i="1"/>
  <c r="R12" i="1"/>
  <c r="S12" i="1"/>
  <c r="T12" i="1"/>
  <c r="U12" i="1"/>
  <c r="R13" i="1"/>
  <c r="S13" i="1"/>
  <c r="T13" i="1"/>
  <c r="U13" i="1"/>
  <c r="R14" i="1"/>
  <c r="S14" i="1"/>
  <c r="T14" i="1"/>
  <c r="U14" i="1"/>
  <c r="R15" i="1"/>
  <c r="S15" i="1"/>
  <c r="T15" i="1"/>
  <c r="U15" i="1"/>
  <c r="R16" i="1"/>
  <c r="S16" i="1"/>
  <c r="T16" i="1"/>
  <c r="U16" i="1"/>
  <c r="R17" i="1"/>
  <c r="S17" i="1"/>
  <c r="T17" i="1"/>
  <c r="U17" i="1"/>
  <c r="R18" i="1"/>
  <c r="S18" i="1"/>
  <c r="T18" i="1"/>
  <c r="U18" i="1"/>
  <c r="R19" i="1"/>
  <c r="S19" i="1"/>
  <c r="T19" i="1"/>
  <c r="U19" i="1"/>
  <c r="R20" i="1"/>
  <c r="S20" i="1"/>
  <c r="T20" i="1"/>
  <c r="U20" i="1"/>
  <c r="R21" i="1"/>
  <c r="S21" i="1"/>
  <c r="T21" i="1"/>
  <c r="U21" i="1"/>
  <c r="R22" i="1"/>
  <c r="S22" i="1"/>
  <c r="T22" i="1"/>
  <c r="U22" i="1"/>
  <c r="R23" i="1"/>
  <c r="S23" i="1"/>
  <c r="T23" i="1"/>
  <c r="U23" i="1"/>
  <c r="R24" i="1"/>
  <c r="S24" i="1"/>
  <c r="T24" i="1"/>
  <c r="U24" i="1"/>
  <c r="S5" i="1"/>
  <c r="T5" i="1"/>
  <c r="U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G34" i="9" s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O5" i="1"/>
  <c r="P5" i="1"/>
  <c r="Q5" i="1"/>
  <c r="J6" i="1"/>
  <c r="K6" i="1"/>
  <c r="L6" i="1"/>
  <c r="M6" i="1"/>
  <c r="J7" i="1"/>
  <c r="K7" i="1"/>
  <c r="C3" i="9" s="1"/>
  <c r="F33" i="9" s="1"/>
  <c r="L7" i="1"/>
  <c r="M7" i="1"/>
  <c r="J8" i="1"/>
  <c r="K8" i="1"/>
  <c r="L8" i="1"/>
  <c r="M8" i="1"/>
  <c r="J9" i="1"/>
  <c r="K9" i="1"/>
  <c r="L9" i="1"/>
  <c r="G33" i="9" s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J24" i="1"/>
  <c r="K24" i="1"/>
  <c r="L24" i="1"/>
  <c r="M24" i="1"/>
  <c r="K5" i="1"/>
  <c r="L5" i="1"/>
  <c r="M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G32" i="9" s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G5" i="1"/>
  <c r="H5" i="1"/>
  <c r="I5" i="1"/>
  <c r="B6" i="1"/>
  <c r="C6" i="1"/>
  <c r="D6" i="1"/>
  <c r="E6" i="1"/>
  <c r="B7" i="1"/>
  <c r="C7" i="1"/>
  <c r="C1" i="9" s="1"/>
  <c r="F31" i="9" s="1"/>
  <c r="D7" i="1"/>
  <c r="E7" i="1"/>
  <c r="B8" i="1"/>
  <c r="C8" i="1"/>
  <c r="D8" i="1"/>
  <c r="E8" i="1"/>
  <c r="B9" i="1"/>
  <c r="C9" i="1"/>
  <c r="D9" i="1"/>
  <c r="G31" i="9" s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C5" i="1"/>
  <c r="D5" i="1"/>
  <c r="E5" i="1"/>
  <c r="AT5" i="1"/>
  <c r="AP5" i="1"/>
  <c r="AL5" i="1"/>
  <c r="AH5" i="1"/>
  <c r="AD5" i="1"/>
  <c r="Z5" i="1"/>
  <c r="V5" i="1"/>
  <c r="R5" i="1"/>
  <c r="N5" i="1"/>
  <c r="J5" i="1"/>
  <c r="F5" i="1"/>
  <c r="AY5" i="8"/>
  <c r="AZ5" i="8"/>
  <c r="BA5" i="8"/>
  <c r="AX6" i="8"/>
  <c r="AY6" i="8"/>
  <c r="AZ6" i="8"/>
  <c r="BA6" i="8"/>
  <c r="AX7" i="8"/>
  <c r="BA7" i="8"/>
  <c r="AX8" i="8"/>
  <c r="AY8" i="8"/>
  <c r="AZ8" i="8"/>
  <c r="BA8" i="8"/>
  <c r="AX9" i="8"/>
  <c r="BA9" i="8"/>
  <c r="AX10" i="8"/>
  <c r="BA10" i="8"/>
  <c r="AX11" i="8"/>
  <c r="BA11" i="8"/>
  <c r="AX12" i="8"/>
  <c r="BA12" i="8"/>
  <c r="AX13" i="8"/>
  <c r="BA13" i="8"/>
  <c r="AX14" i="8"/>
  <c r="BA14" i="8"/>
  <c r="AX15" i="8"/>
  <c r="BA15" i="8"/>
  <c r="AX16" i="8"/>
  <c r="BA16" i="8"/>
  <c r="AX17" i="8"/>
  <c r="BA17" i="8"/>
  <c r="AX18" i="8"/>
  <c r="BA18" i="8"/>
  <c r="AX19" i="8"/>
  <c r="BA19" i="8"/>
  <c r="AX20" i="8"/>
  <c r="BA20" i="8"/>
  <c r="AX21" i="8"/>
  <c r="BA21" i="8"/>
  <c r="AX22" i="8"/>
  <c r="BA22" i="8"/>
  <c r="AX23" i="8"/>
  <c r="BA23" i="8"/>
  <c r="AX24" i="8"/>
  <c r="BA24" i="8"/>
  <c r="AX25" i="8"/>
  <c r="BA25" i="8"/>
  <c r="AX26" i="8"/>
  <c r="BA26" i="8"/>
  <c r="AX27" i="8"/>
  <c r="BA27" i="8"/>
  <c r="AX28" i="8"/>
  <c r="AY28" i="8"/>
  <c r="AZ28" i="8"/>
  <c r="BA28" i="8"/>
  <c r="AX29" i="8"/>
  <c r="BA29" i="8"/>
  <c r="AX30" i="8"/>
  <c r="BA30" i="8"/>
  <c r="AX31" i="8"/>
  <c r="BA31" i="8"/>
  <c r="AX32" i="8"/>
  <c r="BA32" i="8"/>
  <c r="AX33" i="8"/>
  <c r="BA33" i="8"/>
  <c r="AX34" i="8"/>
  <c r="BA34" i="8"/>
  <c r="AX35" i="8"/>
  <c r="BA35" i="8"/>
  <c r="AX36" i="8"/>
  <c r="BA36" i="8"/>
  <c r="AX37" i="8"/>
  <c r="BA37" i="8"/>
  <c r="AX38" i="8"/>
  <c r="AY38" i="8"/>
  <c r="AZ38" i="8"/>
  <c r="BA38" i="8"/>
  <c r="AX39" i="8"/>
  <c r="BA39" i="8"/>
  <c r="AX40" i="8"/>
  <c r="BA40" i="8"/>
  <c r="AX41" i="8"/>
  <c r="BA41" i="8"/>
  <c r="AX42" i="8"/>
  <c r="BA42" i="8"/>
  <c r="AX43" i="8"/>
  <c r="BA43" i="8"/>
  <c r="AX44" i="8"/>
  <c r="BA44" i="8"/>
  <c r="AX45" i="8"/>
  <c r="BA45" i="8"/>
  <c r="AX46" i="8"/>
  <c r="BA46" i="8"/>
  <c r="AX47" i="8"/>
  <c r="BA47" i="8"/>
  <c r="AT5" i="8"/>
  <c r="AU5" i="8"/>
  <c r="AV5" i="8"/>
  <c r="AW5" i="8"/>
  <c r="AT6" i="8"/>
  <c r="AU6" i="8"/>
  <c r="AV6" i="8"/>
  <c r="AW6" i="8"/>
  <c r="AT7" i="8"/>
  <c r="AV7" i="8"/>
  <c r="AW7" i="8"/>
  <c r="AT8" i="8"/>
  <c r="AU8" i="8"/>
  <c r="AV8" i="8"/>
  <c r="AW8" i="8"/>
  <c r="AT9" i="8"/>
  <c r="AV9" i="8"/>
  <c r="AW9" i="8"/>
  <c r="AT10" i="8"/>
  <c r="AV10" i="8"/>
  <c r="AW10" i="8"/>
  <c r="AT11" i="8"/>
  <c r="AV11" i="8"/>
  <c r="AW11" i="8"/>
  <c r="AT12" i="8"/>
  <c r="AV12" i="8"/>
  <c r="AW12" i="8"/>
  <c r="AT13" i="8"/>
  <c r="AV13" i="8"/>
  <c r="AW13" i="8"/>
  <c r="AT14" i="8"/>
  <c r="AV14" i="8"/>
  <c r="AW14" i="8"/>
  <c r="AT15" i="8"/>
  <c r="AU15" i="8"/>
  <c r="AV15" i="8"/>
  <c r="AW15" i="8"/>
  <c r="AT16" i="8"/>
  <c r="AV16" i="8"/>
  <c r="AW16" i="8"/>
  <c r="AT17" i="8"/>
  <c r="AV17" i="8"/>
  <c r="AW17" i="8"/>
  <c r="AT18" i="8"/>
  <c r="AV18" i="8"/>
  <c r="AW18" i="8"/>
  <c r="AT19" i="8"/>
  <c r="AV19" i="8"/>
  <c r="AW19" i="8"/>
  <c r="AT20" i="8"/>
  <c r="AV20" i="8"/>
  <c r="AW20" i="8"/>
  <c r="AT21" i="8"/>
  <c r="AU21" i="8"/>
  <c r="AV21" i="8"/>
  <c r="AW21" i="8"/>
  <c r="AT22" i="8"/>
  <c r="AU22" i="8"/>
  <c r="AV22" i="8"/>
  <c r="AW22" i="8"/>
  <c r="AT23" i="8"/>
  <c r="AV23" i="8"/>
  <c r="AW23" i="8"/>
  <c r="AT24" i="8"/>
  <c r="AU24" i="8"/>
  <c r="AV24" i="8"/>
  <c r="AW24" i="8"/>
  <c r="AT25" i="8"/>
  <c r="AU25" i="8"/>
  <c r="AV25" i="8"/>
  <c r="AW25" i="8"/>
  <c r="AT26" i="8"/>
  <c r="AU26" i="8"/>
  <c r="AV26" i="8"/>
  <c r="AW26" i="8"/>
  <c r="AT27" i="8"/>
  <c r="AU27" i="8"/>
  <c r="AV27" i="8"/>
  <c r="AW27" i="8"/>
  <c r="AT28" i="8"/>
  <c r="AU28" i="8"/>
  <c r="AV28" i="8"/>
  <c r="AW28" i="8"/>
  <c r="AT29" i="8"/>
  <c r="AV29" i="8"/>
  <c r="AW29" i="8"/>
  <c r="AT30" i="8"/>
  <c r="AV30" i="8"/>
  <c r="AW30" i="8"/>
  <c r="AT31" i="8"/>
  <c r="AV31" i="8"/>
  <c r="AW31" i="8"/>
  <c r="AT32" i="8"/>
  <c r="AU32" i="8"/>
  <c r="AV32" i="8"/>
  <c r="AW32" i="8"/>
  <c r="AT33" i="8"/>
  <c r="AU33" i="8"/>
  <c r="AV33" i="8"/>
  <c r="AW33" i="8"/>
  <c r="AT34" i="8"/>
  <c r="AU34" i="8"/>
  <c r="AV34" i="8"/>
  <c r="AW34" i="8"/>
  <c r="AT35" i="8"/>
  <c r="AV35" i="8"/>
  <c r="AW35" i="8"/>
  <c r="AT36" i="8"/>
  <c r="AU36" i="8"/>
  <c r="AV36" i="8"/>
  <c r="AW36" i="8"/>
  <c r="AT37" i="8"/>
  <c r="AU37" i="8"/>
  <c r="AV37" i="8"/>
  <c r="AW37" i="8"/>
  <c r="AT38" i="8"/>
  <c r="AU38" i="8"/>
  <c r="AV38" i="8"/>
  <c r="AW38" i="8"/>
  <c r="AT39" i="8"/>
  <c r="AV39" i="8"/>
  <c r="AW39" i="8"/>
  <c r="AT40" i="8"/>
  <c r="AV40" i="8"/>
  <c r="AW40" i="8"/>
  <c r="AT41" i="8"/>
  <c r="AV41" i="8"/>
  <c r="AW41" i="8"/>
  <c r="AT42" i="8"/>
  <c r="AU42" i="8"/>
  <c r="AV42" i="8"/>
  <c r="AW42" i="8"/>
  <c r="AT43" i="8"/>
  <c r="AU43" i="8"/>
  <c r="AV43" i="8"/>
  <c r="AW43" i="8"/>
  <c r="AT44" i="8"/>
  <c r="AU44" i="8"/>
  <c r="AV44" i="8"/>
  <c r="AW44" i="8"/>
  <c r="AT45" i="8"/>
  <c r="AV45" i="8"/>
  <c r="AW45" i="8"/>
  <c r="AT46" i="8"/>
  <c r="AU46" i="8"/>
  <c r="AV46" i="8"/>
  <c r="AW46" i="8"/>
  <c r="AT47" i="8"/>
  <c r="AU47" i="8"/>
  <c r="AV47" i="8"/>
  <c r="AW47" i="8"/>
  <c r="AP5" i="8"/>
  <c r="AQ5" i="8"/>
  <c r="AR5" i="8"/>
  <c r="AS5" i="8"/>
  <c r="AP6" i="8"/>
  <c r="AQ6" i="8"/>
  <c r="AR6" i="8"/>
  <c r="AS6" i="8"/>
  <c r="AP7" i="8"/>
  <c r="AR7" i="8"/>
  <c r="AS7" i="8"/>
  <c r="AP8" i="8"/>
  <c r="AQ8" i="8"/>
  <c r="AR8" i="8"/>
  <c r="AS8" i="8"/>
  <c r="AP9" i="8"/>
  <c r="AR9" i="8"/>
  <c r="AS9" i="8"/>
  <c r="AP10" i="8"/>
  <c r="AR10" i="8"/>
  <c r="AS10" i="8"/>
  <c r="AP11" i="8"/>
  <c r="AR11" i="8"/>
  <c r="AS11" i="8"/>
  <c r="AP12" i="8"/>
  <c r="AR12" i="8"/>
  <c r="AS12" i="8"/>
  <c r="AP13" i="8"/>
  <c r="AR13" i="8"/>
  <c r="AS13" i="8"/>
  <c r="AP14" i="8"/>
  <c r="AR14" i="8"/>
  <c r="AS14" i="8"/>
  <c r="AP15" i="8"/>
  <c r="AQ15" i="8"/>
  <c r="AR15" i="8"/>
  <c r="AS15" i="8"/>
  <c r="AP16" i="8"/>
  <c r="AR16" i="8"/>
  <c r="AS16" i="8"/>
  <c r="AP17" i="8"/>
  <c r="AR17" i="8"/>
  <c r="AS17" i="8"/>
  <c r="AP18" i="8"/>
  <c r="AR18" i="8"/>
  <c r="AS18" i="8"/>
  <c r="AP19" i="8"/>
  <c r="AR19" i="8"/>
  <c r="AS19" i="8"/>
  <c r="AP20" i="8"/>
  <c r="AR20" i="8"/>
  <c r="AS20" i="8"/>
  <c r="AP21" i="8"/>
  <c r="AQ21" i="8"/>
  <c r="AR21" i="8"/>
  <c r="AS21" i="8"/>
  <c r="AP22" i="8"/>
  <c r="AQ22" i="8"/>
  <c r="AR22" i="8"/>
  <c r="AS22" i="8"/>
  <c r="AP23" i="8"/>
  <c r="AR23" i="8"/>
  <c r="AS23" i="8"/>
  <c r="AP24" i="8"/>
  <c r="AQ24" i="8"/>
  <c r="AR24" i="8"/>
  <c r="AS24" i="8"/>
  <c r="AP25" i="8"/>
  <c r="AQ25" i="8"/>
  <c r="AR25" i="8"/>
  <c r="AS25" i="8"/>
  <c r="AP26" i="8"/>
  <c r="AQ26" i="8"/>
  <c r="AR26" i="8"/>
  <c r="AS26" i="8"/>
  <c r="AP27" i="8"/>
  <c r="AQ27" i="8"/>
  <c r="AR27" i="8"/>
  <c r="AS27" i="8"/>
  <c r="AP28" i="8"/>
  <c r="AQ28" i="8"/>
  <c r="AR28" i="8"/>
  <c r="AS28" i="8"/>
  <c r="AP29" i="8"/>
  <c r="AR29" i="8"/>
  <c r="AS29" i="8"/>
  <c r="AP30" i="8"/>
  <c r="AR30" i="8"/>
  <c r="AS30" i="8"/>
  <c r="AP31" i="8"/>
  <c r="AR31" i="8"/>
  <c r="AS31" i="8"/>
  <c r="AP32" i="8"/>
  <c r="AQ32" i="8"/>
  <c r="AR32" i="8"/>
  <c r="AS32" i="8"/>
  <c r="AP33" i="8"/>
  <c r="AQ33" i="8"/>
  <c r="AR33" i="8"/>
  <c r="AS33" i="8"/>
  <c r="AP34" i="8"/>
  <c r="AQ34" i="8"/>
  <c r="AR34" i="8"/>
  <c r="AS34" i="8"/>
  <c r="AP35" i="8"/>
  <c r="AR35" i="8"/>
  <c r="AS35" i="8"/>
  <c r="AP36" i="8"/>
  <c r="AQ36" i="8"/>
  <c r="AR36" i="8"/>
  <c r="AS36" i="8"/>
  <c r="AP37" i="8"/>
  <c r="AQ37" i="8"/>
  <c r="AR37" i="8"/>
  <c r="AS37" i="8"/>
  <c r="AP38" i="8"/>
  <c r="AQ38" i="8"/>
  <c r="AR38" i="8"/>
  <c r="AS38" i="8"/>
  <c r="AP39" i="8"/>
  <c r="AR39" i="8"/>
  <c r="AS39" i="8"/>
  <c r="AP40" i="8"/>
  <c r="AR40" i="8"/>
  <c r="AS40" i="8"/>
  <c r="AP41" i="8"/>
  <c r="AR41" i="8"/>
  <c r="AS41" i="8"/>
  <c r="AP42" i="8"/>
  <c r="AQ42" i="8"/>
  <c r="AR42" i="8"/>
  <c r="AS42" i="8"/>
  <c r="AP43" i="8"/>
  <c r="AQ43" i="8"/>
  <c r="AR43" i="8"/>
  <c r="AS43" i="8"/>
  <c r="AP44" i="8"/>
  <c r="AQ44" i="8"/>
  <c r="AR44" i="8"/>
  <c r="AS44" i="8"/>
  <c r="AP45" i="8"/>
  <c r="AR45" i="8"/>
  <c r="AS45" i="8"/>
  <c r="AP46" i="8"/>
  <c r="AQ46" i="8"/>
  <c r="AR46" i="8"/>
  <c r="AS46" i="8"/>
  <c r="AP47" i="8"/>
  <c r="AQ47" i="8"/>
  <c r="AR47" i="8"/>
  <c r="AS47" i="8"/>
  <c r="AL5" i="8"/>
  <c r="AM5" i="8"/>
  <c r="AN5" i="8"/>
  <c r="AO5" i="8"/>
  <c r="AL6" i="8"/>
  <c r="AM6" i="8"/>
  <c r="AN6" i="8"/>
  <c r="AO6" i="8"/>
  <c r="AL7" i="8"/>
  <c r="AN7" i="8"/>
  <c r="AO7" i="8"/>
  <c r="AL8" i="8"/>
  <c r="AM8" i="8"/>
  <c r="AN8" i="8"/>
  <c r="AO8" i="8"/>
  <c r="AL9" i="8"/>
  <c r="AN9" i="8"/>
  <c r="AO9" i="8"/>
  <c r="AL10" i="8"/>
  <c r="AN10" i="8"/>
  <c r="AO10" i="8"/>
  <c r="AL11" i="8"/>
  <c r="AN11" i="8"/>
  <c r="AO11" i="8"/>
  <c r="AL12" i="8"/>
  <c r="AN12" i="8"/>
  <c r="AO12" i="8"/>
  <c r="AL13" i="8"/>
  <c r="AN13" i="8"/>
  <c r="AO13" i="8"/>
  <c r="AL14" i="8"/>
  <c r="AN14" i="8"/>
  <c r="AO14" i="8"/>
  <c r="AL15" i="8"/>
  <c r="AM15" i="8"/>
  <c r="AN15" i="8"/>
  <c r="AO15" i="8"/>
  <c r="AL16" i="8"/>
  <c r="AN16" i="8"/>
  <c r="AO16" i="8"/>
  <c r="AL17" i="8"/>
  <c r="AN17" i="8"/>
  <c r="AO17" i="8"/>
  <c r="AL18" i="8"/>
  <c r="AN18" i="8"/>
  <c r="AO18" i="8"/>
  <c r="AL19" i="8"/>
  <c r="AN19" i="8"/>
  <c r="AO19" i="8"/>
  <c r="AL20" i="8"/>
  <c r="AN20" i="8"/>
  <c r="AO20" i="8"/>
  <c r="AL21" i="8"/>
  <c r="AM21" i="8"/>
  <c r="AN21" i="8"/>
  <c r="AO21" i="8"/>
  <c r="AL22" i="8"/>
  <c r="AM22" i="8"/>
  <c r="AN22" i="8"/>
  <c r="AO22" i="8"/>
  <c r="AL23" i="8"/>
  <c r="AN23" i="8"/>
  <c r="AO23" i="8"/>
  <c r="AL24" i="8"/>
  <c r="AM24" i="8"/>
  <c r="AN24" i="8"/>
  <c r="AO24" i="8"/>
  <c r="AL25" i="8"/>
  <c r="AM25" i="8"/>
  <c r="AN25" i="8"/>
  <c r="AO25" i="8"/>
  <c r="AL26" i="8"/>
  <c r="AM26" i="8"/>
  <c r="AN26" i="8"/>
  <c r="AO26" i="8"/>
  <c r="AL27" i="8"/>
  <c r="AM27" i="8"/>
  <c r="AN27" i="8"/>
  <c r="AO27" i="8"/>
  <c r="AL28" i="8"/>
  <c r="AM28" i="8"/>
  <c r="AN28" i="8"/>
  <c r="AO28" i="8"/>
  <c r="AL29" i="8"/>
  <c r="AN29" i="8"/>
  <c r="AO29" i="8"/>
  <c r="AL30" i="8"/>
  <c r="AN30" i="8"/>
  <c r="AO30" i="8"/>
  <c r="AL31" i="8"/>
  <c r="AN31" i="8"/>
  <c r="AO31" i="8"/>
  <c r="AL32" i="8"/>
  <c r="AM32" i="8"/>
  <c r="AN32" i="8"/>
  <c r="AO32" i="8"/>
  <c r="AL33" i="8"/>
  <c r="AM33" i="8"/>
  <c r="AN33" i="8"/>
  <c r="AO33" i="8"/>
  <c r="AL34" i="8"/>
  <c r="AM34" i="8"/>
  <c r="AN34" i="8"/>
  <c r="AO34" i="8"/>
  <c r="AL35" i="8"/>
  <c r="AN35" i="8"/>
  <c r="AO35" i="8"/>
  <c r="AL36" i="8"/>
  <c r="AM36" i="8"/>
  <c r="AN36" i="8"/>
  <c r="AO36" i="8"/>
  <c r="AL37" i="8"/>
  <c r="AM37" i="8"/>
  <c r="AN37" i="8"/>
  <c r="AO37" i="8"/>
  <c r="AL38" i="8"/>
  <c r="AM38" i="8"/>
  <c r="AN38" i="8"/>
  <c r="AO38" i="8"/>
  <c r="AL39" i="8"/>
  <c r="AN39" i="8"/>
  <c r="AO39" i="8"/>
  <c r="AL40" i="8"/>
  <c r="AN40" i="8"/>
  <c r="AO40" i="8"/>
  <c r="AL41" i="8"/>
  <c r="AN41" i="8"/>
  <c r="AO41" i="8"/>
  <c r="AL42" i="8"/>
  <c r="AM42" i="8"/>
  <c r="AN42" i="8"/>
  <c r="AO42" i="8"/>
  <c r="AL43" i="8"/>
  <c r="AM43" i="8"/>
  <c r="AN43" i="8"/>
  <c r="AO43" i="8"/>
  <c r="AL44" i="8"/>
  <c r="AM44" i="8"/>
  <c r="AN44" i="8"/>
  <c r="AO44" i="8"/>
  <c r="AL45" i="8"/>
  <c r="AN45" i="8"/>
  <c r="AO45" i="8"/>
  <c r="AL46" i="8"/>
  <c r="AM46" i="8"/>
  <c r="AN46" i="8"/>
  <c r="AO46" i="8"/>
  <c r="AL47" i="8"/>
  <c r="AM47" i="8"/>
  <c r="AN47" i="8"/>
  <c r="AO47" i="8"/>
  <c r="AH5" i="8"/>
  <c r="AI5" i="8"/>
  <c r="AJ5" i="8"/>
  <c r="AK5" i="8"/>
  <c r="AH6" i="8"/>
  <c r="AI6" i="8"/>
  <c r="AJ6" i="8"/>
  <c r="AK6" i="8"/>
  <c r="AH7" i="8"/>
  <c r="AJ7" i="8"/>
  <c r="AK7" i="8"/>
  <c r="AH8" i="8"/>
  <c r="AI8" i="8"/>
  <c r="AJ8" i="8"/>
  <c r="AK8" i="8"/>
  <c r="AH9" i="8"/>
  <c r="AJ9" i="8"/>
  <c r="AK9" i="8"/>
  <c r="AH10" i="8"/>
  <c r="AJ10" i="8"/>
  <c r="AK10" i="8"/>
  <c r="AH11" i="8"/>
  <c r="AJ11" i="8"/>
  <c r="AK11" i="8"/>
  <c r="AH12" i="8"/>
  <c r="AJ12" i="8"/>
  <c r="AK12" i="8"/>
  <c r="AH13" i="8"/>
  <c r="AJ13" i="8"/>
  <c r="AK13" i="8"/>
  <c r="AH14" i="8"/>
  <c r="AJ14" i="8"/>
  <c r="AK14" i="8"/>
  <c r="AH15" i="8"/>
  <c r="AI15" i="8"/>
  <c r="AJ15" i="8"/>
  <c r="AK15" i="8"/>
  <c r="AH16" i="8"/>
  <c r="AJ16" i="8"/>
  <c r="AK16" i="8"/>
  <c r="AH17" i="8"/>
  <c r="AJ17" i="8"/>
  <c r="AK17" i="8"/>
  <c r="AH18" i="8"/>
  <c r="AJ18" i="8"/>
  <c r="AK18" i="8"/>
  <c r="AH19" i="8"/>
  <c r="AJ19" i="8"/>
  <c r="AK19" i="8"/>
  <c r="AH20" i="8"/>
  <c r="AJ20" i="8"/>
  <c r="AK20" i="8"/>
  <c r="AH21" i="8"/>
  <c r="AI21" i="8"/>
  <c r="AJ21" i="8"/>
  <c r="AK21" i="8"/>
  <c r="AH22" i="8"/>
  <c r="AI22" i="8"/>
  <c r="AJ22" i="8"/>
  <c r="AK22" i="8"/>
  <c r="AH23" i="8"/>
  <c r="AJ23" i="8"/>
  <c r="AK23" i="8"/>
  <c r="AH24" i="8"/>
  <c r="AI24" i="8"/>
  <c r="AJ24" i="8"/>
  <c r="AK24" i="8"/>
  <c r="AH25" i="8"/>
  <c r="AI25" i="8"/>
  <c r="AJ25" i="8"/>
  <c r="AK25" i="8"/>
  <c r="AH26" i="8"/>
  <c r="AI26" i="8"/>
  <c r="AJ26" i="8"/>
  <c r="AK26" i="8"/>
  <c r="AH27" i="8"/>
  <c r="AI27" i="8"/>
  <c r="AJ27" i="8"/>
  <c r="AK27" i="8"/>
  <c r="AH28" i="8"/>
  <c r="AI28" i="8"/>
  <c r="AJ28" i="8"/>
  <c r="AK28" i="8"/>
  <c r="AH29" i="8"/>
  <c r="AJ29" i="8"/>
  <c r="AK29" i="8"/>
  <c r="AH30" i="8"/>
  <c r="AJ30" i="8"/>
  <c r="AK30" i="8"/>
  <c r="AH31" i="8"/>
  <c r="AJ31" i="8"/>
  <c r="AK31" i="8"/>
  <c r="AH32" i="8"/>
  <c r="AI32" i="8"/>
  <c r="AJ32" i="8"/>
  <c r="AK32" i="8"/>
  <c r="AH33" i="8"/>
  <c r="AI33" i="8"/>
  <c r="AJ33" i="8"/>
  <c r="AK33" i="8"/>
  <c r="AH34" i="8"/>
  <c r="AI34" i="8"/>
  <c r="AJ34" i="8"/>
  <c r="AK34" i="8"/>
  <c r="AH35" i="8"/>
  <c r="AJ35" i="8"/>
  <c r="AK35" i="8"/>
  <c r="AH36" i="8"/>
  <c r="AI36" i="8"/>
  <c r="AJ36" i="8"/>
  <c r="AK36" i="8"/>
  <c r="AH37" i="8"/>
  <c r="AI37" i="8"/>
  <c r="AJ37" i="8"/>
  <c r="AK37" i="8"/>
  <c r="AH38" i="8"/>
  <c r="AI38" i="8"/>
  <c r="AJ38" i="8"/>
  <c r="AK38" i="8"/>
  <c r="AH39" i="8"/>
  <c r="AJ39" i="8"/>
  <c r="AK39" i="8"/>
  <c r="AH40" i="8"/>
  <c r="AJ40" i="8"/>
  <c r="AK40" i="8"/>
  <c r="AH41" i="8"/>
  <c r="AJ41" i="8"/>
  <c r="AK41" i="8"/>
  <c r="AH42" i="8"/>
  <c r="AI42" i="8"/>
  <c r="AJ42" i="8"/>
  <c r="AK42" i="8"/>
  <c r="AH43" i="8"/>
  <c r="AI43" i="8"/>
  <c r="AJ43" i="8"/>
  <c r="AK43" i="8"/>
  <c r="AH44" i="8"/>
  <c r="AI44" i="8"/>
  <c r="AJ44" i="8"/>
  <c r="AK44" i="8"/>
  <c r="AH45" i="8"/>
  <c r="AJ45" i="8"/>
  <c r="AK45" i="8"/>
  <c r="AH46" i="8"/>
  <c r="AI46" i="8"/>
  <c r="AJ46" i="8"/>
  <c r="AK46" i="8"/>
  <c r="AH47" i="8"/>
  <c r="AI47" i="8"/>
  <c r="AJ47" i="8"/>
  <c r="AK47" i="8"/>
  <c r="AD5" i="8"/>
  <c r="AE5" i="8"/>
  <c r="AF5" i="8"/>
  <c r="AG5" i="8"/>
  <c r="AD6" i="8"/>
  <c r="AE6" i="8"/>
  <c r="AF6" i="8"/>
  <c r="AG6" i="8"/>
  <c r="AD7" i="8"/>
  <c r="AF7" i="8"/>
  <c r="AG7" i="8"/>
  <c r="AD8" i="8"/>
  <c r="AE8" i="8"/>
  <c r="AF8" i="8"/>
  <c r="AG8" i="8"/>
  <c r="AD9" i="8"/>
  <c r="AF9" i="8"/>
  <c r="AG9" i="8"/>
  <c r="AD10" i="8"/>
  <c r="AF10" i="8"/>
  <c r="AG10" i="8"/>
  <c r="AD11" i="8"/>
  <c r="AF11" i="8"/>
  <c r="AG11" i="8"/>
  <c r="AD12" i="8"/>
  <c r="AF12" i="8"/>
  <c r="AG12" i="8"/>
  <c r="AD13" i="8"/>
  <c r="AF13" i="8"/>
  <c r="AG13" i="8"/>
  <c r="AD14" i="8"/>
  <c r="AF14" i="8"/>
  <c r="AG14" i="8"/>
  <c r="AD15" i="8"/>
  <c r="AE15" i="8"/>
  <c r="AF15" i="8"/>
  <c r="AG15" i="8"/>
  <c r="AD16" i="8"/>
  <c r="AF16" i="8"/>
  <c r="AG16" i="8"/>
  <c r="AD17" i="8"/>
  <c r="AF17" i="8"/>
  <c r="AG17" i="8"/>
  <c r="AD18" i="8"/>
  <c r="AF18" i="8"/>
  <c r="AG18" i="8"/>
  <c r="AD19" i="8"/>
  <c r="AF19" i="8"/>
  <c r="AG19" i="8"/>
  <c r="AD20" i="8"/>
  <c r="AF20" i="8"/>
  <c r="AG20" i="8"/>
  <c r="AD21" i="8"/>
  <c r="AE21" i="8"/>
  <c r="AF21" i="8"/>
  <c r="AG21" i="8"/>
  <c r="AD22" i="8"/>
  <c r="AE22" i="8"/>
  <c r="AF22" i="8"/>
  <c r="AG22" i="8"/>
  <c r="AD23" i="8"/>
  <c r="AF23" i="8"/>
  <c r="AG23" i="8"/>
  <c r="AD24" i="8"/>
  <c r="AE24" i="8"/>
  <c r="AF24" i="8"/>
  <c r="AG24" i="8"/>
  <c r="AD25" i="8"/>
  <c r="AE25" i="8"/>
  <c r="AF25" i="8"/>
  <c r="AG25" i="8"/>
  <c r="AD26" i="8"/>
  <c r="AE26" i="8"/>
  <c r="AF26" i="8"/>
  <c r="AG26" i="8"/>
  <c r="AD27" i="8"/>
  <c r="AE27" i="8"/>
  <c r="AF27" i="8"/>
  <c r="AG27" i="8"/>
  <c r="AD28" i="8"/>
  <c r="AE28" i="8"/>
  <c r="AF28" i="8"/>
  <c r="AG28" i="8"/>
  <c r="AD29" i="8"/>
  <c r="AF29" i="8"/>
  <c r="AG29" i="8"/>
  <c r="AD30" i="8"/>
  <c r="AF30" i="8"/>
  <c r="AG30" i="8"/>
  <c r="AD31" i="8"/>
  <c r="AF31" i="8"/>
  <c r="AG31" i="8"/>
  <c r="AD32" i="8"/>
  <c r="AE32" i="8"/>
  <c r="AF32" i="8"/>
  <c r="AG32" i="8"/>
  <c r="AD33" i="8"/>
  <c r="AE33" i="8"/>
  <c r="AF33" i="8"/>
  <c r="AG33" i="8"/>
  <c r="AD34" i="8"/>
  <c r="AE34" i="8"/>
  <c r="AF34" i="8"/>
  <c r="AG34" i="8"/>
  <c r="AD35" i="8"/>
  <c r="AF35" i="8"/>
  <c r="AG35" i="8"/>
  <c r="AD36" i="8"/>
  <c r="AE36" i="8"/>
  <c r="AF36" i="8"/>
  <c r="AG36" i="8"/>
  <c r="AD37" i="8"/>
  <c r="AE37" i="8"/>
  <c r="AF37" i="8"/>
  <c r="AG37" i="8"/>
  <c r="AD38" i="8"/>
  <c r="AE38" i="8"/>
  <c r="AF38" i="8"/>
  <c r="AG38" i="8"/>
  <c r="AD39" i="8"/>
  <c r="AF39" i="8"/>
  <c r="AG39" i="8"/>
  <c r="AD40" i="8"/>
  <c r="AF40" i="8"/>
  <c r="AG40" i="8"/>
  <c r="AD41" i="8"/>
  <c r="AF41" i="8"/>
  <c r="AG41" i="8"/>
  <c r="AD42" i="8"/>
  <c r="AE42" i="8"/>
  <c r="AF42" i="8"/>
  <c r="AG42" i="8"/>
  <c r="AD43" i="8"/>
  <c r="AE43" i="8"/>
  <c r="AF43" i="8"/>
  <c r="AG43" i="8"/>
  <c r="AD44" i="8"/>
  <c r="AE44" i="8"/>
  <c r="AF44" i="8"/>
  <c r="AG44" i="8"/>
  <c r="AD45" i="8"/>
  <c r="AF45" i="8"/>
  <c r="AG45" i="8"/>
  <c r="AD46" i="8"/>
  <c r="AE46" i="8"/>
  <c r="AF46" i="8"/>
  <c r="AG46" i="8"/>
  <c r="AD47" i="8"/>
  <c r="AE47" i="8"/>
  <c r="AF47" i="8"/>
  <c r="AG47" i="8"/>
  <c r="Z5" i="8"/>
  <c r="AA5" i="8"/>
  <c r="AB5" i="8"/>
  <c r="AC5" i="8"/>
  <c r="Z6" i="8"/>
  <c r="AA6" i="8"/>
  <c r="AB6" i="8"/>
  <c r="AC6" i="8"/>
  <c r="Z7" i="8"/>
  <c r="AB7" i="8"/>
  <c r="AC7" i="8"/>
  <c r="Z8" i="8"/>
  <c r="AA8" i="8"/>
  <c r="AB8" i="8"/>
  <c r="AC8" i="8"/>
  <c r="Z9" i="8"/>
  <c r="AB9" i="8"/>
  <c r="AC9" i="8"/>
  <c r="Z10" i="8"/>
  <c r="AB10" i="8"/>
  <c r="AC10" i="8"/>
  <c r="Z11" i="8"/>
  <c r="AB11" i="8"/>
  <c r="AC11" i="8"/>
  <c r="Z12" i="8"/>
  <c r="AB12" i="8"/>
  <c r="AC12" i="8"/>
  <c r="Z13" i="8"/>
  <c r="AB13" i="8"/>
  <c r="AC13" i="8"/>
  <c r="Z14" i="8"/>
  <c r="AB14" i="8"/>
  <c r="AC14" i="8"/>
  <c r="Z15" i="8"/>
  <c r="AA15" i="8"/>
  <c r="AB15" i="8"/>
  <c r="AC15" i="8"/>
  <c r="Z16" i="8"/>
  <c r="AB16" i="8"/>
  <c r="AC16" i="8"/>
  <c r="Z17" i="8"/>
  <c r="AB17" i="8"/>
  <c r="AC17" i="8"/>
  <c r="Z18" i="8"/>
  <c r="AB18" i="8"/>
  <c r="AC18" i="8"/>
  <c r="Z19" i="8"/>
  <c r="AB19" i="8"/>
  <c r="AC19" i="8"/>
  <c r="Z20" i="8"/>
  <c r="AB20" i="8"/>
  <c r="AC20" i="8"/>
  <c r="Z21" i="8"/>
  <c r="AA21" i="8"/>
  <c r="AB21" i="8"/>
  <c r="AC21" i="8"/>
  <c r="Z22" i="8"/>
  <c r="AA22" i="8"/>
  <c r="AB22" i="8"/>
  <c r="AC22" i="8"/>
  <c r="Z23" i="8"/>
  <c r="AB23" i="8"/>
  <c r="AC23" i="8"/>
  <c r="Z24" i="8"/>
  <c r="AA24" i="8"/>
  <c r="AB24" i="8"/>
  <c r="AC24" i="8"/>
  <c r="Z25" i="8"/>
  <c r="AA25" i="8"/>
  <c r="AB25" i="8"/>
  <c r="AC25" i="8"/>
  <c r="Z26" i="8"/>
  <c r="AA26" i="8"/>
  <c r="AB26" i="8"/>
  <c r="AC26" i="8"/>
  <c r="Z27" i="8"/>
  <c r="AA27" i="8"/>
  <c r="AB27" i="8"/>
  <c r="AC27" i="8"/>
  <c r="Z28" i="8"/>
  <c r="AA28" i="8"/>
  <c r="AB28" i="8"/>
  <c r="AC28" i="8"/>
  <c r="Z29" i="8"/>
  <c r="AB29" i="8"/>
  <c r="AC29" i="8"/>
  <c r="Z30" i="8"/>
  <c r="AB30" i="8"/>
  <c r="AC30" i="8"/>
  <c r="Z31" i="8"/>
  <c r="AB31" i="8"/>
  <c r="AC31" i="8"/>
  <c r="Z32" i="8"/>
  <c r="AA32" i="8"/>
  <c r="AB32" i="8"/>
  <c r="AC32" i="8"/>
  <c r="Z33" i="8"/>
  <c r="AA33" i="8"/>
  <c r="AB33" i="8"/>
  <c r="AC33" i="8"/>
  <c r="Z34" i="8"/>
  <c r="AA34" i="8"/>
  <c r="AB34" i="8"/>
  <c r="AC34" i="8"/>
  <c r="Z35" i="8"/>
  <c r="AB35" i="8"/>
  <c r="AC35" i="8"/>
  <c r="Z36" i="8"/>
  <c r="AA36" i="8"/>
  <c r="AB36" i="8"/>
  <c r="AC36" i="8"/>
  <c r="Z37" i="8"/>
  <c r="AA37" i="8"/>
  <c r="AB37" i="8"/>
  <c r="AC37" i="8"/>
  <c r="Z38" i="8"/>
  <c r="AA38" i="8"/>
  <c r="AB38" i="8"/>
  <c r="AC38" i="8"/>
  <c r="Z39" i="8"/>
  <c r="AB39" i="8"/>
  <c r="AC39" i="8"/>
  <c r="Z40" i="8"/>
  <c r="AB40" i="8"/>
  <c r="AC40" i="8"/>
  <c r="Z41" i="8"/>
  <c r="AB41" i="8"/>
  <c r="AC41" i="8"/>
  <c r="Z42" i="8"/>
  <c r="AA42" i="8"/>
  <c r="AB42" i="8"/>
  <c r="AC42" i="8"/>
  <c r="Z43" i="8"/>
  <c r="AA43" i="8"/>
  <c r="AB43" i="8"/>
  <c r="AC43" i="8"/>
  <c r="Z44" i="8"/>
  <c r="AA44" i="8"/>
  <c r="AB44" i="8"/>
  <c r="AC44" i="8"/>
  <c r="Z45" i="8"/>
  <c r="AB45" i="8"/>
  <c r="AC45" i="8"/>
  <c r="Z46" i="8"/>
  <c r="AA46" i="8"/>
  <c r="AB46" i="8"/>
  <c r="AC46" i="8"/>
  <c r="Z47" i="8"/>
  <c r="AA47" i="8"/>
  <c r="AB47" i="8"/>
  <c r="AC47" i="8"/>
  <c r="Z48" i="8"/>
  <c r="AA48" i="8"/>
  <c r="AB48" i="8"/>
  <c r="AC48" i="8"/>
  <c r="V5" i="8"/>
  <c r="W5" i="8"/>
  <c r="X5" i="8"/>
  <c r="Y5" i="8"/>
  <c r="V6" i="8"/>
  <c r="W6" i="8"/>
  <c r="X6" i="8"/>
  <c r="Y6" i="8"/>
  <c r="V7" i="8"/>
  <c r="X7" i="8"/>
  <c r="Y7" i="8"/>
  <c r="V8" i="8"/>
  <c r="W8" i="8"/>
  <c r="X8" i="8"/>
  <c r="Y8" i="8"/>
  <c r="V9" i="8"/>
  <c r="X9" i="8"/>
  <c r="Y9" i="8"/>
  <c r="V10" i="8"/>
  <c r="X10" i="8"/>
  <c r="Y10" i="8"/>
  <c r="V11" i="8"/>
  <c r="X11" i="8"/>
  <c r="Y11" i="8"/>
  <c r="V12" i="8"/>
  <c r="X12" i="8"/>
  <c r="Y12" i="8"/>
  <c r="V13" i="8"/>
  <c r="X13" i="8"/>
  <c r="Y13" i="8"/>
  <c r="V14" i="8"/>
  <c r="X14" i="8"/>
  <c r="Y14" i="8"/>
  <c r="V15" i="8"/>
  <c r="W15" i="8"/>
  <c r="X15" i="8"/>
  <c r="Y15" i="8"/>
  <c r="V16" i="8"/>
  <c r="X16" i="8"/>
  <c r="Y16" i="8"/>
  <c r="V17" i="8"/>
  <c r="X17" i="8"/>
  <c r="Y17" i="8"/>
  <c r="V18" i="8"/>
  <c r="X18" i="8"/>
  <c r="Y18" i="8"/>
  <c r="V19" i="8"/>
  <c r="X19" i="8"/>
  <c r="Y19" i="8"/>
  <c r="V20" i="8"/>
  <c r="X20" i="8"/>
  <c r="Y20" i="8"/>
  <c r="V21" i="8"/>
  <c r="W21" i="8"/>
  <c r="X21" i="8"/>
  <c r="Y21" i="8"/>
  <c r="V22" i="8"/>
  <c r="W22" i="8"/>
  <c r="X22" i="8"/>
  <c r="Y22" i="8"/>
  <c r="V23" i="8"/>
  <c r="X23" i="8"/>
  <c r="Y23" i="8"/>
  <c r="V24" i="8"/>
  <c r="W24" i="8"/>
  <c r="X24" i="8"/>
  <c r="Y24" i="8"/>
  <c r="V25" i="8"/>
  <c r="W25" i="8"/>
  <c r="X25" i="8"/>
  <c r="Y25" i="8"/>
  <c r="V26" i="8"/>
  <c r="W26" i="8"/>
  <c r="X26" i="8"/>
  <c r="Y26" i="8"/>
  <c r="V27" i="8"/>
  <c r="W27" i="8"/>
  <c r="X27" i="8"/>
  <c r="Y27" i="8"/>
  <c r="V28" i="8"/>
  <c r="W28" i="8"/>
  <c r="X28" i="8"/>
  <c r="Y28" i="8"/>
  <c r="V29" i="8"/>
  <c r="X29" i="8"/>
  <c r="Y29" i="8"/>
  <c r="V30" i="8"/>
  <c r="X30" i="8"/>
  <c r="Y30" i="8"/>
  <c r="V31" i="8"/>
  <c r="X31" i="8"/>
  <c r="Y31" i="8"/>
  <c r="V32" i="8"/>
  <c r="W32" i="8"/>
  <c r="X32" i="8"/>
  <c r="Y32" i="8"/>
  <c r="V33" i="8"/>
  <c r="W33" i="8"/>
  <c r="X33" i="8"/>
  <c r="Y33" i="8"/>
  <c r="V34" i="8"/>
  <c r="W34" i="8"/>
  <c r="X34" i="8"/>
  <c r="Y34" i="8"/>
  <c r="V35" i="8"/>
  <c r="X35" i="8"/>
  <c r="Y35" i="8"/>
  <c r="V36" i="8"/>
  <c r="W36" i="8"/>
  <c r="X36" i="8"/>
  <c r="Y36" i="8"/>
  <c r="V37" i="8"/>
  <c r="W37" i="8"/>
  <c r="X37" i="8"/>
  <c r="Y37" i="8"/>
  <c r="V38" i="8"/>
  <c r="W38" i="8"/>
  <c r="X38" i="8"/>
  <c r="Y38" i="8"/>
  <c r="V39" i="8"/>
  <c r="X39" i="8"/>
  <c r="Y39" i="8"/>
  <c r="V40" i="8"/>
  <c r="X40" i="8"/>
  <c r="Y40" i="8"/>
  <c r="V41" i="8"/>
  <c r="X41" i="8"/>
  <c r="Y41" i="8"/>
  <c r="V42" i="8"/>
  <c r="W42" i="8"/>
  <c r="X42" i="8"/>
  <c r="Y42" i="8"/>
  <c r="V43" i="8"/>
  <c r="W43" i="8"/>
  <c r="X43" i="8"/>
  <c r="Y43" i="8"/>
  <c r="V44" i="8"/>
  <c r="W44" i="8"/>
  <c r="X44" i="8"/>
  <c r="Y44" i="8"/>
  <c r="V45" i="8"/>
  <c r="X45" i="8"/>
  <c r="Y45" i="8"/>
  <c r="V46" i="8"/>
  <c r="W46" i="8"/>
  <c r="X46" i="8"/>
  <c r="Y46" i="8"/>
  <c r="V47" i="8"/>
  <c r="W47" i="8"/>
  <c r="X47" i="8"/>
  <c r="Y47" i="8"/>
  <c r="R5" i="8"/>
  <c r="S5" i="8"/>
  <c r="T5" i="8"/>
  <c r="U5" i="8"/>
  <c r="R6" i="8"/>
  <c r="S6" i="8"/>
  <c r="T6" i="8"/>
  <c r="U6" i="8"/>
  <c r="R7" i="8"/>
  <c r="T7" i="8"/>
  <c r="U7" i="8"/>
  <c r="R8" i="8"/>
  <c r="S8" i="8"/>
  <c r="T8" i="8"/>
  <c r="U8" i="8"/>
  <c r="R9" i="8"/>
  <c r="T9" i="8"/>
  <c r="U9" i="8"/>
  <c r="R10" i="8"/>
  <c r="T10" i="8"/>
  <c r="U10" i="8"/>
  <c r="R11" i="8"/>
  <c r="T11" i="8"/>
  <c r="U11" i="8"/>
  <c r="R12" i="8"/>
  <c r="T12" i="8"/>
  <c r="U12" i="8"/>
  <c r="R13" i="8"/>
  <c r="T13" i="8"/>
  <c r="U13" i="8"/>
  <c r="R14" i="8"/>
  <c r="T14" i="8"/>
  <c r="U14" i="8"/>
  <c r="R15" i="8"/>
  <c r="S15" i="8"/>
  <c r="T15" i="8"/>
  <c r="U15" i="8"/>
  <c r="R16" i="8"/>
  <c r="T16" i="8"/>
  <c r="U16" i="8"/>
  <c r="R17" i="8"/>
  <c r="T17" i="8"/>
  <c r="U17" i="8"/>
  <c r="R18" i="8"/>
  <c r="T18" i="8"/>
  <c r="U18" i="8"/>
  <c r="R19" i="8"/>
  <c r="T19" i="8"/>
  <c r="U19" i="8"/>
  <c r="R20" i="8"/>
  <c r="T20" i="8"/>
  <c r="U20" i="8"/>
  <c r="R21" i="8"/>
  <c r="S21" i="8"/>
  <c r="T21" i="8"/>
  <c r="U21" i="8"/>
  <c r="R22" i="8"/>
  <c r="S22" i="8"/>
  <c r="T22" i="8"/>
  <c r="U22" i="8"/>
  <c r="R23" i="8"/>
  <c r="T23" i="8"/>
  <c r="U23" i="8"/>
  <c r="R24" i="8"/>
  <c r="S24" i="8"/>
  <c r="T24" i="8"/>
  <c r="U24" i="8"/>
  <c r="R25" i="8"/>
  <c r="S25" i="8"/>
  <c r="T25" i="8"/>
  <c r="U25" i="8"/>
  <c r="R26" i="8"/>
  <c r="S26" i="8"/>
  <c r="T26" i="8"/>
  <c r="U26" i="8"/>
  <c r="R27" i="8"/>
  <c r="S27" i="8"/>
  <c r="T27" i="8"/>
  <c r="U27" i="8"/>
  <c r="R28" i="8"/>
  <c r="S28" i="8"/>
  <c r="T28" i="8"/>
  <c r="U28" i="8"/>
  <c r="R29" i="8"/>
  <c r="T29" i="8"/>
  <c r="U29" i="8"/>
  <c r="R30" i="8"/>
  <c r="T30" i="8"/>
  <c r="U30" i="8"/>
  <c r="R31" i="8"/>
  <c r="T31" i="8"/>
  <c r="U31" i="8"/>
  <c r="R32" i="8"/>
  <c r="S32" i="8"/>
  <c r="T32" i="8"/>
  <c r="U32" i="8"/>
  <c r="R33" i="8"/>
  <c r="S33" i="8"/>
  <c r="T33" i="8"/>
  <c r="U33" i="8"/>
  <c r="R34" i="8"/>
  <c r="S34" i="8"/>
  <c r="T34" i="8"/>
  <c r="U34" i="8"/>
  <c r="R35" i="8"/>
  <c r="T35" i="8"/>
  <c r="U35" i="8"/>
  <c r="R36" i="8"/>
  <c r="S36" i="8"/>
  <c r="T36" i="8"/>
  <c r="U36" i="8"/>
  <c r="R37" i="8"/>
  <c r="S37" i="8"/>
  <c r="T37" i="8"/>
  <c r="U37" i="8"/>
  <c r="R38" i="8"/>
  <c r="S38" i="8"/>
  <c r="T38" i="8"/>
  <c r="U38" i="8"/>
  <c r="R39" i="8"/>
  <c r="T39" i="8"/>
  <c r="U39" i="8"/>
  <c r="R40" i="8"/>
  <c r="T40" i="8"/>
  <c r="U40" i="8"/>
  <c r="R41" i="8"/>
  <c r="T41" i="8"/>
  <c r="U41" i="8"/>
  <c r="R42" i="8"/>
  <c r="S42" i="8"/>
  <c r="T42" i="8"/>
  <c r="U42" i="8"/>
  <c r="R43" i="8"/>
  <c r="S43" i="8"/>
  <c r="T43" i="8"/>
  <c r="U43" i="8"/>
  <c r="R44" i="8"/>
  <c r="S44" i="8"/>
  <c r="T44" i="8"/>
  <c r="U44" i="8"/>
  <c r="R45" i="8"/>
  <c r="T45" i="8"/>
  <c r="U45" i="8"/>
  <c r="R46" i="8"/>
  <c r="S46" i="8"/>
  <c r="T46" i="8"/>
  <c r="U46" i="8"/>
  <c r="R47" i="8"/>
  <c r="S47" i="8"/>
  <c r="T47" i="8"/>
  <c r="U47" i="8"/>
  <c r="N5" i="8"/>
  <c r="O5" i="8"/>
  <c r="P5" i="8"/>
  <c r="Q5" i="8"/>
  <c r="N6" i="8"/>
  <c r="O6" i="8"/>
  <c r="P6" i="8"/>
  <c r="Q6" i="8"/>
  <c r="N7" i="8"/>
  <c r="P7" i="8"/>
  <c r="Q7" i="8"/>
  <c r="N8" i="8"/>
  <c r="O8" i="8"/>
  <c r="P8" i="8"/>
  <c r="Q8" i="8"/>
  <c r="N9" i="8"/>
  <c r="P9" i="8"/>
  <c r="Q9" i="8"/>
  <c r="N10" i="8"/>
  <c r="P10" i="8"/>
  <c r="Q10" i="8"/>
  <c r="N11" i="8"/>
  <c r="P11" i="8"/>
  <c r="Q11" i="8"/>
  <c r="N12" i="8"/>
  <c r="P12" i="8"/>
  <c r="Q12" i="8"/>
  <c r="N13" i="8"/>
  <c r="P13" i="8"/>
  <c r="Q13" i="8"/>
  <c r="N14" i="8"/>
  <c r="P14" i="8"/>
  <c r="Q14" i="8"/>
  <c r="N15" i="8"/>
  <c r="O15" i="8"/>
  <c r="P15" i="8"/>
  <c r="Q15" i="8"/>
  <c r="N16" i="8"/>
  <c r="P16" i="8"/>
  <c r="Q16" i="8"/>
  <c r="N17" i="8"/>
  <c r="P17" i="8"/>
  <c r="Q17" i="8"/>
  <c r="N18" i="8"/>
  <c r="P18" i="8"/>
  <c r="Q18" i="8"/>
  <c r="N19" i="8"/>
  <c r="P19" i="8"/>
  <c r="Q19" i="8"/>
  <c r="N20" i="8"/>
  <c r="P20" i="8"/>
  <c r="Q20" i="8"/>
  <c r="N21" i="8"/>
  <c r="O21" i="8"/>
  <c r="P21" i="8"/>
  <c r="Q21" i="8"/>
  <c r="N22" i="8"/>
  <c r="O22" i="8"/>
  <c r="P22" i="8"/>
  <c r="Q22" i="8"/>
  <c r="N23" i="8"/>
  <c r="P23" i="8"/>
  <c r="Q23" i="8"/>
  <c r="N24" i="8"/>
  <c r="O24" i="8"/>
  <c r="P24" i="8"/>
  <c r="Q24" i="8"/>
  <c r="N25" i="8"/>
  <c r="O25" i="8"/>
  <c r="P25" i="8"/>
  <c r="Q25" i="8"/>
  <c r="N26" i="8"/>
  <c r="O26" i="8"/>
  <c r="P26" i="8"/>
  <c r="Q26" i="8"/>
  <c r="N27" i="8"/>
  <c r="O27" i="8"/>
  <c r="P27" i="8"/>
  <c r="Q27" i="8"/>
  <c r="N28" i="8"/>
  <c r="O28" i="8"/>
  <c r="P28" i="8"/>
  <c r="Q28" i="8"/>
  <c r="N29" i="8"/>
  <c r="P29" i="8"/>
  <c r="Q29" i="8"/>
  <c r="N30" i="8"/>
  <c r="P30" i="8"/>
  <c r="Q30" i="8"/>
  <c r="N31" i="8"/>
  <c r="P31" i="8"/>
  <c r="Q31" i="8"/>
  <c r="N32" i="8"/>
  <c r="O32" i="8"/>
  <c r="P32" i="8"/>
  <c r="Q32" i="8"/>
  <c r="N33" i="8"/>
  <c r="O33" i="8"/>
  <c r="P33" i="8"/>
  <c r="Q33" i="8"/>
  <c r="N34" i="8"/>
  <c r="O34" i="8"/>
  <c r="P34" i="8"/>
  <c r="Q34" i="8"/>
  <c r="N35" i="8"/>
  <c r="P35" i="8"/>
  <c r="Q35" i="8"/>
  <c r="N36" i="8"/>
  <c r="O36" i="8"/>
  <c r="P36" i="8"/>
  <c r="Q36" i="8"/>
  <c r="N37" i="8"/>
  <c r="O37" i="8"/>
  <c r="P37" i="8"/>
  <c r="Q37" i="8"/>
  <c r="N38" i="8"/>
  <c r="O38" i="8"/>
  <c r="P38" i="8"/>
  <c r="Q38" i="8"/>
  <c r="N39" i="8"/>
  <c r="P39" i="8"/>
  <c r="Q39" i="8"/>
  <c r="N40" i="8"/>
  <c r="P40" i="8"/>
  <c r="Q40" i="8"/>
  <c r="N41" i="8"/>
  <c r="P41" i="8"/>
  <c r="Q41" i="8"/>
  <c r="N42" i="8"/>
  <c r="O42" i="8"/>
  <c r="P42" i="8"/>
  <c r="Q42" i="8"/>
  <c r="N43" i="8"/>
  <c r="O43" i="8"/>
  <c r="P43" i="8"/>
  <c r="Q43" i="8"/>
  <c r="N44" i="8"/>
  <c r="O44" i="8"/>
  <c r="P44" i="8"/>
  <c r="Q44" i="8"/>
  <c r="N45" i="8"/>
  <c r="P45" i="8"/>
  <c r="Q45" i="8"/>
  <c r="N46" i="8"/>
  <c r="O46" i="8"/>
  <c r="P46" i="8"/>
  <c r="Q46" i="8"/>
  <c r="N47" i="8"/>
  <c r="O47" i="8"/>
  <c r="P47" i="8"/>
  <c r="Q47" i="8"/>
  <c r="J5" i="8"/>
  <c r="K5" i="8"/>
  <c r="L5" i="8"/>
  <c r="M5" i="8"/>
  <c r="J6" i="8"/>
  <c r="K6" i="8"/>
  <c r="L6" i="8"/>
  <c r="M6" i="8"/>
  <c r="J7" i="8"/>
  <c r="L7" i="8"/>
  <c r="M7" i="8"/>
  <c r="J8" i="8"/>
  <c r="K8" i="8"/>
  <c r="L8" i="8"/>
  <c r="M8" i="8"/>
  <c r="J9" i="8"/>
  <c r="L9" i="8"/>
  <c r="M9" i="8"/>
  <c r="J10" i="8"/>
  <c r="L10" i="8"/>
  <c r="M10" i="8"/>
  <c r="J11" i="8"/>
  <c r="L11" i="8"/>
  <c r="M11" i="8"/>
  <c r="J12" i="8"/>
  <c r="L12" i="8"/>
  <c r="M12" i="8"/>
  <c r="J13" i="8"/>
  <c r="L13" i="8"/>
  <c r="M13" i="8"/>
  <c r="J14" i="8"/>
  <c r="L14" i="8"/>
  <c r="M14" i="8"/>
  <c r="J15" i="8"/>
  <c r="K15" i="8"/>
  <c r="L15" i="8"/>
  <c r="M15" i="8"/>
  <c r="J16" i="8"/>
  <c r="L16" i="8"/>
  <c r="M16" i="8"/>
  <c r="J17" i="8"/>
  <c r="L17" i="8"/>
  <c r="M17" i="8"/>
  <c r="J18" i="8"/>
  <c r="L18" i="8"/>
  <c r="M18" i="8"/>
  <c r="J19" i="8"/>
  <c r="L19" i="8"/>
  <c r="M19" i="8"/>
  <c r="J20" i="8"/>
  <c r="L20" i="8"/>
  <c r="M20" i="8"/>
  <c r="J21" i="8"/>
  <c r="K21" i="8"/>
  <c r="L21" i="8"/>
  <c r="M21" i="8"/>
  <c r="J22" i="8"/>
  <c r="K22" i="8"/>
  <c r="L22" i="8"/>
  <c r="M22" i="8"/>
  <c r="J23" i="8"/>
  <c r="L23" i="8"/>
  <c r="M23" i="8"/>
  <c r="J24" i="8"/>
  <c r="K24" i="8"/>
  <c r="L24" i="8"/>
  <c r="M24" i="8"/>
  <c r="J25" i="8"/>
  <c r="K25" i="8"/>
  <c r="L25" i="8"/>
  <c r="M25" i="8"/>
  <c r="J26" i="8"/>
  <c r="K26" i="8"/>
  <c r="L26" i="8"/>
  <c r="M26" i="8"/>
  <c r="J27" i="8"/>
  <c r="K27" i="8"/>
  <c r="L27" i="8"/>
  <c r="M27" i="8"/>
  <c r="J28" i="8"/>
  <c r="K28" i="8"/>
  <c r="L28" i="8"/>
  <c r="M28" i="8"/>
  <c r="J29" i="8"/>
  <c r="L29" i="8"/>
  <c r="M29" i="8"/>
  <c r="J30" i="8"/>
  <c r="L30" i="8"/>
  <c r="M30" i="8"/>
  <c r="J31" i="8"/>
  <c r="L31" i="8"/>
  <c r="M31" i="8"/>
  <c r="J32" i="8"/>
  <c r="K32" i="8"/>
  <c r="L32" i="8"/>
  <c r="M32" i="8"/>
  <c r="J33" i="8"/>
  <c r="K33" i="8"/>
  <c r="L33" i="8"/>
  <c r="M33" i="8"/>
  <c r="J34" i="8"/>
  <c r="K34" i="8"/>
  <c r="L34" i="8"/>
  <c r="M34" i="8"/>
  <c r="J35" i="8"/>
  <c r="L35" i="8"/>
  <c r="M35" i="8"/>
  <c r="J36" i="8"/>
  <c r="K36" i="8"/>
  <c r="L36" i="8"/>
  <c r="M36" i="8"/>
  <c r="J37" i="8"/>
  <c r="K37" i="8"/>
  <c r="L37" i="8"/>
  <c r="M37" i="8"/>
  <c r="J38" i="8"/>
  <c r="K38" i="8"/>
  <c r="L38" i="8"/>
  <c r="M38" i="8"/>
  <c r="J39" i="8"/>
  <c r="L39" i="8"/>
  <c r="M39" i="8"/>
  <c r="J40" i="8"/>
  <c r="L40" i="8"/>
  <c r="M40" i="8"/>
  <c r="J41" i="8"/>
  <c r="L41" i="8"/>
  <c r="M41" i="8"/>
  <c r="J42" i="8"/>
  <c r="K42" i="8"/>
  <c r="L42" i="8"/>
  <c r="M42" i="8"/>
  <c r="J43" i="8"/>
  <c r="K43" i="8"/>
  <c r="L43" i="8"/>
  <c r="M43" i="8"/>
  <c r="J44" i="8"/>
  <c r="K44" i="8"/>
  <c r="L44" i="8"/>
  <c r="M44" i="8"/>
  <c r="J45" i="8"/>
  <c r="L45" i="8"/>
  <c r="M45" i="8"/>
  <c r="J46" i="8"/>
  <c r="K46" i="8"/>
  <c r="L46" i="8"/>
  <c r="M46" i="8"/>
  <c r="J47" i="8"/>
  <c r="K47" i="8"/>
  <c r="L47" i="8"/>
  <c r="M47" i="8"/>
  <c r="F5" i="8"/>
  <c r="G5" i="8"/>
  <c r="H5" i="8"/>
  <c r="I5" i="8"/>
  <c r="F6" i="8"/>
  <c r="G6" i="8"/>
  <c r="H6" i="8"/>
  <c r="I6" i="8"/>
  <c r="F7" i="8"/>
  <c r="H7" i="8"/>
  <c r="I7" i="8"/>
  <c r="F8" i="8"/>
  <c r="G8" i="8"/>
  <c r="H8" i="8"/>
  <c r="I8" i="8"/>
  <c r="F9" i="8"/>
  <c r="H9" i="8"/>
  <c r="I9" i="8"/>
  <c r="F10" i="8"/>
  <c r="H10" i="8"/>
  <c r="I10" i="8"/>
  <c r="F11" i="8"/>
  <c r="H11" i="8"/>
  <c r="I11" i="8"/>
  <c r="F12" i="8"/>
  <c r="H12" i="8"/>
  <c r="I12" i="8"/>
  <c r="F13" i="8"/>
  <c r="H13" i="8"/>
  <c r="I13" i="8"/>
  <c r="F14" i="8"/>
  <c r="H14" i="8"/>
  <c r="I14" i="8"/>
  <c r="F15" i="8"/>
  <c r="G15" i="8"/>
  <c r="H15" i="8"/>
  <c r="I15" i="8"/>
  <c r="F16" i="8"/>
  <c r="H16" i="8"/>
  <c r="I16" i="8"/>
  <c r="F17" i="8"/>
  <c r="H17" i="8"/>
  <c r="I17" i="8"/>
  <c r="F18" i="8"/>
  <c r="H18" i="8"/>
  <c r="I18" i="8"/>
  <c r="F19" i="8"/>
  <c r="H19" i="8"/>
  <c r="I19" i="8"/>
  <c r="F20" i="8"/>
  <c r="H20" i="8"/>
  <c r="I20" i="8"/>
  <c r="F21" i="8"/>
  <c r="G21" i="8"/>
  <c r="H21" i="8"/>
  <c r="I21" i="8"/>
  <c r="F22" i="8"/>
  <c r="G22" i="8"/>
  <c r="H22" i="8"/>
  <c r="I22" i="8"/>
  <c r="F23" i="8"/>
  <c r="H23" i="8"/>
  <c r="I23" i="8"/>
  <c r="F24" i="8"/>
  <c r="G24" i="8"/>
  <c r="H24" i="8"/>
  <c r="I24" i="8"/>
  <c r="F25" i="8"/>
  <c r="G25" i="8"/>
  <c r="H25" i="8"/>
  <c r="I25" i="8"/>
  <c r="F26" i="8"/>
  <c r="G26" i="8"/>
  <c r="H26" i="8"/>
  <c r="I26" i="8"/>
  <c r="F27" i="8"/>
  <c r="G27" i="8"/>
  <c r="H27" i="8"/>
  <c r="I27" i="8"/>
  <c r="F28" i="8"/>
  <c r="G28" i="8"/>
  <c r="H28" i="8"/>
  <c r="I28" i="8"/>
  <c r="F29" i="8"/>
  <c r="H29" i="8"/>
  <c r="I29" i="8"/>
  <c r="F30" i="8"/>
  <c r="H30" i="8"/>
  <c r="I30" i="8"/>
  <c r="F31" i="8"/>
  <c r="H31" i="8"/>
  <c r="I31" i="8"/>
  <c r="F32" i="8"/>
  <c r="G32" i="8"/>
  <c r="H32" i="8"/>
  <c r="I32" i="8"/>
  <c r="F33" i="8"/>
  <c r="G33" i="8"/>
  <c r="H33" i="8"/>
  <c r="I33" i="8"/>
  <c r="F34" i="8"/>
  <c r="G34" i="8"/>
  <c r="H34" i="8"/>
  <c r="I34" i="8"/>
  <c r="F35" i="8"/>
  <c r="H35" i="8"/>
  <c r="I35" i="8"/>
  <c r="F36" i="8"/>
  <c r="G36" i="8"/>
  <c r="H36" i="8"/>
  <c r="I36" i="8"/>
  <c r="F37" i="8"/>
  <c r="G37" i="8"/>
  <c r="H37" i="8"/>
  <c r="I37" i="8"/>
  <c r="F38" i="8"/>
  <c r="G38" i="8"/>
  <c r="H38" i="8"/>
  <c r="I38" i="8"/>
  <c r="F39" i="8"/>
  <c r="H39" i="8"/>
  <c r="I39" i="8"/>
  <c r="F40" i="8"/>
  <c r="H40" i="8"/>
  <c r="I40" i="8"/>
  <c r="F41" i="8"/>
  <c r="H41" i="8"/>
  <c r="I41" i="8"/>
  <c r="F42" i="8"/>
  <c r="G42" i="8"/>
  <c r="H42" i="8"/>
  <c r="I42" i="8"/>
  <c r="F43" i="8"/>
  <c r="G43" i="8"/>
  <c r="H43" i="8"/>
  <c r="I43" i="8"/>
  <c r="F44" i="8"/>
  <c r="G44" i="8"/>
  <c r="H44" i="8"/>
  <c r="I44" i="8"/>
  <c r="F45" i="8"/>
  <c r="H45" i="8"/>
  <c r="I45" i="8"/>
  <c r="F46" i="8"/>
  <c r="G46" i="8"/>
  <c r="H46" i="8"/>
  <c r="I46" i="8"/>
  <c r="F47" i="8"/>
  <c r="G47" i="8"/>
  <c r="H47" i="8"/>
  <c r="I47" i="8"/>
  <c r="B5" i="8"/>
  <c r="C5" i="8"/>
  <c r="D5" i="8"/>
  <c r="E5" i="8"/>
  <c r="B6" i="8"/>
  <c r="C6" i="8"/>
  <c r="D6" i="8"/>
  <c r="E6" i="8"/>
  <c r="B7" i="8"/>
  <c r="D7" i="8"/>
  <c r="E7" i="8"/>
  <c r="B8" i="8"/>
  <c r="C8" i="8"/>
  <c r="D8" i="8"/>
  <c r="E8" i="8"/>
  <c r="B9" i="8"/>
  <c r="D9" i="8"/>
  <c r="E9" i="8"/>
  <c r="B10" i="8"/>
  <c r="D10" i="8"/>
  <c r="E10" i="8"/>
  <c r="B11" i="8"/>
  <c r="D11" i="8"/>
  <c r="E11" i="8"/>
  <c r="B12" i="8"/>
  <c r="D12" i="8"/>
  <c r="E12" i="8"/>
  <c r="B13" i="8"/>
  <c r="D13" i="8"/>
  <c r="E13" i="8"/>
  <c r="B14" i="8"/>
  <c r="D14" i="8"/>
  <c r="E14" i="8"/>
  <c r="B15" i="8"/>
  <c r="C15" i="8"/>
  <c r="D15" i="8"/>
  <c r="E15" i="8"/>
  <c r="B16" i="8"/>
  <c r="D16" i="8"/>
  <c r="E16" i="8"/>
  <c r="B17" i="8"/>
  <c r="D17" i="8"/>
  <c r="E17" i="8"/>
  <c r="B18" i="8"/>
  <c r="D18" i="8"/>
  <c r="E18" i="8"/>
  <c r="B19" i="8"/>
  <c r="D19" i="8"/>
  <c r="E19" i="8"/>
  <c r="B20" i="8"/>
  <c r="D20" i="8"/>
  <c r="E20" i="8"/>
  <c r="B21" i="8"/>
  <c r="C21" i="8"/>
  <c r="D21" i="8"/>
  <c r="E21" i="8"/>
  <c r="B22" i="8"/>
  <c r="C22" i="8"/>
  <c r="D22" i="8"/>
  <c r="E22" i="8"/>
  <c r="B23" i="8"/>
  <c r="D23" i="8"/>
  <c r="E23" i="8"/>
  <c r="B24" i="8"/>
  <c r="C24" i="8"/>
  <c r="D24" i="8"/>
  <c r="E24" i="8"/>
  <c r="B25" i="8"/>
  <c r="C25" i="8"/>
  <c r="D25" i="8"/>
  <c r="E25" i="8"/>
  <c r="B26" i="8"/>
  <c r="C26" i="8"/>
  <c r="D26" i="8"/>
  <c r="E26" i="8"/>
  <c r="B27" i="8"/>
  <c r="C27" i="8"/>
  <c r="D27" i="8"/>
  <c r="E27" i="8"/>
  <c r="B28" i="8"/>
  <c r="C28" i="8"/>
  <c r="D28" i="8"/>
  <c r="E28" i="8"/>
  <c r="B29" i="8"/>
  <c r="D29" i="8"/>
  <c r="E29" i="8"/>
  <c r="B30" i="8"/>
  <c r="D30" i="8"/>
  <c r="E30" i="8"/>
  <c r="B31" i="8"/>
  <c r="D31" i="8"/>
  <c r="E31" i="8"/>
  <c r="B32" i="8"/>
  <c r="C32" i="8"/>
  <c r="D32" i="8"/>
  <c r="E32" i="8"/>
  <c r="B33" i="8"/>
  <c r="C33" i="8"/>
  <c r="D33" i="8"/>
  <c r="E33" i="8"/>
  <c r="B34" i="8"/>
  <c r="C34" i="8"/>
  <c r="D34" i="8"/>
  <c r="E34" i="8"/>
  <c r="B35" i="8"/>
  <c r="D35" i="8"/>
  <c r="E35" i="8"/>
  <c r="B36" i="8"/>
  <c r="C36" i="8"/>
  <c r="D36" i="8"/>
  <c r="E36" i="8"/>
  <c r="B37" i="8"/>
  <c r="C37" i="8"/>
  <c r="D37" i="8"/>
  <c r="E37" i="8"/>
  <c r="B38" i="8"/>
  <c r="C38" i="8"/>
  <c r="D38" i="8"/>
  <c r="E38" i="8"/>
  <c r="B39" i="8"/>
  <c r="D39" i="8"/>
  <c r="E39" i="8"/>
  <c r="B40" i="8"/>
  <c r="D40" i="8"/>
  <c r="E40" i="8"/>
  <c r="B41" i="8"/>
  <c r="D41" i="8"/>
  <c r="E41" i="8"/>
  <c r="B42" i="8"/>
  <c r="C42" i="8"/>
  <c r="D42" i="8"/>
  <c r="E42" i="8"/>
  <c r="B43" i="8"/>
  <c r="C43" i="8"/>
  <c r="D43" i="8"/>
  <c r="E43" i="8"/>
  <c r="B44" i="8"/>
  <c r="C44" i="8"/>
  <c r="D44" i="8"/>
  <c r="E44" i="8"/>
  <c r="B45" i="8"/>
  <c r="D45" i="8"/>
  <c r="E45" i="8"/>
  <c r="B46" i="8"/>
  <c r="C46" i="8"/>
  <c r="D46" i="8"/>
  <c r="E46" i="8"/>
  <c r="B47" i="8"/>
  <c r="C47" i="8"/>
  <c r="D47" i="8"/>
  <c r="E47" i="8"/>
  <c r="BB14" i="1"/>
  <c r="BB9" i="8"/>
  <c r="BE27" i="8"/>
  <c r="BB16" i="5"/>
  <c r="BE16" i="5"/>
  <c r="BE14" i="1"/>
  <c r="BB9" i="1"/>
  <c r="BB7" i="8"/>
  <c r="BE9" i="8"/>
  <c r="BD13" i="5"/>
  <c r="BB7" i="5"/>
  <c r="BD12" i="5"/>
  <c r="BD10" i="5"/>
  <c r="BD14" i="5"/>
  <c r="BE7" i="8"/>
  <c r="BB9" i="7"/>
  <c r="BE9" i="1"/>
  <c r="BB7" i="1"/>
  <c r="BE7" i="5"/>
  <c r="BD11" i="5"/>
  <c r="BD16" i="5"/>
  <c r="BD9" i="5"/>
  <c r="BD15" i="5"/>
  <c r="BD7" i="5"/>
  <c r="BE9" i="7"/>
  <c r="BE7" i="1"/>
  <c r="BB7" i="4"/>
  <c r="BE7" i="7"/>
  <c r="BB7" i="7"/>
  <c r="BE7" i="4"/>
  <c r="BB26" i="4"/>
  <c r="BE26" i="4"/>
  <c r="BF33" i="8"/>
  <c r="BI33" i="8"/>
  <c r="BG33" i="8"/>
  <c r="BF19" i="1"/>
  <c r="BI29" i="8"/>
  <c r="BF29" i="8"/>
  <c r="BG19" i="1"/>
  <c r="BI19" i="1"/>
  <c r="BG16" i="1"/>
  <c r="BI16" i="1"/>
  <c r="BF16" i="1"/>
  <c r="BF11" i="7"/>
  <c r="BI11" i="7"/>
  <c r="BF41" i="8"/>
  <c r="BF43" i="8"/>
  <c r="BF42" i="8"/>
  <c r="BF40" i="8"/>
  <c r="BF44" i="8"/>
  <c r="BF45" i="8"/>
  <c r="BF47" i="8"/>
  <c r="BF46" i="8"/>
  <c r="BF22" i="1"/>
  <c r="BI47" i="8"/>
  <c r="BG46" i="8"/>
  <c r="BG44" i="8"/>
  <c r="BF11" i="4"/>
  <c r="BG42" i="8"/>
  <c r="BI26" i="8"/>
  <c r="BI43" i="8"/>
  <c r="BG43" i="8"/>
  <c r="BI42" i="8"/>
  <c r="BI44" i="8"/>
  <c r="BI46" i="8"/>
  <c r="BI10" i="4"/>
  <c r="BF10" i="4"/>
  <c r="BG10" i="4"/>
  <c r="BG22" i="4"/>
  <c r="BF22" i="4"/>
  <c r="BI45" i="8"/>
  <c r="BG47" i="8"/>
  <c r="BF14" i="5"/>
  <c r="BF20" i="4"/>
  <c r="BF23" i="1"/>
  <c r="BI11" i="4"/>
  <c r="BG11" i="4"/>
  <c r="BF12" i="5"/>
  <c r="BF11" i="1"/>
  <c r="BI41" i="8"/>
  <c r="BF9" i="5"/>
  <c r="BG22" i="1"/>
  <c r="BI22" i="1"/>
  <c r="BI40" i="8"/>
  <c r="BF24" i="1"/>
  <c r="BF11" i="5"/>
  <c r="BI22" i="4"/>
  <c r="BI39" i="8"/>
  <c r="BF39" i="8"/>
  <c r="BG17" i="4"/>
  <c r="BF17" i="4"/>
  <c r="BG10" i="5"/>
  <c r="BF10" i="5"/>
  <c r="BI17" i="4"/>
  <c r="BI10" i="5"/>
  <c r="BI11" i="1"/>
  <c r="BG11" i="1"/>
  <c r="BI11" i="5"/>
  <c r="BG11" i="5"/>
  <c r="BI24" i="1"/>
  <c r="BG24" i="1"/>
  <c r="BG14" i="5"/>
  <c r="BI14" i="5"/>
  <c r="BG9" i="5"/>
  <c r="BI9" i="5"/>
  <c r="BI12" i="5"/>
  <c r="BG12" i="5"/>
  <c r="BF21" i="1"/>
  <c r="BG23" i="1"/>
  <c r="BI23" i="1"/>
  <c r="BF9" i="8"/>
  <c r="BG20" i="4"/>
  <c r="BI20" i="4"/>
  <c r="BF7" i="5"/>
  <c r="BF16" i="5"/>
  <c r="BF9" i="1"/>
  <c r="BI21" i="1"/>
  <c r="BF13" i="7"/>
  <c r="BI16" i="5"/>
  <c r="BF7" i="8"/>
  <c r="BI9" i="8"/>
  <c r="BH13" i="5"/>
  <c r="BH15" i="5"/>
  <c r="BH16" i="5"/>
  <c r="BI7" i="5"/>
  <c r="BH14" i="5"/>
  <c r="BH10" i="5"/>
  <c r="BH9" i="5"/>
  <c r="BH12" i="5"/>
  <c r="BH11" i="5"/>
  <c r="BG7" i="5"/>
  <c r="BG16" i="5"/>
  <c r="BG21" i="1"/>
  <c r="BI7" i="8"/>
  <c r="BI13" i="7"/>
  <c r="BI9" i="1"/>
  <c r="BF9" i="7"/>
  <c r="BF7" i="1"/>
  <c r="BG9" i="1"/>
  <c r="BH7" i="5"/>
  <c r="BG7" i="1"/>
  <c r="BI7" i="1"/>
  <c r="BF7" i="4"/>
  <c r="BF7" i="7"/>
  <c r="BI9" i="7"/>
  <c r="BI7" i="7"/>
  <c r="BG7" i="7"/>
  <c r="BF26" i="4"/>
  <c r="BI7" i="4"/>
  <c r="BG7" i="4"/>
  <c r="BH18" i="1"/>
  <c r="BH13" i="1"/>
  <c r="BH19" i="1"/>
  <c r="BH12" i="1"/>
  <c r="BH17" i="1"/>
  <c r="BH22" i="1"/>
  <c r="BH24" i="1"/>
  <c r="BH14" i="1"/>
  <c r="BH23" i="1"/>
  <c r="BH11" i="1"/>
  <c r="BH10" i="1"/>
  <c r="BH16" i="1"/>
  <c r="BI26" i="4"/>
  <c r="BG26" i="4"/>
  <c r="BH18" i="7"/>
  <c r="BH35" i="7"/>
  <c r="BH37" i="7"/>
  <c r="BH28" i="7"/>
  <c r="BH44" i="7"/>
  <c r="BH38" i="7"/>
  <c r="BH24" i="7"/>
  <c r="BH20" i="7"/>
  <c r="BH23" i="7"/>
  <c r="BH25" i="7"/>
  <c r="BH33" i="7"/>
  <c r="BH32" i="7"/>
  <c r="BH21" i="7"/>
  <c r="BH31" i="7"/>
  <c r="BH22" i="7"/>
  <c r="BH34" i="7"/>
  <c r="BH43" i="7"/>
  <c r="BH39" i="7"/>
  <c r="BH19" i="7"/>
  <c r="BH45" i="7"/>
  <c r="BH36" i="7"/>
  <c r="BH42" i="7"/>
  <c r="BH11" i="7"/>
  <c r="BH13" i="7"/>
  <c r="BH9" i="1"/>
  <c r="G45" i="9" s="1"/>
  <c r="BH23" i="4"/>
  <c r="BH19" i="4"/>
  <c r="BH13" i="4"/>
  <c r="BH25" i="4"/>
  <c r="BH9" i="4"/>
  <c r="BH22" i="4"/>
  <c r="BH10" i="4"/>
  <c r="BH15" i="4"/>
  <c r="BH16" i="4"/>
  <c r="BH18" i="4"/>
  <c r="BH17" i="4"/>
  <c r="BH11" i="4"/>
  <c r="BH20" i="4"/>
  <c r="BH14" i="4"/>
  <c r="BH24" i="4"/>
  <c r="BH12" i="4"/>
  <c r="BH21" i="4"/>
  <c r="BH9" i="7"/>
  <c r="H45" i="9" s="1"/>
  <c r="BH21" i="1"/>
  <c r="BH26" i="4"/>
  <c r="BH7" i="7"/>
  <c r="BH30" i="7"/>
  <c r="BH41" i="7"/>
  <c r="BH7" i="1"/>
  <c r="BH17" i="7"/>
  <c r="BH7" i="4"/>
  <c r="BH34" i="8"/>
  <c r="BH46" i="8"/>
  <c r="BH20" i="8"/>
  <c r="BH35" i="8"/>
  <c r="BH47" i="8"/>
  <c r="BH18" i="8"/>
  <c r="BH19" i="8"/>
  <c r="BH32" i="8"/>
  <c r="BH17" i="8"/>
  <c r="BH33" i="8"/>
  <c r="BH22" i="8"/>
  <c r="BH42" i="8"/>
  <c r="BH45" i="8"/>
  <c r="BH40" i="8"/>
  <c r="BH30" i="8"/>
  <c r="BH37" i="8"/>
  <c r="BH25" i="8"/>
  <c r="BH24" i="8"/>
  <c r="BH26" i="8"/>
  <c r="BH10" i="8"/>
  <c r="BH44" i="8"/>
  <c r="BH43" i="8"/>
  <c r="BH16" i="8"/>
  <c r="BH23" i="8"/>
  <c r="BH14" i="8"/>
  <c r="BH31" i="8"/>
  <c r="BH36" i="8"/>
  <c r="BH21" i="8"/>
  <c r="BH11" i="8"/>
  <c r="BH15" i="8"/>
  <c r="BH13" i="8"/>
  <c r="BH41" i="8"/>
  <c r="BH27" i="8"/>
  <c r="BH12" i="8"/>
  <c r="BH29" i="8"/>
  <c r="BH9" i="8"/>
  <c r="BH39" i="8"/>
  <c r="BH7" i="8"/>
  <c r="AY33" i="8"/>
  <c r="AX5" i="7"/>
  <c r="AY24" i="7"/>
  <c r="AX5" i="4"/>
  <c r="AX5" i="5"/>
  <c r="AX5" i="1"/>
  <c r="AY20" i="7"/>
  <c r="AY32" i="7"/>
  <c r="AY27" i="8"/>
  <c r="AY25" i="8"/>
  <c r="AY22" i="8"/>
  <c r="AY12" i="4"/>
  <c r="AY21" i="8"/>
  <c r="AY22" i="7"/>
  <c r="AY34" i="8"/>
  <c r="AY44" i="8"/>
  <c r="AY36" i="8"/>
  <c r="AY32" i="8"/>
  <c r="AY14" i="5"/>
  <c r="AY14" i="4"/>
  <c r="AY43" i="8"/>
  <c r="AY16" i="4"/>
  <c r="AY28" i="7"/>
  <c r="AY35" i="7"/>
  <c r="AY37" i="8"/>
  <c r="AY10" i="7"/>
  <c r="AY36" i="7"/>
  <c r="AY13" i="1"/>
  <c r="AY31" i="7"/>
  <c r="AY33" i="7"/>
  <c r="AY42" i="8"/>
  <c r="AY39" i="7"/>
  <c r="AY25" i="7"/>
  <c r="AY18" i="4"/>
  <c r="AY13" i="4"/>
  <c r="AY25" i="4"/>
  <c r="AY9" i="4"/>
  <c r="AY15" i="8"/>
  <c r="AY24" i="8"/>
  <c r="AY16" i="5"/>
  <c r="AY11" i="5"/>
  <c r="AY23" i="1"/>
  <c r="AY22" i="4"/>
  <c r="AY47" i="8"/>
  <c r="AY46" i="8"/>
  <c r="AY9" i="5"/>
  <c r="AY23" i="4"/>
  <c r="AY24" i="1"/>
  <c r="AY19" i="4"/>
  <c r="AY17" i="4"/>
  <c r="AY20" i="4"/>
  <c r="AY18" i="1"/>
  <c r="AY21" i="7"/>
  <c r="AY37" i="7"/>
  <c r="AY19" i="7"/>
  <c r="AY42" i="7"/>
  <c r="AY22" i="1"/>
  <c r="AY34" i="7"/>
  <c r="AY14" i="1"/>
  <c r="AY18" i="7"/>
  <c r="AY17" i="1"/>
  <c r="AY19" i="1"/>
  <c r="AY45" i="7"/>
  <c r="AY12" i="1"/>
  <c r="AY24" i="4"/>
  <c r="AY12" i="5"/>
  <c r="AY10" i="1"/>
  <c r="AY13" i="5"/>
  <c r="AY15" i="4"/>
  <c r="AY11" i="4"/>
  <c r="AY43" i="7"/>
  <c r="AY30" i="7"/>
  <c r="AY21" i="4"/>
  <c r="AY15" i="5"/>
  <c r="AY41" i="7"/>
  <c r="AY44" i="7"/>
  <c r="AY16" i="1"/>
  <c r="AY21" i="1"/>
  <c r="AY26" i="8"/>
  <c r="AY9" i="1"/>
  <c r="AY11" i="1"/>
  <c r="AY10" i="4"/>
  <c r="AY7" i="1"/>
  <c r="C13" i="9" s="1"/>
  <c r="F43" i="9" s="1"/>
  <c r="AY7" i="5"/>
  <c r="AY10" i="5"/>
  <c r="AZ15" i="8"/>
  <c r="AZ46" i="8"/>
  <c r="AZ25" i="8"/>
  <c r="AZ24" i="8"/>
  <c r="AZ14" i="1"/>
  <c r="AZ11" i="1"/>
  <c r="AZ45" i="8"/>
  <c r="AZ16" i="8"/>
  <c r="AZ43" i="8"/>
  <c r="AZ13" i="1"/>
  <c r="AZ34" i="8"/>
  <c r="AZ47" i="8"/>
  <c r="AZ36" i="8"/>
  <c r="AZ44" i="8"/>
  <c r="AZ18" i="8"/>
  <c r="AZ31" i="8"/>
  <c r="AZ19" i="1"/>
  <c r="AZ24" i="1"/>
  <c r="AZ17" i="1"/>
  <c r="AZ18" i="1"/>
  <c r="AZ23" i="1"/>
  <c r="AZ22" i="1"/>
  <c r="AZ19" i="8"/>
  <c r="AZ13" i="8"/>
  <c r="AZ41" i="8"/>
  <c r="AZ30" i="8"/>
  <c r="AZ12" i="1"/>
  <c r="AZ10" i="1"/>
  <c r="AZ14" i="8"/>
  <c r="AZ37" i="8"/>
  <c r="AZ33" i="8"/>
  <c r="AZ42" i="8"/>
  <c r="AZ23" i="8"/>
  <c r="AZ27" i="8"/>
  <c r="AZ22" i="8"/>
  <c r="AZ26" i="8"/>
  <c r="AZ20" i="8"/>
  <c r="AZ32" i="8"/>
  <c r="AZ40" i="8"/>
  <c r="AZ12" i="8"/>
  <c r="AZ35" i="8"/>
  <c r="AZ21" i="8"/>
  <c r="AZ11" i="8"/>
  <c r="AZ17" i="8"/>
  <c r="AZ10" i="8"/>
  <c r="AZ9" i="1"/>
  <c r="G43" i="9" s="1"/>
  <c r="AZ39" i="8"/>
  <c r="AZ16" i="1"/>
  <c r="AZ9" i="8"/>
  <c r="AZ29" i="8"/>
  <c r="AZ21" i="1"/>
  <c r="AY26" i="4"/>
  <c r="AZ7" i="1"/>
  <c r="AZ7" i="8"/>
  <c r="AZ20" i="4"/>
  <c r="AY7" i="4"/>
  <c r="AZ16" i="4"/>
  <c r="AZ22" i="4"/>
  <c r="AZ25" i="4"/>
  <c r="AZ10" i="4"/>
  <c r="AZ18" i="4"/>
  <c r="AZ15" i="4"/>
  <c r="AZ23" i="4"/>
  <c r="AZ19" i="4"/>
  <c r="AZ24" i="4"/>
  <c r="AZ13" i="4"/>
  <c r="AZ21" i="4"/>
  <c r="AZ26" i="4"/>
  <c r="AZ11" i="4"/>
  <c r="AZ14" i="4"/>
  <c r="AZ17" i="4"/>
  <c r="AZ12" i="4"/>
  <c r="AZ9" i="4"/>
  <c r="AZ7" i="4"/>
  <c r="AY23" i="7"/>
  <c r="AY17" i="7"/>
  <c r="AZ42" i="7"/>
  <c r="AZ36" i="7"/>
  <c r="AZ39" i="7"/>
  <c r="AZ37" i="7"/>
  <c r="AZ11" i="7"/>
  <c r="AZ19" i="7"/>
  <c r="AZ21" i="7"/>
  <c r="AZ23" i="7"/>
  <c r="AZ34" i="7"/>
  <c r="AY7" i="7"/>
  <c r="AZ18" i="7"/>
  <c r="AZ44" i="7"/>
  <c r="AZ28" i="7"/>
  <c r="AZ22" i="7"/>
  <c r="AZ35" i="7"/>
  <c r="AZ32" i="7"/>
  <c r="AZ33" i="7"/>
  <c r="AZ31" i="7"/>
  <c r="AZ25" i="7"/>
  <c r="AZ24" i="7"/>
  <c r="AZ45" i="7"/>
  <c r="AZ20" i="7"/>
  <c r="AZ41" i="7"/>
  <c r="AZ43" i="7"/>
  <c r="AZ7" i="7"/>
  <c r="AZ9" i="7"/>
  <c r="H43" i="9" s="1"/>
  <c r="AZ13" i="7"/>
  <c r="AZ30" i="7"/>
  <c r="AZ17" i="7"/>
  <c r="BC26" i="8"/>
  <c r="BC44" i="8"/>
  <c r="BC42" i="8"/>
  <c r="BC34" i="8"/>
  <c r="BB5" i="5"/>
  <c r="BB5" i="1"/>
  <c r="BC13" i="4"/>
  <c r="BB5" i="4"/>
  <c r="BC25" i="8"/>
  <c r="BC24" i="8"/>
  <c r="BC43" i="8"/>
  <c r="BC47" i="8"/>
  <c r="BC22" i="1"/>
  <c r="BC17" i="1"/>
  <c r="BC13" i="1"/>
  <c r="BC23" i="4"/>
  <c r="BC32" i="8"/>
  <c r="BC9" i="4"/>
  <c r="BC33" i="8"/>
  <c r="BC18" i="1"/>
  <c r="BB5" i="7"/>
  <c r="BC24" i="4"/>
  <c r="BC28" i="7"/>
  <c r="BC37" i="8"/>
  <c r="BC46" i="8"/>
  <c r="BC33" i="7"/>
  <c r="BC38" i="7"/>
  <c r="BC22" i="8"/>
  <c r="BC11" i="4"/>
  <c r="BC16" i="5"/>
  <c r="BC9" i="5"/>
  <c r="BC34" i="7"/>
  <c r="BC16" i="4"/>
  <c r="BC39" i="7"/>
  <c r="BC32" i="7"/>
  <c r="BC24" i="7"/>
  <c r="BC15" i="4"/>
  <c r="BC31" i="7"/>
  <c r="BC19" i="4"/>
  <c r="BC25" i="7"/>
  <c r="BC37" i="7"/>
  <c r="BC22" i="7"/>
  <c r="BC18" i="7"/>
  <c r="BC15" i="8"/>
  <c r="BC19" i="7"/>
  <c r="BC21" i="8"/>
  <c r="BC21" i="7"/>
  <c r="BC11" i="5"/>
  <c r="BC27" i="8"/>
  <c r="BC15" i="5"/>
  <c r="BC21" i="4"/>
  <c r="BC25" i="4"/>
  <c r="BC17" i="4"/>
  <c r="BC22" i="4"/>
  <c r="BC11" i="1"/>
  <c r="BC36" i="8"/>
  <c r="BC14" i="4"/>
  <c r="BC36" i="7"/>
  <c r="BC20" i="7"/>
  <c r="BC35" i="7"/>
  <c r="BC12" i="4"/>
  <c r="BC10" i="5"/>
  <c r="BC14" i="1"/>
  <c r="BC10" i="4"/>
  <c r="BC24" i="1"/>
  <c r="BC10" i="1"/>
  <c r="BC43" i="7"/>
  <c r="BC14" i="5"/>
  <c r="BC19" i="1"/>
  <c r="BC23" i="1"/>
  <c r="BC13" i="5"/>
  <c r="BC30" i="7"/>
  <c r="BC45" i="7"/>
  <c r="BC18" i="4"/>
  <c r="BC23" i="7"/>
  <c r="BC12" i="5"/>
  <c r="BC20" i="4"/>
  <c r="BC42" i="7"/>
  <c r="BC44" i="7"/>
  <c r="BC12" i="1"/>
  <c r="BC7" i="5"/>
  <c r="BC41" i="7"/>
  <c r="BC21" i="1"/>
  <c r="BC16" i="1"/>
  <c r="BC17" i="7"/>
  <c r="BC9" i="1"/>
  <c r="BD34" i="8"/>
  <c r="BD21" i="8"/>
  <c r="BD41" i="8"/>
  <c r="BD47" i="8"/>
  <c r="BD33" i="8"/>
  <c r="BD15" i="8"/>
  <c r="BD25" i="8"/>
  <c r="BD32" i="8"/>
  <c r="BD31" i="8"/>
  <c r="BD46" i="8"/>
  <c r="BD22" i="8"/>
  <c r="BD24" i="8"/>
  <c r="BD13" i="8"/>
  <c r="BD12" i="8"/>
  <c r="BD18" i="8"/>
  <c r="BD42" i="8"/>
  <c r="BD26" i="8"/>
  <c r="BD27" i="8"/>
  <c r="BD43" i="8"/>
  <c r="BD11" i="8"/>
  <c r="BD45" i="8"/>
  <c r="BD16" i="8"/>
  <c r="BD10" i="8"/>
  <c r="BD17" i="8"/>
  <c r="BD19" i="8"/>
  <c r="BD20" i="8"/>
  <c r="BD40" i="8"/>
  <c r="BD36" i="8"/>
  <c r="BD37" i="8"/>
  <c r="BD35" i="8"/>
  <c r="BD14" i="8"/>
  <c r="BD30" i="8"/>
  <c r="BD44" i="8"/>
  <c r="BD23" i="8"/>
  <c r="BC7" i="1"/>
  <c r="C14" i="9" s="1"/>
  <c r="F44" i="9" s="1"/>
  <c r="BD39" i="8"/>
  <c r="BD29" i="8"/>
  <c r="BD9" i="8"/>
  <c r="BC7" i="4"/>
  <c r="BD13" i="1"/>
  <c r="BD17" i="1"/>
  <c r="BD22" i="1"/>
  <c r="BD18" i="1"/>
  <c r="BD11" i="1"/>
  <c r="BD12" i="1"/>
  <c r="BD23" i="1"/>
  <c r="BD10" i="1"/>
  <c r="BD24" i="1"/>
  <c r="BD19" i="1"/>
  <c r="BD14" i="1"/>
  <c r="BD38" i="7"/>
  <c r="BC7" i="7"/>
  <c r="BD7" i="8"/>
  <c r="BD33" i="7"/>
  <c r="BD28" i="7"/>
  <c r="BD35" i="7"/>
  <c r="BD32" i="7"/>
  <c r="BD39" i="7"/>
  <c r="BD24" i="7"/>
  <c r="BD37" i="7"/>
  <c r="BD34" i="7"/>
  <c r="BD19" i="7"/>
  <c r="BD31" i="7"/>
  <c r="BD20" i="7"/>
  <c r="BD21" i="7"/>
  <c r="BD25" i="7"/>
  <c r="BD36" i="7"/>
  <c r="BD22" i="7"/>
  <c r="BD18" i="7"/>
  <c r="BD23" i="7"/>
  <c r="BD44" i="7"/>
  <c r="BD45" i="7"/>
  <c r="BD43" i="7"/>
  <c r="BD42" i="7"/>
  <c r="BD21" i="1"/>
  <c r="BD13" i="4"/>
  <c r="BD11" i="4"/>
  <c r="BD24" i="4"/>
  <c r="BD23" i="4"/>
  <c r="BD9" i="4"/>
  <c r="BD25" i="4"/>
  <c r="BD22" i="4"/>
  <c r="BD12" i="4"/>
  <c r="BD14" i="4"/>
  <c r="BD16" i="4"/>
  <c r="BD19" i="4"/>
  <c r="BD21" i="4"/>
  <c r="BD15" i="4"/>
  <c r="BD10" i="4"/>
  <c r="BD18" i="4"/>
  <c r="BD20" i="4"/>
  <c r="BD9" i="1"/>
  <c r="G44" i="9" s="1"/>
  <c r="BD9" i="7"/>
  <c r="H44" i="9" s="1"/>
  <c r="BD16" i="1"/>
  <c r="BD11" i="7"/>
  <c r="BD26" i="4"/>
  <c r="BC26" i="4"/>
  <c r="BD13" i="7"/>
  <c r="BD17" i="4"/>
  <c r="BD17" i="7"/>
  <c r="BD30" i="7"/>
  <c r="BD7" i="1"/>
  <c r="BD7" i="7"/>
  <c r="BD41" i="7"/>
  <c r="BD7" i="4"/>
  <c r="C6" i="9"/>
  <c r="F36" i="9" s="1"/>
  <c r="BJ5" i="7"/>
  <c r="BJ5" i="5"/>
  <c r="BJ5" i="4"/>
  <c r="BJ5" i="1"/>
  <c r="BK26" i="8"/>
  <c r="BK32" i="8"/>
  <c r="BK34" i="8"/>
  <c r="BK36" i="8"/>
  <c r="BK37" i="8"/>
  <c r="BK33" i="8"/>
  <c r="BK25" i="8"/>
  <c r="BK19" i="1"/>
  <c r="BK25" i="4"/>
  <c r="BK13" i="4"/>
  <c r="BK43" i="8"/>
  <c r="BK21" i="7"/>
  <c r="BK14" i="1"/>
  <c r="BK22" i="8"/>
  <c r="BK31" i="7"/>
  <c r="BK21" i="8"/>
  <c r="BK17" i="1"/>
  <c r="BK23" i="4"/>
  <c r="BK42" i="7"/>
  <c r="BK33" i="7"/>
  <c r="BK37" i="7"/>
  <c r="BK18" i="1"/>
  <c r="BK19" i="4"/>
  <c r="BK25" i="7"/>
  <c r="BK20" i="7"/>
  <c r="BK45" i="7"/>
  <c r="BK36" i="7"/>
  <c r="BK32" i="7"/>
  <c r="BK22" i="7"/>
  <c r="BK18" i="7"/>
  <c r="BK43" i="7"/>
  <c r="BK34" i="7"/>
  <c r="BK28" i="7"/>
  <c r="BK24" i="7"/>
  <c r="BK19" i="7"/>
  <c r="BK44" i="7"/>
  <c r="BK39" i="7"/>
  <c r="BK35" i="7"/>
  <c r="BK13" i="1"/>
  <c r="BK24" i="8"/>
  <c r="BK12" i="1"/>
  <c r="BK15" i="8"/>
  <c r="BK9" i="4"/>
  <c r="BK10" i="5"/>
  <c r="BK9" i="5"/>
  <c r="BK46" i="8"/>
  <c r="BK47" i="8"/>
  <c r="BK18" i="4"/>
  <c r="BK13" i="5"/>
  <c r="BK42" i="8"/>
  <c r="BK30" i="7"/>
  <c r="BK41" i="7"/>
  <c r="BK11" i="5"/>
  <c r="BK16" i="5"/>
  <c r="BK16" i="4"/>
  <c r="BK23" i="7"/>
  <c r="BK24" i="4"/>
  <c r="BK15" i="5"/>
  <c r="BK14" i="4"/>
  <c r="BK21" i="4"/>
  <c r="BK10" i="1"/>
  <c r="BK11" i="4"/>
  <c r="BK44" i="8"/>
  <c r="BK10" i="4"/>
  <c r="BK16" i="1"/>
  <c r="BK27" i="8"/>
  <c r="BK11" i="1"/>
  <c r="BK17" i="7"/>
  <c r="BK12" i="5"/>
  <c r="BK23" i="1"/>
  <c r="BK22" i="1"/>
  <c r="BK17" i="4"/>
  <c r="BK22" i="4"/>
  <c r="BK15" i="4"/>
  <c r="BK24" i="1"/>
  <c r="BK12" i="4"/>
  <c r="BK14" i="5"/>
  <c r="BK20" i="4"/>
  <c r="BK9" i="1"/>
  <c r="BK7" i="5"/>
  <c r="BL16" i="8"/>
  <c r="BL22" i="8"/>
  <c r="BL31" i="8"/>
  <c r="BL42" i="8"/>
  <c r="BL37" i="8"/>
  <c r="BL20" i="8"/>
  <c r="BL25" i="8"/>
  <c r="BL10" i="8"/>
  <c r="BL27" i="8"/>
  <c r="BL34" i="8"/>
  <c r="BL24" i="8"/>
  <c r="BL12" i="8"/>
  <c r="BL14" i="8"/>
  <c r="BL19" i="8"/>
  <c r="BL30" i="8"/>
  <c r="BL11" i="8"/>
  <c r="BL33" i="8"/>
  <c r="BL35" i="8"/>
  <c r="BL13" i="8"/>
  <c r="BL43" i="8"/>
  <c r="BL32" i="8"/>
  <c r="BL46" i="8"/>
  <c r="BL17" i="8"/>
  <c r="BL44" i="8"/>
  <c r="BL23" i="8"/>
  <c r="BL15" i="8"/>
  <c r="BK21" i="1"/>
  <c r="BL40" i="8"/>
  <c r="BL21" i="8"/>
  <c r="BL18" i="8"/>
  <c r="BL45" i="8"/>
  <c r="BL36" i="8"/>
  <c r="BL41" i="8"/>
  <c r="BL47" i="8"/>
  <c r="BL26" i="8"/>
  <c r="BK7" i="4"/>
  <c r="BK7" i="7"/>
  <c r="BL29" i="8"/>
  <c r="BL9" i="8"/>
  <c r="BL39" i="8"/>
  <c r="BL11" i="1"/>
  <c r="BL22" i="1"/>
  <c r="BL18" i="1"/>
  <c r="BL12" i="1"/>
  <c r="BL24" i="1"/>
  <c r="BL23" i="1"/>
  <c r="BL14" i="1"/>
  <c r="BL13" i="1"/>
  <c r="BL17" i="1"/>
  <c r="BL10" i="1"/>
  <c r="BL19" i="1"/>
  <c r="BL28" i="7"/>
  <c r="BL20" i="7"/>
  <c r="BL32" i="7"/>
  <c r="BL34" i="7"/>
  <c r="BL45" i="7"/>
  <c r="BL13" i="7"/>
  <c r="BL44" i="7"/>
  <c r="BL36" i="7"/>
  <c r="BL37" i="7"/>
  <c r="BL24" i="7"/>
  <c r="BL33" i="7"/>
  <c r="BL22" i="7"/>
  <c r="BL19" i="7"/>
  <c r="BL11" i="7"/>
  <c r="BL23" i="7"/>
  <c r="BL43" i="7"/>
  <c r="BL35" i="7"/>
  <c r="BL25" i="7"/>
  <c r="BL31" i="7"/>
  <c r="BL39" i="7"/>
  <c r="BL42" i="7"/>
  <c r="BL18" i="7"/>
  <c r="BL21" i="7"/>
  <c r="BL13" i="4"/>
  <c r="BL10" i="4"/>
  <c r="BL19" i="4"/>
  <c r="BL22" i="4"/>
  <c r="BL15" i="4"/>
  <c r="BL23" i="4"/>
  <c r="BL9" i="4"/>
  <c r="BL16" i="4"/>
  <c r="BL20" i="4"/>
  <c r="BL25" i="4"/>
  <c r="BL12" i="4"/>
  <c r="BL24" i="4"/>
  <c r="BL21" i="4"/>
  <c r="BL11" i="4"/>
  <c r="BL14" i="4"/>
  <c r="BL18" i="4"/>
  <c r="BL9" i="7"/>
  <c r="H46" i="9" s="1"/>
  <c r="BL7" i="8"/>
  <c r="BL26" i="4"/>
  <c r="BK26" i="4"/>
  <c r="BL17" i="4"/>
  <c r="BL9" i="1"/>
  <c r="G46" i="9" s="1"/>
  <c r="BL7" i="7"/>
  <c r="BL41" i="7"/>
  <c r="BL7" i="4"/>
  <c r="BL17" i="7"/>
  <c r="BL30" i="7"/>
  <c r="BL16" i="1"/>
  <c r="BL21" i="1"/>
  <c r="BL7" i="1"/>
  <c r="C4" i="9" l="1"/>
  <c r="F34" i="9" s="1"/>
  <c r="C15" i="9"/>
  <c r="F45" i="9" s="1"/>
  <c r="C2" i="9"/>
  <c r="F32" i="9" s="1"/>
  <c r="BN13" i="1"/>
  <c r="BO23" i="8"/>
  <c r="BN10" i="5"/>
  <c r="BN13" i="4"/>
  <c r="BO13" i="4"/>
  <c r="BQ23" i="8"/>
  <c r="BQ13" i="4"/>
  <c r="BQ10" i="5" l="1"/>
  <c r="BO10" i="5"/>
  <c r="BQ13" i="1"/>
  <c r="BO7" i="5"/>
  <c r="BN9" i="1"/>
  <c r="BO9" i="1"/>
  <c r="BO9" i="8" l="1"/>
  <c r="BN9" i="8"/>
  <c r="BP12" i="5"/>
  <c r="BN7" i="5"/>
  <c r="BO13" i="1"/>
  <c r="BQ9" i="8"/>
  <c r="BQ9" i="1"/>
  <c r="BN7" i="1"/>
  <c r="BN9" i="7"/>
  <c r="BO7" i="1"/>
  <c r="BP10" i="8"/>
  <c r="BP18" i="8"/>
  <c r="BP22" i="8"/>
  <c r="BP26" i="8"/>
  <c r="BP31" i="8"/>
  <c r="BP35" i="8"/>
  <c r="BP40" i="8"/>
  <c r="BP44" i="8"/>
  <c r="BP13" i="8"/>
  <c r="BP17" i="8"/>
  <c r="BP21" i="8"/>
  <c r="BP34" i="8"/>
  <c r="BP47" i="8"/>
  <c r="BP12" i="8"/>
  <c r="BP16" i="8"/>
  <c r="BP20" i="8"/>
  <c r="BP24" i="8"/>
  <c r="BP33" i="8"/>
  <c r="BP37" i="8"/>
  <c r="BP42" i="8"/>
  <c r="BP46" i="8"/>
  <c r="BP15" i="8"/>
  <c r="BP19" i="8"/>
  <c r="BP27" i="8"/>
  <c r="BP36" i="8"/>
  <c r="BP41" i="8"/>
  <c r="BP30" i="8"/>
  <c r="BP11" i="8"/>
  <c r="BP23" i="8"/>
  <c r="BP32" i="8"/>
  <c r="BP45" i="8"/>
  <c r="BP25" i="8"/>
  <c r="BP43" i="8"/>
  <c r="BP10" i="5"/>
  <c r="BP14" i="5"/>
  <c r="BP9" i="5"/>
  <c r="BP13" i="5"/>
  <c r="BP16" i="5"/>
  <c r="BP15" i="5"/>
  <c r="BQ7" i="5"/>
  <c r="C17" i="9" l="1"/>
  <c r="F47" i="9" s="1"/>
  <c r="BP14" i="8"/>
  <c r="BO7" i="8"/>
  <c r="BQ7" i="8"/>
  <c r="BN7" i="8"/>
  <c r="BP11" i="5"/>
  <c r="BN7" i="4"/>
  <c r="BQ7" i="1"/>
  <c r="BQ9" i="7"/>
  <c r="BO9" i="7"/>
  <c r="BP23" i="1"/>
  <c r="BP11" i="1"/>
  <c r="BP17" i="1"/>
  <c r="BP12" i="1"/>
  <c r="BP19" i="1"/>
  <c r="BP10" i="1"/>
  <c r="BP18" i="1"/>
  <c r="BP22" i="1"/>
  <c r="BP24" i="1"/>
  <c r="BP13" i="1"/>
  <c r="BP14" i="1"/>
  <c r="BP7" i="5"/>
  <c r="BP29" i="8"/>
  <c r="BP39" i="8"/>
  <c r="BP9" i="8" l="1"/>
  <c r="BQ7" i="7"/>
  <c r="BN7" i="7"/>
  <c r="BN26" i="4"/>
  <c r="BO7" i="4"/>
  <c r="BQ7" i="4"/>
  <c r="BO7" i="7"/>
  <c r="BP9" i="1"/>
  <c r="G47" i="9" s="1"/>
  <c r="BP7" i="8"/>
  <c r="BP21" i="1" l="1"/>
  <c r="BP16" i="1"/>
  <c r="BQ26" i="4"/>
  <c r="BP42" i="7"/>
  <c r="BP36" i="7"/>
  <c r="BP35" i="7"/>
  <c r="BP28" i="7"/>
  <c r="BP34" i="7"/>
  <c r="BP37" i="7"/>
  <c r="BP45" i="7"/>
  <c r="BP44" i="7"/>
  <c r="BP43" i="7"/>
  <c r="BP21" i="7"/>
  <c r="BP22" i="7"/>
  <c r="BP39" i="7"/>
  <c r="BP19" i="7"/>
  <c r="BP24" i="7"/>
  <c r="BP23" i="7"/>
  <c r="BP20" i="7"/>
  <c r="BP18" i="7"/>
  <c r="BP33" i="7"/>
  <c r="BP25" i="7"/>
  <c r="BP31" i="7"/>
  <c r="BP32" i="7"/>
  <c r="BP9" i="7"/>
  <c r="H47" i="9" s="1"/>
  <c r="BP10" i="4"/>
  <c r="BP11" i="4"/>
  <c r="BP12" i="4"/>
  <c r="BP13" i="4"/>
  <c r="BP22" i="4"/>
  <c r="BP25" i="4"/>
  <c r="BP18" i="4"/>
  <c r="BP20" i="4"/>
  <c r="BP23" i="4"/>
  <c r="BP21" i="4"/>
  <c r="BP24" i="4"/>
  <c r="BP14" i="4"/>
  <c r="BP15" i="4"/>
  <c r="BP16" i="4"/>
  <c r="BP9" i="4"/>
  <c r="BP19" i="4"/>
  <c r="BP7" i="1"/>
  <c r="BP13" i="7" l="1"/>
  <c r="BP11" i="7"/>
  <c r="BP17" i="4"/>
  <c r="BP26" i="4"/>
  <c r="BO26" i="4"/>
  <c r="BP7" i="4"/>
  <c r="BP7" i="7"/>
  <c r="BP30" i="7"/>
  <c r="BP17" i="7"/>
  <c r="BP41" i="7"/>
  <c r="C18" i="9" l="1"/>
  <c r="F48" i="9" s="1"/>
  <c r="G48" i="9" l="1"/>
  <c r="H48" i="9" l="1"/>
  <c r="C19" i="9" l="1"/>
  <c r="F49" i="9" s="1"/>
  <c r="G49" i="9" l="1"/>
  <c r="CD18" i="7" l="1"/>
  <c r="CD19" i="7"/>
  <c r="CD20" i="7"/>
  <c r="CD21" i="7"/>
  <c r="CD22" i="7"/>
  <c r="CD24" i="7"/>
  <c r="CD25" i="7"/>
  <c r="CD28" i="7"/>
  <c r="CD31" i="7"/>
  <c r="CD32" i="7"/>
  <c r="CD33" i="7"/>
  <c r="CD34" i="7"/>
  <c r="CD35" i="7"/>
  <c r="CD36" i="7"/>
  <c r="CD37" i="7"/>
  <c r="CD39" i="7"/>
  <c r="CD5" i="7"/>
  <c r="CD45" i="7"/>
  <c r="CD43" i="7"/>
  <c r="CD44" i="7"/>
  <c r="CD6" i="7"/>
  <c r="CG31" i="7" l="1"/>
  <c r="CE31" i="7"/>
  <c r="CE43" i="7"/>
  <c r="CE28" i="7"/>
  <c r="CG28" i="7"/>
  <c r="CE39" i="7"/>
  <c r="CG39" i="7"/>
  <c r="CE45" i="7"/>
  <c r="CG45" i="7"/>
  <c r="CG35" i="7"/>
  <c r="CE35" i="7"/>
  <c r="CG22" i="7"/>
  <c r="CE22" i="7"/>
  <c r="CE36" i="7"/>
  <c r="CG36" i="7"/>
  <c r="CG37" i="7"/>
  <c r="CE37" i="7"/>
  <c r="CG34" i="7"/>
  <c r="CE34" i="7"/>
  <c r="CE33" i="7"/>
  <c r="CG33" i="7"/>
  <c r="CG32" i="7"/>
  <c r="CE32" i="7"/>
  <c r="CE25" i="7"/>
  <c r="CG25" i="7"/>
  <c r="CG24" i="7"/>
  <c r="CE24" i="7"/>
  <c r="CG21" i="7"/>
  <c r="CE21" i="7"/>
  <c r="CE20" i="7"/>
  <c r="CG20" i="7"/>
  <c r="CG44" i="7"/>
  <c r="CE44" i="7"/>
  <c r="CG19" i="7"/>
  <c r="CE19" i="7"/>
  <c r="CG18" i="7"/>
  <c r="CE18" i="7"/>
  <c r="CG43" i="7"/>
  <c r="CD23" i="7"/>
  <c r="CD42" i="7" l="1"/>
  <c r="CG30" i="7"/>
  <c r="CD30" i="7"/>
  <c r="CE30" i="7"/>
  <c r="CG42" i="7"/>
  <c r="CE42" i="7"/>
  <c r="CD17" i="7"/>
  <c r="CG23" i="7"/>
  <c r="CE23" i="7"/>
  <c r="CG41" i="7" l="1"/>
  <c r="CD41" i="7"/>
  <c r="CE17" i="7"/>
  <c r="CE41" i="7"/>
  <c r="CD13" i="7"/>
  <c r="CD11" i="7"/>
  <c r="CG17" i="7"/>
  <c r="CD9" i="7" l="1"/>
  <c r="CE13" i="7"/>
  <c r="CG13" i="7"/>
  <c r="CE11" i="7"/>
  <c r="CG11" i="7"/>
  <c r="CE9" i="7" l="1"/>
  <c r="CD7" i="7"/>
  <c r="CG9" i="7"/>
  <c r="CG7" i="7" l="1"/>
  <c r="CE7" i="7" l="1"/>
  <c r="CF35" i="7"/>
  <c r="CF23" i="7"/>
  <c r="CF13" i="7"/>
  <c r="CF39" i="7"/>
  <c r="CF22" i="7"/>
  <c r="CF44" i="7"/>
  <c r="CF33" i="7"/>
  <c r="CF45" i="7"/>
  <c r="CF20" i="7"/>
  <c r="CF19" i="7"/>
  <c r="CF34" i="7"/>
  <c r="CF28" i="7"/>
  <c r="CF37" i="7"/>
  <c r="CF25" i="7"/>
  <c r="CF32" i="7"/>
  <c r="CF11" i="7"/>
  <c r="CF24" i="7"/>
  <c r="CF21" i="7"/>
  <c r="CF36" i="7"/>
  <c r="CF42" i="7"/>
  <c r="CF31" i="7"/>
  <c r="CF43" i="7"/>
  <c r="CF18" i="7"/>
  <c r="CF9" i="7"/>
  <c r="H51" i="9" s="1"/>
  <c r="CF17" i="7" l="1"/>
  <c r="CF30" i="7"/>
  <c r="CF7" i="7"/>
  <c r="CF41" i="7"/>
  <c r="CL5" i="7" l="1"/>
  <c r="CM23" i="8"/>
  <c r="CM43" i="8"/>
  <c r="CM44" i="8"/>
  <c r="CM45" i="8"/>
  <c r="CM46" i="8"/>
  <c r="CM47" i="8"/>
  <c r="CL6" i="7"/>
  <c r="CL5" i="5"/>
  <c r="CL6" i="5"/>
  <c r="CL5" i="4"/>
  <c r="CL6" i="4"/>
  <c r="CO8" i="4"/>
  <c r="CL5" i="1"/>
  <c r="CL6" i="1"/>
  <c r="CO20" i="1"/>
  <c r="CO43" i="8"/>
  <c r="CO45" i="8"/>
  <c r="CO47" i="8"/>
  <c r="CO26" i="8"/>
  <c r="CO23" i="8"/>
  <c r="CM13" i="8"/>
  <c r="CO15" i="8"/>
  <c r="CO24" i="4"/>
  <c r="CO31" i="7"/>
  <c r="CO13" i="4"/>
  <c r="CM21" i="8"/>
  <c r="CO16" i="8"/>
  <c r="CO22" i="8"/>
  <c r="CO24" i="8"/>
  <c r="CO15" i="1"/>
  <c r="CO8" i="1"/>
  <c r="CM13" i="1"/>
  <c r="CM28" i="7"/>
  <c r="CO28" i="7"/>
  <c r="CM39" i="7"/>
  <c r="CO35" i="7"/>
  <c r="CO22" i="7"/>
  <c r="CO36" i="7"/>
  <c r="CO37" i="7"/>
  <c r="CM37" i="7"/>
  <c r="CO34" i="7"/>
  <c r="CM34" i="7"/>
  <c r="CM33" i="7"/>
  <c r="CO25" i="7"/>
  <c r="CO24" i="7"/>
  <c r="CO21" i="7"/>
  <c r="CM21" i="7"/>
  <c r="CM20" i="7"/>
  <c r="CO20" i="7"/>
  <c r="CM44" i="7"/>
  <c r="CM19" i="7"/>
  <c r="CM18" i="7"/>
  <c r="CM13" i="4"/>
  <c r="CO44" i="8"/>
  <c r="CO46" i="8"/>
  <c r="CM17" i="8"/>
  <c r="CM19" i="8"/>
  <c r="CO19" i="8"/>
  <c r="CO20" i="8"/>
  <c r="CM20" i="8"/>
  <c r="CM25" i="8"/>
  <c r="CO25" i="8"/>
  <c r="CO17" i="8"/>
  <c r="CM18" i="8"/>
  <c r="CO18" i="8"/>
  <c r="CO14" i="8"/>
  <c r="CM14" i="8"/>
  <c r="CO30" i="7"/>
  <c r="CO11" i="8"/>
  <c r="CM24" i="4"/>
  <c r="CM10" i="1"/>
  <c r="CO18" i="4"/>
  <c r="CM11" i="8"/>
  <c r="CO13" i="8"/>
  <c r="CM12" i="8"/>
  <c r="CO12" i="8"/>
  <c r="CO21" i="8"/>
  <c r="CM12" i="4"/>
  <c r="CM12" i="1"/>
  <c r="CM16" i="8"/>
  <c r="CM24" i="8"/>
  <c r="CM10" i="4"/>
  <c r="CM22" i="8"/>
  <c r="CO25" i="4"/>
  <c r="CM25" i="4"/>
  <c r="CO23" i="7"/>
  <c r="CM23" i="7"/>
  <c r="CM16" i="4"/>
  <c r="CO16" i="4"/>
  <c r="CM15" i="4"/>
  <c r="CO15" i="4"/>
  <c r="CM15" i="8"/>
  <c r="CO10" i="8"/>
  <c r="CM10" i="8"/>
  <c r="CM14" i="4"/>
  <c r="CO14" i="4"/>
  <c r="CO9" i="8"/>
  <c r="CO15" i="5"/>
  <c r="CO12" i="4"/>
  <c r="CM27" i="8"/>
  <c r="CO10" i="1"/>
  <c r="CM18" i="4"/>
  <c r="CO12" i="1"/>
  <c r="CO21" i="4"/>
  <c r="CM21" i="4"/>
  <c r="CM14" i="1"/>
  <c r="CO13" i="5"/>
  <c r="CO27" i="8"/>
  <c r="CO10" i="4"/>
  <c r="CO17" i="7"/>
  <c r="CO14" i="1"/>
  <c r="CM26" i="8" l="1"/>
  <c r="CM36" i="7"/>
  <c r="CM15" i="5"/>
  <c r="CM17" i="7"/>
  <c r="CM9" i="1"/>
  <c r="CM11" i="1"/>
  <c r="CM22" i="7"/>
  <c r="CM13" i="5"/>
  <c r="CM24" i="7"/>
  <c r="CM35" i="7"/>
  <c r="CM25" i="7"/>
  <c r="CM45" i="7"/>
  <c r="CM32" i="7"/>
  <c r="CO18" i="7"/>
  <c r="CO45" i="7"/>
  <c r="CO19" i="7"/>
  <c r="CO32" i="7"/>
  <c r="CO33" i="7"/>
  <c r="CO39" i="7"/>
  <c r="CO13" i="1"/>
  <c r="CO44" i="7"/>
  <c r="CO9" i="1"/>
  <c r="CO11" i="1"/>
  <c r="CM9" i="8" l="1"/>
  <c r="CM31" i="7"/>
  <c r="CM30" i="7"/>
  <c r="CM9" i="7"/>
  <c r="CO9" i="7"/>
  <c r="CL31" i="8" l="1"/>
  <c r="CL32" i="8"/>
  <c r="CL33" i="8"/>
  <c r="CL11" i="5"/>
  <c r="CL34" i="8"/>
  <c r="CL35" i="8"/>
  <c r="CL36" i="8"/>
  <c r="CL37" i="8"/>
  <c r="CL30" i="8"/>
  <c r="CL42" i="8"/>
  <c r="CL40" i="8"/>
  <c r="CL41" i="8"/>
  <c r="CO30" i="8"/>
  <c r="CM31" i="8"/>
  <c r="CM33" i="8"/>
  <c r="CO34" i="8"/>
  <c r="CM35" i="8"/>
  <c r="CL18" i="1"/>
  <c r="CL43" i="7"/>
  <c r="CL22" i="1"/>
  <c r="CL23" i="1"/>
  <c r="CL19" i="4"/>
  <c r="CO42" i="8"/>
  <c r="CO33" i="8"/>
  <c r="CO31" i="8"/>
  <c r="CO36" i="8"/>
  <c r="CO18" i="1"/>
  <c r="CM19" i="4"/>
  <c r="CO35" i="8"/>
  <c r="CO19" i="4"/>
  <c r="CL19" i="1"/>
  <c r="CM32" i="8"/>
  <c r="CL39" i="8"/>
  <c r="CL24" i="1"/>
  <c r="CL12" i="5"/>
  <c r="CM42" i="8"/>
  <c r="CO39" i="8"/>
  <c r="CL14" i="5"/>
  <c r="CL11" i="4"/>
  <c r="CM11" i="5"/>
  <c r="CO11" i="5"/>
  <c r="CO23" i="1" l="1"/>
  <c r="CL10" i="5"/>
  <c r="CO37" i="8"/>
  <c r="CO11" i="4"/>
  <c r="CM24" i="1"/>
  <c r="CO24" i="1"/>
  <c r="CM19" i="1"/>
  <c r="CO22" i="1"/>
  <c r="CM34" i="8"/>
  <c r="CO14" i="5"/>
  <c r="CM41" i="8"/>
  <c r="CO40" i="8"/>
  <c r="CM40" i="8"/>
  <c r="CO19" i="1"/>
  <c r="CO32" i="8"/>
  <c r="CM37" i="8"/>
  <c r="CM11" i="4"/>
  <c r="CO12" i="5"/>
  <c r="CO41" i="8"/>
  <c r="CM36" i="8"/>
  <c r="CM43" i="7"/>
  <c r="CM14" i="5"/>
  <c r="CM23" i="1"/>
  <c r="CM22" i="1"/>
  <c r="CM16" i="5"/>
  <c r="CM12" i="5"/>
  <c r="CM18" i="1"/>
  <c r="CO43" i="7"/>
  <c r="CO10" i="5"/>
  <c r="CM10" i="5"/>
  <c r="CO7" i="8" l="1"/>
  <c r="CL7" i="8"/>
  <c r="CL9" i="5"/>
  <c r="CO9" i="5"/>
  <c r="CL22" i="4"/>
  <c r="CM22" i="4"/>
  <c r="CO22" i="4"/>
  <c r="CL21" i="1"/>
  <c r="CO21" i="1"/>
  <c r="CL42" i="7"/>
  <c r="CM42" i="7"/>
  <c r="CO42" i="7"/>
  <c r="CM39" i="8"/>
  <c r="CM30" i="8"/>
  <c r="CM29" i="8"/>
  <c r="CL17" i="1"/>
  <c r="CO17" i="1"/>
  <c r="CL9" i="4"/>
  <c r="CO9" i="4"/>
  <c r="CL23" i="4"/>
  <c r="CM23" i="4"/>
  <c r="CO23" i="4"/>
  <c r="CL17" i="4"/>
  <c r="CM17" i="4"/>
  <c r="CO17" i="4"/>
  <c r="CL29" i="8"/>
  <c r="CO29" i="8"/>
  <c r="CM17" i="1"/>
  <c r="CL20" i="4"/>
  <c r="CM20" i="4"/>
  <c r="CO20" i="4"/>
  <c r="CL16" i="5"/>
  <c r="CO16" i="5"/>
  <c r="CM9" i="5"/>
  <c r="CM41" i="7"/>
  <c r="CM7" i="5"/>
  <c r="CM16" i="1"/>
  <c r="CM21" i="1"/>
  <c r="CN9" i="5" l="1"/>
  <c r="CL41" i="7"/>
  <c r="CO41" i="7"/>
  <c r="CM7" i="8"/>
  <c r="CN14" i="5"/>
  <c r="CL7" i="5"/>
  <c r="CN15" i="5"/>
  <c r="CO7" i="5"/>
  <c r="CN13" i="5"/>
  <c r="CN12" i="5"/>
  <c r="CN16" i="5"/>
  <c r="CN10" i="5"/>
  <c r="CM9" i="4"/>
  <c r="CL16" i="1"/>
  <c r="CO16" i="1"/>
  <c r="CN44" i="8"/>
  <c r="CN33" i="8"/>
  <c r="CN24" i="8"/>
  <c r="CN20" i="8"/>
  <c r="CN19" i="8"/>
  <c r="CN12" i="8"/>
  <c r="CN17" i="8"/>
  <c r="CN11" i="8"/>
  <c r="CN27" i="8"/>
  <c r="CN35" i="8"/>
  <c r="CM7" i="1"/>
  <c r="CN46" i="8" l="1"/>
  <c r="CN41" i="8"/>
  <c r="CN22" i="8"/>
  <c r="CL7" i="1"/>
  <c r="CO7" i="1"/>
  <c r="CN26" i="8"/>
  <c r="CN15" i="8"/>
  <c r="CN13" i="8"/>
  <c r="CN30" i="8"/>
  <c r="CN11" i="5"/>
  <c r="CN40" i="8"/>
  <c r="CN34" i="8"/>
  <c r="CN7" i="5"/>
  <c r="C23" i="9"/>
  <c r="D24" i="9" s="1"/>
  <c r="CN36" i="8"/>
  <c r="CL13" i="7"/>
  <c r="CO13" i="7"/>
  <c r="CN47" i="8"/>
  <c r="CN21" i="8"/>
  <c r="CN45" i="8"/>
  <c r="CN23" i="8"/>
  <c r="CN43" i="8"/>
  <c r="CN25" i="8"/>
  <c r="CN18" i="8"/>
  <c r="CN10" i="8"/>
  <c r="CL11" i="7"/>
  <c r="CO11" i="7"/>
  <c r="CN16" i="8"/>
  <c r="CN14" i="8"/>
  <c r="CN42" i="8"/>
  <c r="CN32" i="8"/>
  <c r="CN31" i="8"/>
  <c r="CN37" i="8"/>
  <c r="CN11" i="1"/>
  <c r="CN10" i="1"/>
  <c r="CN22" i="1"/>
  <c r="CN19" i="1"/>
  <c r="CN23" i="1"/>
  <c r="CN14" i="1"/>
  <c r="CN18" i="1"/>
  <c r="CN13" i="1"/>
  <c r="CN24" i="1"/>
  <c r="CN17" i="1"/>
  <c r="CN12" i="1"/>
  <c r="CN9" i="8" l="1"/>
  <c r="G53" i="9" s="1"/>
  <c r="CN39" i="8"/>
  <c r="CN29" i="8"/>
  <c r="CM11" i="7"/>
  <c r="F53" i="9"/>
  <c r="CM13" i="7"/>
  <c r="CL7" i="4"/>
  <c r="CO7" i="4"/>
  <c r="CO7" i="7"/>
  <c r="CL7" i="7"/>
  <c r="CN11" i="7"/>
  <c r="CN16" i="1"/>
  <c r="CN7" i="8"/>
  <c r="CN9" i="1"/>
  <c r="CN21" i="1"/>
  <c r="CM7" i="4" l="1"/>
  <c r="CN13" i="4"/>
  <c r="CN24" i="4"/>
  <c r="CN21" i="4"/>
  <c r="CN16" i="4"/>
  <c r="CN14" i="4"/>
  <c r="CN22" i="4"/>
  <c r="CN20" i="4"/>
  <c r="CN18" i="4"/>
  <c r="CN15" i="4"/>
  <c r="CN23" i="4"/>
  <c r="CN19" i="4"/>
  <c r="CN25" i="4"/>
  <c r="CL26" i="4"/>
  <c r="CO26" i="4"/>
  <c r="CM7" i="7"/>
  <c r="CN39" i="7"/>
  <c r="CN44" i="7"/>
  <c r="CN45" i="7"/>
  <c r="CN21" i="7"/>
  <c r="CN34" i="7"/>
  <c r="CN25" i="7"/>
  <c r="CN32" i="7"/>
  <c r="CN43" i="7"/>
  <c r="CN19" i="7"/>
  <c r="CN28" i="7"/>
  <c r="CN37" i="7"/>
  <c r="CN24" i="7"/>
  <c r="CN36" i="7"/>
  <c r="CN23" i="7"/>
  <c r="CN33" i="7"/>
  <c r="CN20" i="7"/>
  <c r="CN35" i="7"/>
  <c r="CN22" i="7"/>
  <c r="CN7" i="1"/>
  <c r="CN18" i="7" l="1"/>
  <c r="CN17" i="7"/>
  <c r="CN42" i="7"/>
  <c r="CN41" i="7"/>
  <c r="CN17" i="4"/>
  <c r="CN9" i="4"/>
  <c r="CN7" i="4"/>
  <c r="CN9" i="7"/>
  <c r="H53" i="9" s="1"/>
  <c r="CN7" i="7"/>
  <c r="CN10" i="4"/>
  <c r="CM26" i="4"/>
  <c r="CN31" i="7"/>
  <c r="CN30" i="7"/>
  <c r="CN12" i="4"/>
  <c r="CN13" i="7"/>
  <c r="CN11" i="4"/>
  <c r="CN26" i="4" l="1"/>
</calcChain>
</file>

<file path=xl/sharedStrings.xml><?xml version="1.0" encoding="utf-8"?>
<sst xmlns="http://schemas.openxmlformats.org/spreadsheetml/2006/main" count="662" uniqueCount="137">
  <si>
    <t>Esfera de Governo</t>
  </si>
  <si>
    <t>UNIÃO</t>
  </si>
  <si>
    <t>PIB</t>
  </si>
  <si>
    <t xml:space="preserve">    Impostos</t>
  </si>
  <si>
    <t xml:space="preserve">    Contribuições Sociais</t>
  </si>
  <si>
    <t xml:space="preserve">    Previdência Social</t>
  </si>
  <si>
    <t xml:space="preserve">    FGTS</t>
  </si>
  <si>
    <t xml:space="preserve">    Demais</t>
  </si>
  <si>
    <t>ESTADOS</t>
  </si>
  <si>
    <t xml:space="preserve">    ICMS</t>
  </si>
  <si>
    <t xml:space="preserve">    IPVA</t>
  </si>
  <si>
    <t>MUNICÍPIOS</t>
  </si>
  <si>
    <t xml:space="preserve">    ISS</t>
  </si>
  <si>
    <t xml:space="preserve">    IPTU</t>
  </si>
  <si>
    <t>TOTAL</t>
  </si>
  <si>
    <t xml:space="preserve">  ITCD</t>
  </si>
  <si>
    <t xml:space="preserve">  ITBI</t>
  </si>
  <si>
    <t xml:space="preserve">  ICMS</t>
  </si>
  <si>
    <t xml:space="preserve">  Cofins</t>
  </si>
  <si>
    <t xml:space="preserve">  FGTS</t>
  </si>
  <si>
    <t xml:space="preserve">  CPMF</t>
  </si>
  <si>
    <t xml:space="preserve">  IPI</t>
  </si>
  <si>
    <t xml:space="preserve">  Pis/Pasep</t>
  </si>
  <si>
    <t xml:space="preserve">  Contrib. Lucro</t>
  </si>
  <si>
    <t xml:space="preserve">  ISS</t>
  </si>
  <si>
    <t xml:space="preserve">  Imp. Importação</t>
  </si>
  <si>
    <t xml:space="preserve">  IPVA</t>
  </si>
  <si>
    <t xml:space="preserve">  IPTU</t>
  </si>
  <si>
    <t xml:space="preserve">  IOF</t>
  </si>
  <si>
    <t xml:space="preserve">  ITR</t>
  </si>
  <si>
    <t>SALÁRIOS E MÃO-DE-OBRA</t>
  </si>
  <si>
    <t>RENDA, LUCROS E GANHOS</t>
  </si>
  <si>
    <t>PATRIMONIAIS</t>
  </si>
  <si>
    <t>DEMAIS</t>
  </si>
  <si>
    <t>BENS E SERVIÇOS</t>
  </si>
  <si>
    <t>COMÉRCIO EXTERIOR</t>
  </si>
  <si>
    <t>RECEITA DISPONÍVEL</t>
  </si>
  <si>
    <t xml:space="preserve"> União para Estados</t>
  </si>
  <si>
    <t xml:space="preserve">   FPE</t>
  </si>
  <si>
    <t xml:space="preserve">   FPEX</t>
  </si>
  <si>
    <t xml:space="preserve">   IOF OURO</t>
  </si>
  <si>
    <t xml:space="preserve">   SEGURO REC. ICMS</t>
  </si>
  <si>
    <t xml:space="preserve">   SAL.EDUCAÇÃO</t>
  </si>
  <si>
    <t xml:space="preserve"> União para Municípios</t>
  </si>
  <si>
    <t xml:space="preserve">   FPM</t>
  </si>
  <si>
    <t xml:space="preserve">   ITR</t>
  </si>
  <si>
    <t xml:space="preserve"> Estados para Municípios</t>
  </si>
  <si>
    <t xml:space="preserve">   ICMS</t>
  </si>
  <si>
    <t xml:space="preserve">   IPVA</t>
  </si>
  <si>
    <t>Transferências Constitucionais</t>
  </si>
  <si>
    <t xml:space="preserve">UNIÃO </t>
  </si>
  <si>
    <t xml:space="preserve">   FPEx</t>
  </si>
  <si>
    <t xml:space="preserve">    IR</t>
  </si>
  <si>
    <t xml:space="preserve">    IPI</t>
  </si>
  <si>
    <t xml:space="preserve">    IOF</t>
  </si>
  <si>
    <t xml:space="preserve">    Imp. Sobre Comércio Exterior</t>
  </si>
  <si>
    <t xml:space="preserve">    ITR</t>
  </si>
  <si>
    <t xml:space="preserve">    Taxas</t>
  </si>
  <si>
    <t xml:space="preserve">    Previdência (1)</t>
  </si>
  <si>
    <t xml:space="preserve">    Cofins</t>
  </si>
  <si>
    <t xml:space="preserve">    CPMF</t>
  </si>
  <si>
    <t xml:space="preserve">    CSLL</t>
  </si>
  <si>
    <t xml:space="preserve">    PIS-PASEP</t>
  </si>
  <si>
    <t xml:space="preserve">    Salário Educação</t>
  </si>
  <si>
    <t xml:space="preserve">    ITCD</t>
  </si>
  <si>
    <t xml:space="preserve">   TAXAS</t>
  </si>
  <si>
    <t xml:space="preserve">    Previ. Estadual</t>
  </si>
  <si>
    <t xml:space="preserve">    ITBI</t>
  </si>
  <si>
    <t xml:space="preserve">    TAXAS</t>
  </si>
  <si>
    <t xml:space="preserve">    Previd. Municipal</t>
  </si>
  <si>
    <t>TRANSAÇÕES FINANCEIRAS</t>
  </si>
  <si>
    <t>TAXAS</t>
  </si>
  <si>
    <t>Tributos computados por categoria:</t>
  </si>
  <si>
    <t xml:space="preserve"> - Comércio Exterior = impostos sobre exportação e importação.</t>
  </si>
  <si>
    <t xml:space="preserve"> - Transações Financeiras = IOF e CPMF.</t>
  </si>
  <si>
    <t xml:space="preserve">    Multas e Dívida Ativa</t>
  </si>
  <si>
    <t xml:space="preserve">  Imposto de Renda (Global)</t>
  </si>
  <si>
    <t xml:space="preserve"> - Taxas = 3 esferas de governo (inclui contribuição municipal de iluminação pública)</t>
  </si>
  <si>
    <t>Contribuição para  PIN,  Selo Especial de Controle, Lojas Francas e Royalties</t>
  </si>
  <si>
    <t xml:space="preserve"> - Bens e serviços: IPI e ICMS (Valor Adicionado); COFINS, PIS-PASEP, Contrib.Econômicas (inclusive CIDE), ISS (Cumulativos),</t>
  </si>
  <si>
    <t xml:space="preserve"> - Demais Tributos = outros tributos, incluindo receita da dívida ativa, multas e juros</t>
  </si>
  <si>
    <t>% PIB</t>
  </si>
  <si>
    <t>% Total</t>
  </si>
  <si>
    <t>Base de Incidência</t>
  </si>
  <si>
    <t>R$ Bilhões</t>
  </si>
  <si>
    <t xml:space="preserve">% PIB </t>
  </si>
  <si>
    <t>Principais Tributos</t>
  </si>
  <si>
    <t xml:space="preserve">Receita Disponível </t>
  </si>
  <si>
    <t xml:space="preserve">  Demais tributos </t>
  </si>
  <si>
    <t xml:space="preserve">    IRRF</t>
  </si>
  <si>
    <t xml:space="preserve">    Contribuições de Melhoria e Econômicas</t>
  </si>
  <si>
    <t xml:space="preserve">    Demais (multas, juros e dívida ativa)</t>
  </si>
  <si>
    <t xml:space="preserve">    Contrib. Seg. Serv. Público (2)</t>
  </si>
  <si>
    <t xml:space="preserve">    Outras contribuições sociais (3)</t>
  </si>
  <si>
    <t xml:space="preserve">    FGTS (4)</t>
  </si>
  <si>
    <t xml:space="preserve">    Contribuições Econômicas (5)</t>
  </si>
  <si>
    <t xml:space="preserve">    Sistema S (4)</t>
  </si>
  <si>
    <t>MUNICÍPIOS (6)</t>
  </si>
  <si>
    <t>(1) Dados extraídos da Execução Orçamentária da União. Inclui SIMPLES/Previdência</t>
  </si>
  <si>
    <t>(3) Inclui "Receita Part. Seguro-Dpvat-Sist. Nac. de Trânsito", classifacada como "Outras Receitas" no Balanço da STN.</t>
  </si>
  <si>
    <t>(4) A fonte dos dados é o cálculo de carga tributária efetuado pela SRF.</t>
  </si>
  <si>
    <t>(5) Inclui "Util.Recurso Hidricos-Trat. Itaipu", classificada como "Outras Receitas" no Balanço da STN</t>
  </si>
  <si>
    <t>As demais rubricas de Brasília estão classificadas nas receitas estaduais.</t>
  </si>
  <si>
    <t>(2) Em 2003 e 2004, inclui "Cota-Parte do Serv. No Fundo de Saúde Militar", classificada como "Outras Receitas" no Balanço da STN.</t>
  </si>
  <si>
    <t xml:space="preserve">  Previdência Social Ampliada (1)</t>
  </si>
  <si>
    <t>(1) Inclui Sistema "S" e Salário Educação</t>
  </si>
  <si>
    <t xml:space="preserve"> - Patrimoniais = ITR; IPVA e ITCD; IPTU e ITBI.</t>
  </si>
  <si>
    <t xml:space="preserve"> - Salários: Contrib. Previdência Social (INSS), Sistema S e Salário-Educação; FGTS; Contribuição Servidores (3 esferas). Para os anos de 2002 a 2004, inclui Contr.Rel a Desped. de Empreg. S/ Justa Causa e Contr. sobre Remuneracao Devida ao Trabalh.</t>
  </si>
  <si>
    <t xml:space="preserve"> - Renda = IR, CSLL, IR Retido na Fonte por Estados e Municípios, Contribuições de Loteria Federal e Contribuições de Melhoria.  Para os anos 2003 e 2004, inclui contribuições de Bingo.</t>
  </si>
  <si>
    <t xml:space="preserve">   FEX</t>
  </si>
  <si>
    <t xml:space="preserve">   CIDE</t>
  </si>
  <si>
    <t>Carga</t>
  </si>
  <si>
    <t>% AD União</t>
  </si>
  <si>
    <t>% RD União</t>
  </si>
  <si>
    <t xml:space="preserve">   ROYALTIES E PARTICIPAÇÕES</t>
  </si>
  <si>
    <t xml:space="preserve">   ROYALTIES E PARTICIPAÇÕES </t>
  </si>
  <si>
    <t>Per capita (R$)</t>
  </si>
  <si>
    <t>Per capita(R$)</t>
  </si>
  <si>
    <t>(6) Em 2004 e 2005, como o Finbra cobre somente 77% dos municípios, aplicou-se uma receita 5% adicional sobre o IPTU, o ISS e as Taxas.  Nos anos de 2003, 2002, 2001, a cobertura é de 90%, 93% e 96% dos municípios, respectivamente.  IPTU, ISS e ITBI dos anos de  2005, 2004, 2003 e 2002 incluem a arrecadação de Brasília.</t>
  </si>
  <si>
    <t xml:space="preserve">   FUNDEF/FUNDEB</t>
  </si>
  <si>
    <t xml:space="preserve">R$ Bilhões </t>
  </si>
  <si>
    <t>População</t>
  </si>
  <si>
    <t>,</t>
  </si>
  <si>
    <t xml:space="preserve">   AFM</t>
  </si>
  <si>
    <t xml:space="preserve">   AFE</t>
  </si>
  <si>
    <t xml:space="preserve">% Total </t>
  </si>
  <si>
    <t>Arrecadação Direta por Esfera de Governo</t>
  </si>
  <si>
    <t>Arrecadação Tributária por Principais Impostos e Contribuições</t>
  </si>
  <si>
    <t>Arrecadação por Bases de Incidência</t>
  </si>
  <si>
    <t>Receita Tributária Disponível por Esfera de Governo</t>
  </si>
  <si>
    <t xml:space="preserve">   LC 201/2023</t>
  </si>
  <si>
    <t>Fundeb</t>
  </si>
  <si>
    <t xml:space="preserve"> U-M</t>
  </si>
  <si>
    <t xml:space="preserve"> E-M</t>
  </si>
  <si>
    <t>FPM</t>
  </si>
  <si>
    <t>CP-ICMS</t>
  </si>
  <si>
    <t>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</si>
</sst>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0.0"/>
    <numFmt numFmtId="166" formatCode="#,##0.0"/>
    <numFmt numFmtId="167" formatCode="_(* #,##0_);_(* \(#,##0\);_(* &quot;-&quot;??_);_(@_)"/>
    <numFmt numFmtId="168" formatCode="#,#00"/>
    <numFmt numFmtId="169" formatCode="%#,#00"/>
    <numFmt numFmtId="170" formatCode="#,"/>
    <numFmt numFmtId="171" formatCode="m\o\n\th\ d\,\ \y\y\y\y"/>
    <numFmt numFmtId="172" formatCode="\$#,##0\ ;\(\$#,##0\)"/>
    <numFmt numFmtId="173" formatCode="0.000"/>
    <numFmt numFmtId="174" formatCode="0.0000"/>
  </numFmts>
  <fonts count="11" x14ac:knownFonts="1">
    <font>
      <sz val="10"/>
      <name val="Arial"/>
    </font>
    <font>
      <sz val="10"/>
      <name val="Arial"/>
      <family val="2"/>
    </font>
    <font>
      <b/>
      <sz val="10"/>
      <color indexed="8"/>
      <name val="Comic Sans MS"/>
      <family val="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9"/>
      <name val="Century Gothic"/>
      <family val="2"/>
    </font>
    <font>
      <sz val="9"/>
      <name val="Century Gothic"/>
      <family val="2"/>
    </font>
    <font>
      <sz val="9"/>
      <color indexed="10"/>
      <name val="Century Gothic"/>
      <family val="2"/>
    </font>
    <font>
      <sz val="7"/>
      <name val="Century Gothic"/>
      <family val="2"/>
    </font>
    <font>
      <b/>
      <sz val="9"/>
      <color indexed="8"/>
      <name val="Century Gothic"/>
      <family val="2"/>
    </font>
    <font>
      <sz val="9"/>
      <color indexed="8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3" fillId="0" borderId="0">
      <protection locked="0"/>
    </xf>
    <xf numFmtId="168" fontId="3" fillId="0" borderId="0">
      <protection locked="0"/>
    </xf>
    <xf numFmtId="170" fontId="4" fillId="0" borderId="0">
      <protection locked="0"/>
    </xf>
    <xf numFmtId="170" fontId="4" fillId="0" borderId="0">
      <protection locked="0"/>
    </xf>
    <xf numFmtId="169" fontId="3" fillId="0" borderId="0">
      <protection locked="0"/>
    </xf>
    <xf numFmtId="4" fontId="1" fillId="0" borderId="0" applyFont="0" applyFill="0" applyBorder="0" applyAlignment="0" applyProtection="0"/>
    <xf numFmtId="170" fontId="3" fillId="0" borderId="1">
      <protection locked="0"/>
    </xf>
  </cellStyleXfs>
  <cellXfs count="118">
    <xf numFmtId="0" fontId="0" fillId="0" borderId="0" xfId="0"/>
    <xf numFmtId="0" fontId="2" fillId="2" borderId="0" xfId="0" applyFont="1" applyFill="1" applyAlignment="1">
      <alignment horizontal="justify" vertical="top" wrapText="1"/>
    </xf>
    <xf numFmtId="0" fontId="2" fillId="2" borderId="4" xfId="0" applyFont="1" applyFill="1" applyBorder="1" applyAlignment="1">
      <alignment horizontal="justify" vertical="top" wrapText="1"/>
    </xf>
    <xf numFmtId="2" fontId="0" fillId="0" borderId="0" xfId="0" applyNumberFormat="1"/>
    <xf numFmtId="165" fontId="0" fillId="0" borderId="0" xfId="0" applyNumberFormat="1"/>
    <xf numFmtId="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1" fontId="0" fillId="0" borderId="0" xfId="0" applyNumberFormat="1"/>
    <xf numFmtId="2" fontId="5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64" fontId="5" fillId="0" borderId="0" xfId="8" applyNumberFormat="1" applyFont="1" applyAlignment="1">
      <alignment vertical="center"/>
    </xf>
    <xf numFmtId="10" fontId="5" fillId="0" borderId="0" xfId="7" applyNumberFormat="1" applyFont="1" applyAlignment="1" applyProtection="1">
      <alignment vertical="center"/>
    </xf>
    <xf numFmtId="2" fontId="6" fillId="0" borderId="0" xfId="0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164" fontId="6" fillId="0" borderId="0" xfId="8" applyNumberFormat="1" applyFont="1" applyAlignment="1">
      <alignment vertical="center"/>
    </xf>
    <xf numFmtId="2" fontId="5" fillId="0" borderId="5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2" fontId="5" fillId="0" borderId="6" xfId="0" applyNumberFormat="1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left" vertical="center"/>
    </xf>
    <xf numFmtId="166" fontId="5" fillId="0" borderId="5" xfId="0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6" fontId="5" fillId="0" borderId="6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vertical="center"/>
    </xf>
    <xf numFmtId="2" fontId="5" fillId="3" borderId="12" xfId="0" applyNumberFormat="1" applyFont="1" applyFill="1" applyBorder="1" applyAlignment="1">
      <alignment horizontal="left" vertical="center"/>
    </xf>
    <xf numFmtId="166" fontId="5" fillId="3" borderId="9" xfId="0" applyNumberFormat="1" applyFont="1" applyFill="1" applyBorder="1" applyAlignment="1">
      <alignment horizontal="center" vertical="center"/>
    </xf>
    <xf numFmtId="4" fontId="5" fillId="3" borderId="7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10" xfId="0" applyNumberFormat="1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2" fontId="5" fillId="0" borderId="2" xfId="0" applyNumberFormat="1" applyFont="1" applyBorder="1" applyAlignment="1">
      <alignment vertical="center"/>
    </xf>
    <xf numFmtId="165" fontId="5" fillId="0" borderId="5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5" fillId="0" borderId="6" xfId="8" applyNumberFormat="1" applyFont="1" applyBorder="1" applyAlignment="1">
      <alignment horizontal="center" vertical="center" readingOrder="1"/>
    </xf>
    <xf numFmtId="2" fontId="6" fillId="0" borderId="2" xfId="0" applyNumberFormat="1" applyFont="1" applyBorder="1" applyAlignment="1">
      <alignment vertical="center"/>
    </xf>
    <xf numFmtId="165" fontId="6" fillId="0" borderId="5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5" fontId="6" fillId="0" borderId="6" xfId="8" applyNumberFormat="1" applyFont="1" applyBorder="1" applyAlignment="1">
      <alignment horizontal="center" vertical="center" readingOrder="1"/>
    </xf>
    <xf numFmtId="2" fontId="7" fillId="0" borderId="2" xfId="0" applyNumberFormat="1" applyFont="1" applyBorder="1" applyAlignment="1">
      <alignment vertical="center"/>
    </xf>
    <xf numFmtId="2" fontId="6" fillId="2" borderId="0" xfId="0" applyNumberFormat="1" applyFont="1" applyFill="1" applyAlignment="1">
      <alignment vertical="center"/>
    </xf>
    <xf numFmtId="2" fontId="6" fillId="0" borderId="13" xfId="0" applyNumberFormat="1" applyFont="1" applyBorder="1" applyAlignment="1">
      <alignment vertical="center"/>
    </xf>
    <xf numFmtId="165" fontId="6" fillId="0" borderId="8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166" fontId="6" fillId="0" borderId="4" xfId="0" applyNumberFormat="1" applyFont="1" applyBorder="1" applyAlignment="1">
      <alignment horizontal="center" vertical="center"/>
    </xf>
    <xf numFmtId="165" fontId="6" fillId="0" borderId="11" xfId="8" applyNumberFormat="1" applyFont="1" applyBorder="1" applyAlignment="1">
      <alignment horizontal="center" vertical="center" readingOrder="1"/>
    </xf>
    <xf numFmtId="2" fontId="8" fillId="2" borderId="0" xfId="0" applyNumberFormat="1" applyFont="1" applyFill="1" applyAlignment="1">
      <alignment vertical="center"/>
    </xf>
    <xf numFmtId="165" fontId="8" fillId="2" borderId="0" xfId="0" applyNumberFormat="1" applyFont="1" applyFill="1" applyAlignment="1">
      <alignment vertical="center"/>
    </xf>
    <xf numFmtId="166" fontId="8" fillId="2" borderId="0" xfId="0" applyNumberFormat="1" applyFont="1" applyFill="1" applyAlignment="1">
      <alignment vertical="center"/>
    </xf>
    <xf numFmtId="4" fontId="8" fillId="2" borderId="0" xfId="0" applyNumberFormat="1" applyFont="1" applyFill="1" applyAlignment="1">
      <alignment vertical="center"/>
    </xf>
    <xf numFmtId="166" fontId="6" fillId="0" borderId="0" xfId="0" applyNumberFormat="1" applyFont="1" applyAlignment="1">
      <alignment vertical="center"/>
    </xf>
    <xf numFmtId="167" fontId="8" fillId="2" borderId="0" xfId="0" applyNumberFormat="1" applyFont="1" applyFill="1" applyAlignment="1">
      <alignment vertical="center"/>
    </xf>
    <xf numFmtId="165" fontId="6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6" fontId="8" fillId="0" borderId="0" xfId="0" applyNumberFormat="1" applyFont="1" applyAlignment="1">
      <alignment vertical="center"/>
    </xf>
    <xf numFmtId="167" fontId="8" fillId="0" borderId="0" xfId="0" applyNumberFormat="1" applyFont="1" applyAlignment="1">
      <alignment vertical="center"/>
    </xf>
    <xf numFmtId="167" fontId="6" fillId="0" borderId="0" xfId="8" applyNumberFormat="1" applyFont="1" applyAlignment="1">
      <alignment vertical="center"/>
    </xf>
    <xf numFmtId="2" fontId="5" fillId="2" borderId="0" xfId="0" applyNumberFormat="1" applyFont="1" applyFill="1" applyAlignment="1">
      <alignment vertical="center"/>
    </xf>
    <xf numFmtId="2" fontId="5" fillId="2" borderId="0" xfId="0" applyNumberFormat="1" applyFont="1" applyFill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2" fontId="5" fillId="0" borderId="5" xfId="0" applyNumberFormat="1" applyFont="1" applyBorder="1" applyAlignment="1">
      <alignment horizontal="left" vertical="center"/>
    </xf>
    <xf numFmtId="2" fontId="5" fillId="0" borderId="6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14" xfId="0" applyNumberFormat="1" applyFont="1" applyBorder="1" applyAlignment="1">
      <alignment horizontal="center" vertical="center"/>
    </xf>
    <xf numFmtId="2" fontId="5" fillId="3" borderId="9" xfId="0" applyNumberFormat="1" applyFont="1" applyFill="1" applyBorder="1" applyAlignment="1">
      <alignment horizontal="left" vertical="center"/>
    </xf>
    <xf numFmtId="2" fontId="5" fillId="3" borderId="9" xfId="0" applyNumberFormat="1" applyFont="1" applyFill="1" applyBorder="1" applyAlignment="1">
      <alignment horizontal="center" vertical="center"/>
    </xf>
    <xf numFmtId="2" fontId="5" fillId="3" borderId="7" xfId="0" applyNumberFormat="1" applyFont="1" applyFill="1" applyBorder="1" applyAlignment="1">
      <alignment horizontal="center" vertical="center"/>
    </xf>
    <xf numFmtId="2" fontId="5" fillId="3" borderId="10" xfId="0" applyNumberFormat="1" applyFont="1" applyFill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vertical="center"/>
    </xf>
    <xf numFmtId="166" fontId="6" fillId="0" borderId="6" xfId="0" applyNumberFormat="1" applyFont="1" applyBorder="1" applyAlignment="1">
      <alignment horizontal="center" vertical="center"/>
    </xf>
    <xf numFmtId="2" fontId="6" fillId="0" borderId="5" xfId="0" applyNumberFormat="1" applyFont="1" applyBorder="1" applyAlignment="1">
      <alignment vertical="center"/>
    </xf>
    <xf numFmtId="2" fontId="6" fillId="0" borderId="8" xfId="0" applyNumberFormat="1" applyFont="1" applyBorder="1" applyAlignment="1">
      <alignment vertical="center"/>
    </xf>
    <xf numFmtId="165" fontId="6" fillId="0" borderId="4" xfId="0" applyNumberFormat="1" applyFont="1" applyBorder="1" applyAlignment="1">
      <alignment horizontal="center" vertical="center"/>
    </xf>
    <xf numFmtId="166" fontId="6" fillId="0" borderId="11" xfId="0" applyNumberFormat="1" applyFont="1" applyBorder="1" applyAlignment="1">
      <alignment horizontal="center" vertical="center"/>
    </xf>
    <xf numFmtId="2" fontId="5" fillId="0" borderId="16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6" xfId="0" applyNumberFormat="1" applyFont="1" applyBorder="1" applyAlignment="1">
      <alignment horizontal="left" vertical="center"/>
    </xf>
    <xf numFmtId="166" fontId="5" fillId="0" borderId="6" xfId="0" applyNumberFormat="1" applyFont="1" applyBorder="1" applyAlignment="1">
      <alignment horizontal="center" vertical="center" readingOrder="1"/>
    </xf>
    <xf numFmtId="2" fontId="6" fillId="0" borderId="5" xfId="0" applyNumberFormat="1" applyFont="1" applyBorder="1" applyAlignment="1">
      <alignment horizontal="left" vertical="center"/>
    </xf>
    <xf numFmtId="166" fontId="6" fillId="0" borderId="6" xfId="0" applyNumberFormat="1" applyFont="1" applyBorder="1" applyAlignment="1">
      <alignment horizontal="center" vertical="center" readingOrder="1"/>
    </xf>
    <xf numFmtId="166" fontId="6" fillId="0" borderId="11" xfId="0" applyNumberFormat="1" applyFont="1" applyBorder="1" applyAlignment="1">
      <alignment horizontal="center" vertical="center" readingOrder="1"/>
    </xf>
    <xf numFmtId="0" fontId="9" fillId="3" borderId="9" xfId="0" applyFont="1" applyFill="1" applyBorder="1" applyAlignment="1">
      <alignment horizontal="justify" vertical="top" wrapText="1"/>
    </xf>
    <xf numFmtId="0" fontId="10" fillId="0" borderId="5" xfId="0" applyFont="1" applyBorder="1" applyAlignment="1">
      <alignment horizontal="justify" vertical="top" wrapText="1"/>
    </xf>
    <xf numFmtId="2" fontId="6" fillId="0" borderId="6" xfId="0" applyNumberFormat="1" applyFont="1" applyBorder="1" applyAlignment="1">
      <alignment vertical="center"/>
    </xf>
    <xf numFmtId="4" fontId="6" fillId="0" borderId="0" xfId="0" applyNumberFormat="1" applyFont="1" applyAlignment="1">
      <alignment horizontal="center" vertical="center"/>
    </xf>
    <xf numFmtId="0" fontId="10" fillId="0" borderId="8" xfId="0" applyFont="1" applyBorder="1" applyAlignment="1">
      <alignment horizontal="justify" vertical="top" wrapText="1"/>
    </xf>
    <xf numFmtId="4" fontId="6" fillId="0" borderId="4" xfId="0" applyNumberFormat="1" applyFont="1" applyBorder="1" applyAlignment="1">
      <alignment horizontal="center" vertical="center"/>
    </xf>
    <xf numFmtId="4" fontId="6" fillId="0" borderId="0" xfId="0" applyNumberFormat="1" applyFont="1" applyAlignment="1">
      <alignment vertical="center"/>
    </xf>
    <xf numFmtId="166" fontId="5" fillId="3" borderId="5" xfId="0" applyNumberFormat="1" applyFont="1" applyFill="1" applyBorder="1" applyAlignment="1">
      <alignment horizontal="center" vertical="center"/>
    </xf>
    <xf numFmtId="166" fontId="5" fillId="3" borderId="0" xfId="0" applyNumberFormat="1" applyFont="1" applyFill="1" applyAlignment="1">
      <alignment horizontal="center" vertical="center"/>
    </xf>
    <xf numFmtId="166" fontId="5" fillId="3" borderId="6" xfId="0" applyNumberFormat="1" applyFont="1" applyFill="1" applyBorder="1" applyAlignment="1">
      <alignment horizontal="center" vertical="center"/>
    </xf>
    <xf numFmtId="2" fontId="5" fillId="3" borderId="9" xfId="0" applyNumberFormat="1" applyFont="1" applyFill="1" applyBorder="1" applyAlignment="1">
      <alignment vertical="center"/>
    </xf>
    <xf numFmtId="4" fontId="5" fillId="3" borderId="0" xfId="0" applyNumberFormat="1" applyFont="1" applyFill="1" applyAlignment="1">
      <alignment horizontal="center" vertical="center"/>
    </xf>
    <xf numFmtId="166" fontId="5" fillId="0" borderId="0" xfId="0" applyNumberFormat="1" applyFont="1" applyAlignment="1">
      <alignment horizontal="center" vertical="center" readingOrder="1"/>
    </xf>
    <xf numFmtId="166" fontId="6" fillId="0" borderId="5" xfId="0" applyNumberFormat="1" applyFont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 readingOrder="1"/>
    </xf>
    <xf numFmtId="166" fontId="6" fillId="0" borderId="5" xfId="0" applyNumberFormat="1" applyFont="1" applyBorder="1" applyAlignment="1">
      <alignment vertical="center"/>
    </xf>
    <xf numFmtId="166" fontId="6" fillId="0" borderId="8" xfId="0" applyNumberFormat="1" applyFont="1" applyBorder="1" applyAlignment="1">
      <alignment horizontal="center" vertical="center"/>
    </xf>
    <xf numFmtId="166" fontId="6" fillId="0" borderId="4" xfId="0" applyNumberFormat="1" applyFont="1" applyBorder="1" applyAlignment="1">
      <alignment horizontal="center" vertical="center" readingOrder="1"/>
    </xf>
    <xf numFmtId="173" fontId="0" fillId="0" borderId="0" xfId="0" applyNumberFormat="1"/>
    <xf numFmtId="4" fontId="5" fillId="0" borderId="0" xfId="0" applyNumberFormat="1" applyFont="1" applyAlignment="1">
      <alignment horizontal="left" vertical="center"/>
    </xf>
    <xf numFmtId="174" fontId="6" fillId="0" borderId="0" xfId="0" applyNumberFormat="1" applyFont="1" applyAlignment="1">
      <alignment vertical="center"/>
    </xf>
    <xf numFmtId="4" fontId="1" fillId="0" borderId="0" xfId="0" applyNumberFormat="1" applyFont="1"/>
    <xf numFmtId="1" fontId="5" fillId="0" borderId="1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" fontId="5" fillId="0" borderId="18" xfId="0" applyNumberFormat="1" applyFont="1" applyBorder="1" applyAlignment="1">
      <alignment horizontal="center" vertical="center"/>
    </xf>
    <xf numFmtId="2" fontId="5" fillId="0" borderId="19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17" xfId="0" applyNumberFormat="1" applyFont="1" applyBorder="1" applyAlignment="1">
      <alignment horizontal="center" vertical="center"/>
    </xf>
    <xf numFmtId="2" fontId="5" fillId="0" borderId="16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</cellXfs>
  <cellStyles count="10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ing1" xfId="5" xr:uid="{00000000-0005-0000-0000-000004000000}"/>
    <cellStyle name="Heading2" xfId="6" xr:uid="{00000000-0005-0000-0000-000005000000}"/>
    <cellStyle name="Normal" xfId="0" builtinId="0"/>
    <cellStyle name="Porcentagem" xfId="7" builtinId="5"/>
    <cellStyle name="Total" xfId="9" builtinId="25" customBuiltin="1"/>
    <cellStyle name="Vírgula" xfId="8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25" b="1" i="0" u="none" strike="noStrike" baseline="0">
                <a:solidFill>
                  <a:srgbClr val="000000"/>
                </a:solidFill>
                <a:latin typeface="Comic Sans MS"/>
                <a:ea typeface="Comic Sans MS"/>
                <a:cs typeface="Comic Sans MS"/>
              </a:defRPr>
            </a:pPr>
            <a:r>
              <a:rPr lang="pt-BR"/>
              <a:t>2004 - Maiores Tributos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350" b="0" i="0" u="none" strike="noStrike" baseline="0">
                    <a:solidFill>
                      <a:srgbClr val="000000"/>
                    </a:solidFill>
                    <a:latin typeface="Comic Sans MS"/>
                    <a:ea typeface="Comic Sans MS"/>
                    <a:cs typeface="Comic Sans M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'PRINCIPAIS TRIBUTOS'!#REF!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'PRINCIPAIS TRIBUTOS'!#REF!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4F3-4E60-91EF-DBA7269EA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Comic Sans MS"/>
          <a:ea typeface="Comic Sans MS"/>
          <a:cs typeface="Comic Sans MS"/>
        </a:defRPr>
      </a:pPr>
      <a:endParaRPr lang="pt-BR"/>
    </a:p>
  </c:txPr>
  <c:printSettings>
    <c:headerFooter alignWithMargins="0"/>
    <c:pageMargins b="1" l="0.75000000000000289" r="0.75000000000000289" t="1" header="0.49212598500000243" footer="0.4921259850000024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 sz="1400"/>
              <a:t>Evolução da Carga Tributária Bruta % do PIB - 2000/2024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0487901341099487E-2"/>
          <c:y val="0.26935226054489669"/>
          <c:w val="0.94668104843058998"/>
          <c:h val="0.5998678052567372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54E-408A-B022-1ED825F7B546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F2E-4DE4-B23E-9321B7B29C72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5A42-43B2-8727-E4DB0AC3A5EC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6BC-4B41-BCF2-E79093B18B06}"/>
              </c:ext>
            </c:extLst>
          </c:dPt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Gráficos!$B$1:$B$25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 formatCode="0">
                  <c:v>2003</c:v>
                </c:pt>
                <c:pt idx="4" formatCode="0">
                  <c:v>2004</c:v>
                </c:pt>
                <c:pt idx="5" formatCode="0">
                  <c:v>2005</c:v>
                </c:pt>
                <c:pt idx="6" formatCode="0">
                  <c:v>2006</c:v>
                </c:pt>
                <c:pt idx="7" formatCode="0">
                  <c:v>2007</c:v>
                </c:pt>
                <c:pt idx="8" formatCode="0">
                  <c:v>2008</c:v>
                </c:pt>
                <c:pt idx="9" formatCode="0">
                  <c:v>2009</c:v>
                </c:pt>
                <c:pt idx="10" formatCode="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Gráficos!$C$1:$C$25</c:f>
              <c:numCache>
                <c:formatCode>0.0</c:formatCode>
                <c:ptCount val="25"/>
                <c:pt idx="0">
                  <c:v>30.559889269813521</c:v>
                </c:pt>
                <c:pt idx="1">
                  <c:v>32.045983828851256</c:v>
                </c:pt>
                <c:pt idx="2">
                  <c:v>33.277077935574638</c:v>
                </c:pt>
                <c:pt idx="3">
                  <c:v>32.597856014490397</c:v>
                </c:pt>
                <c:pt idx="4">
                  <c:v>33.622915121457012</c:v>
                </c:pt>
                <c:pt idx="5">
                  <c:v>34.745669537215804</c:v>
                </c:pt>
                <c:pt idx="6">
                  <c:v>34.428428340282451</c:v>
                </c:pt>
                <c:pt idx="7">
                  <c:v>34.585607293237032</c:v>
                </c:pt>
                <c:pt idx="8">
                  <c:v>34.757374894383254</c:v>
                </c:pt>
                <c:pt idx="9">
                  <c:v>33.164150664869538</c:v>
                </c:pt>
                <c:pt idx="10">
                  <c:v>33.232448048211062</c:v>
                </c:pt>
                <c:pt idx="11">
                  <c:v>34.08303799681736</c:v>
                </c:pt>
                <c:pt idx="12">
                  <c:v>34.022695627383506</c:v>
                </c:pt>
                <c:pt idx="13">
                  <c:v>33.61541913133474</c:v>
                </c:pt>
                <c:pt idx="14">
                  <c:v>32.87414304000847</c:v>
                </c:pt>
                <c:pt idx="15">
                  <c:v>32.840242584891008</c:v>
                </c:pt>
                <c:pt idx="16" formatCode="0.00">
                  <c:v>33.286871761527955</c:v>
                </c:pt>
                <c:pt idx="17" formatCode="#,##0.00">
                  <c:v>33.620038864061399</c:v>
                </c:pt>
                <c:pt idx="18" formatCode="#,##0.00">
                  <c:v>34.442428194944114</c:v>
                </c:pt>
                <c:pt idx="19" formatCode="0.00">
                  <c:v>33.791853051748255</c:v>
                </c:pt>
                <c:pt idx="20" formatCode="0.00">
                  <c:v>32.216651426953014</c:v>
                </c:pt>
                <c:pt idx="21" formatCode="0.00">
                  <c:v>34.397792094454971</c:v>
                </c:pt>
                <c:pt idx="22" formatCode="#,##0.00">
                  <c:v>34.906842604823694</c:v>
                </c:pt>
                <c:pt idx="23" formatCode="#,##0.00">
                  <c:v>34.577981984922566</c:v>
                </c:pt>
                <c:pt idx="24" formatCode="#,##0.00">
                  <c:v>35.949992374639557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F1-43B2-8345-99E3AD351DE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17499776"/>
        <c:axId val="117573120"/>
      </c:barChart>
      <c:catAx>
        <c:axId val="11749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573120"/>
        <c:crosses val="autoZero"/>
        <c:auto val="1"/>
        <c:lblAlgn val="ctr"/>
        <c:lblOffset val="100"/>
        <c:noMultiLvlLbl val="0"/>
      </c:catAx>
      <c:valAx>
        <c:axId val="117573120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one"/>
        <c:crossAx val="11749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141" footer="0.31496062000000141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400"/>
              <a:t>Participação da Arrecadação Direta da União sobre a Arrecadação Total - 2000/2024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Gráficos!$E$31:$E$55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Gráficos!$G$31:$G$55</c:f>
              <c:numCache>
                <c:formatCode>0.0</c:formatCode>
                <c:ptCount val="25"/>
                <c:pt idx="0">
                  <c:v>66.685338583693067</c:v>
                </c:pt>
                <c:pt idx="1">
                  <c:v>66.876788253295388</c:v>
                </c:pt>
                <c:pt idx="2">
                  <c:v>68.048054537314101</c:v>
                </c:pt>
                <c:pt idx="3">
                  <c:v>67.319970522339503</c:v>
                </c:pt>
                <c:pt idx="4">
                  <c:v>67.366786225040798</c:v>
                </c:pt>
                <c:pt idx="5">
                  <c:v>68.389631401147824</c:v>
                </c:pt>
                <c:pt idx="6">
                  <c:v>68.061746893989337</c:v>
                </c:pt>
                <c:pt idx="7">
                  <c:v>68.7268616542122</c:v>
                </c:pt>
                <c:pt idx="8">
                  <c:v>68.345888926689781</c:v>
                </c:pt>
                <c:pt idx="9">
                  <c:v>67.473690257645799</c:v>
                </c:pt>
                <c:pt idx="10">
                  <c:v>67.272904744994506</c:v>
                </c:pt>
                <c:pt idx="11">
                  <c:v>68.182113755689954</c:v>
                </c:pt>
                <c:pt idx="12">
                  <c:v>67.83148798312638</c:v>
                </c:pt>
                <c:pt idx="13">
                  <c:v>67.423076228574928</c:v>
                </c:pt>
                <c:pt idx="14">
                  <c:v>66.649409189616733</c:v>
                </c:pt>
                <c:pt idx="15">
                  <c:v>65.977824460458137</c:v>
                </c:pt>
                <c:pt idx="16">
                  <c:v>65.888891895195783</c:v>
                </c:pt>
                <c:pt idx="17">
                  <c:v>65.341941150978826</c:v>
                </c:pt>
                <c:pt idx="18">
                  <c:v>65.344418060401154</c:v>
                </c:pt>
                <c:pt idx="19">
                  <c:v>64.504258937981263</c:v>
                </c:pt>
                <c:pt idx="20">
                  <c:v>62.886457279935421</c:v>
                </c:pt>
                <c:pt idx="21">
                  <c:v>64.105308858639546</c:v>
                </c:pt>
                <c:pt idx="22">
                  <c:v>65.162002476674417</c:v>
                </c:pt>
                <c:pt idx="23">
                  <c:v>65.282527642806031</c:v>
                </c:pt>
                <c:pt idx="24">
                  <c:v>64.781385785364847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2-47EC-AC36-24FE14F216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95381231"/>
        <c:axId val="895386639"/>
      </c:barChart>
      <c:catAx>
        <c:axId val="89538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5386639"/>
        <c:crosses val="autoZero"/>
        <c:auto val="1"/>
        <c:lblAlgn val="ctr"/>
        <c:lblOffset val="100"/>
        <c:noMultiLvlLbl val="0"/>
      </c:catAx>
      <c:valAx>
        <c:axId val="895386639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89538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400"/>
              <a:t>Participação da Receita Disponível da União sobre a Arrecadação Total - 2000/2024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Gráficos!$E$31:$E$55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Gráficos!$H$31:$H$55</c:f>
              <c:numCache>
                <c:formatCode>0.0</c:formatCode>
                <c:ptCount val="25"/>
                <c:pt idx="0">
                  <c:v>55.861526945797948</c:v>
                </c:pt>
                <c:pt idx="1">
                  <c:v>56.020326197375361</c:v>
                </c:pt>
                <c:pt idx="2">
                  <c:v>56.783908428245155</c:v>
                </c:pt>
                <c:pt idx="3">
                  <c:v>56.647703974161409</c:v>
                </c:pt>
                <c:pt idx="4">
                  <c:v>57.110570364978727</c:v>
                </c:pt>
                <c:pt idx="5">
                  <c:v>57.314121086590099</c:v>
                </c:pt>
                <c:pt idx="6">
                  <c:v>56.906783447227184</c:v>
                </c:pt>
                <c:pt idx="7">
                  <c:v>57.588313163199814</c:v>
                </c:pt>
                <c:pt idx="8">
                  <c:v>56.462587006245869</c:v>
                </c:pt>
                <c:pt idx="9">
                  <c:v>55.9839874742744</c:v>
                </c:pt>
                <c:pt idx="10">
                  <c:v>56.462840218249788</c:v>
                </c:pt>
                <c:pt idx="11">
                  <c:v>56.722578503408528</c:v>
                </c:pt>
                <c:pt idx="12">
                  <c:v>57.33063771179242</c:v>
                </c:pt>
                <c:pt idx="13">
                  <c:v>56.917231906223201</c:v>
                </c:pt>
                <c:pt idx="14">
                  <c:v>55.685572290411734</c:v>
                </c:pt>
                <c:pt idx="15">
                  <c:v>55.148591291582747</c:v>
                </c:pt>
                <c:pt idx="16">
                  <c:v>54.599957783623978</c:v>
                </c:pt>
                <c:pt idx="17">
                  <c:v>54.665625981301183</c:v>
                </c:pt>
                <c:pt idx="18">
                  <c:v>54.333946222922044</c:v>
                </c:pt>
                <c:pt idx="19">
                  <c:v>53.3680098034502</c:v>
                </c:pt>
                <c:pt idx="20">
                  <c:v>49.309220633959214</c:v>
                </c:pt>
                <c:pt idx="21">
                  <c:v>52.217695206652003</c:v>
                </c:pt>
                <c:pt idx="22">
                  <c:v>51.91639991748972</c:v>
                </c:pt>
                <c:pt idx="23">
                  <c:v>52.053345849798852</c:v>
                </c:pt>
                <c:pt idx="24">
                  <c:v>51.55041486635843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6-407F-9FBD-DDDAA591B2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95381231"/>
        <c:axId val="895386639"/>
      </c:barChart>
      <c:catAx>
        <c:axId val="89538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5386639"/>
        <c:crosses val="autoZero"/>
        <c:auto val="1"/>
        <c:lblAlgn val="ctr"/>
        <c:lblOffset val="100"/>
        <c:noMultiLvlLbl val="0"/>
      </c:catAx>
      <c:valAx>
        <c:axId val="895386639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89538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352425</xdr:colOff>
      <xdr:row>27</xdr:row>
      <xdr:rowOff>0</xdr:rowOff>
    </xdr:from>
    <xdr:to>
      <xdr:col>50</xdr:col>
      <xdr:colOff>619125</xdr:colOff>
      <xdr:row>27</xdr:row>
      <xdr:rowOff>0</xdr:rowOff>
    </xdr:to>
    <xdr:graphicFrame macro="">
      <xdr:nvGraphicFramePr>
        <xdr:cNvPr id="1104" name="Chart 1">
          <a:extLst>
            <a:ext uri="{FF2B5EF4-FFF2-40B4-BE49-F238E27FC236}">
              <a16:creationId xmlns:a16="http://schemas.microsoft.com/office/drawing/2014/main" id="{00000000-0008-0000-0200-000050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328612</xdr:colOff>
      <xdr:row>1</xdr:row>
      <xdr:rowOff>38100</xdr:rowOff>
    </xdr:from>
    <xdr:to>
      <xdr:col>25</xdr:col>
      <xdr:colOff>402430</xdr:colOff>
      <xdr:row>22</xdr:row>
      <xdr:rowOff>14288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552450</xdr:colOff>
      <xdr:row>0</xdr:row>
      <xdr:rowOff>130969</xdr:rowOff>
    </xdr:from>
    <xdr:to>
      <xdr:col>15</xdr:col>
      <xdr:colOff>438150</xdr:colOff>
      <xdr:row>22</xdr:row>
      <xdr:rowOff>83344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781E07-7F05-4C61-9A59-BA2D68D97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42862</xdr:colOff>
      <xdr:row>24</xdr:row>
      <xdr:rowOff>109538</xdr:rowOff>
    </xdr:from>
    <xdr:to>
      <xdr:col>21</xdr:col>
      <xdr:colOff>159543</xdr:colOff>
      <xdr:row>46</xdr:row>
      <xdr:rowOff>61914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05155F6-E3A5-4B71-8E36-0EB391B09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0.87329</cdr:x>
      <cdr:y>0.10986</cdr:y>
    </cdr:from>
    <cdr:to>
      <cdr:x>0.9726</cdr:x>
      <cdr:y>0.23662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BEA1E6D2-79E6-41B3-BC7C-5A10871EBF81}"/>
            </a:ext>
          </a:extLst>
        </cdr:cNvPr>
        <cdr:cNvSpPr txBox="1"/>
      </cdr:nvSpPr>
      <cdr:spPr>
        <a:xfrm xmlns:a="http://schemas.openxmlformats.org/drawingml/2006/main">
          <a:off x="4857750" y="371476"/>
          <a:ext cx="552450" cy="428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I1\Meus%20documentos\AFE\ASSUNTOS\FISCAL\DESCEN\PROPRIA\CARG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TB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TB200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TB200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TB200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TB2004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TB200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TB2006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TB2007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TB2008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TB2009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CTB201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CTB201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CTB201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CTB2013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TB2014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TB201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TB201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CTB2017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CTB2018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CTB2019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a9ff083dff33069/Trabalho/Finance/AD-CTB/CTB2020.xlsx" TargetMode="External"/><Relationship Id="rId1" Type="http://schemas.openxmlformats.org/officeDocument/2006/relationships/externalLinkPath" Target="CTB2020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a9ff083dff33069/Trabalho/Finance/AD-CTB/CTB2021.xlsx" TargetMode="External"/><Relationship Id="rId1" Type="http://schemas.openxmlformats.org/officeDocument/2006/relationships/externalLinkPath" Target="CTB2021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leber.castro\Documents\FNP\Dados\AD-CTB\CTB2022.xlsx" TargetMode="External"/><Relationship Id="rId1" Type="http://schemas.openxmlformats.org/officeDocument/2006/relationships/externalLinkPath" Target="CTB2022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a9ff083dff33069/Trabalho/Finance/AD-CTB/CTB2023.xlsx" TargetMode="External"/><Relationship Id="rId1" Type="http://schemas.openxmlformats.org/officeDocument/2006/relationships/externalLinkPath" Target="CTB2023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a9ff083dff33069/Trabalho/Finance/AD-CTB/CTB2024.xlsx" TargetMode="External"/><Relationship Id="rId1" Type="http://schemas.openxmlformats.org/officeDocument/2006/relationships/externalLinkPath" Target="CTB2024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Estimativa%20-%20Antigos/CTB2018%20-%20Estimativ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2"/>
      <sheetName val="Gráfico3"/>
      <sheetName val="PROPRIO98"/>
      <sheetName val="PROPRIO97"/>
      <sheetName val="PROPRIO96"/>
      <sheetName val="IBGE95"/>
      <sheetName val="PROPRIO95"/>
      <sheetName val="IBGE94"/>
      <sheetName val="PROPRIO94"/>
      <sheetName val="DIRIND"/>
      <sheetName val="INTERNAC"/>
      <sheetName val="G96-MAIORES"/>
      <sheetName val="G96-BASE"/>
      <sheetName val="maiores"/>
      <sheetName val="basecal"/>
      <sheetName val="velho94"/>
      <sheetName val="Gr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GOVDetalhado"/>
      <sheetName val="AD ESFERA"/>
      <sheetName val="PRINCIPAIS TRIBUTOS"/>
      <sheetName val="Bases de Incidência"/>
      <sheetName val="RD ESFERA"/>
      <sheetName val="Impostos"/>
      <sheetName val="Contribuições"/>
      <sheetName val="Multas"/>
      <sheetName val="Estados"/>
      <sheetName val="Municipios"/>
      <sheetName val="Transferencias"/>
    </sheetNames>
    <sheetDataSet>
      <sheetData sheetId="0">
        <row r="5">
          <cell r="B5">
            <v>1202.3772157699991</v>
          </cell>
          <cell r="C5"/>
          <cell r="D5"/>
          <cell r="E5"/>
        </row>
        <row r="6">
          <cell r="B6">
            <v>173448346</v>
          </cell>
          <cell r="C6"/>
          <cell r="D6"/>
          <cell r="E6"/>
        </row>
        <row r="7">
          <cell r="B7">
            <v>367.44514574477847</v>
          </cell>
          <cell r="C7">
            <v>30.559889269813524</v>
          </cell>
          <cell r="D7">
            <v>99.999999999999986</v>
          </cell>
          <cell r="E7">
            <v>2118.4701625507482</v>
          </cell>
        </row>
        <row r="8">
          <cell r="B8"/>
          <cell r="C8"/>
          <cell r="D8"/>
          <cell r="E8">
            <v>0</v>
          </cell>
        </row>
        <row r="9">
          <cell r="B9">
            <v>245.03203954924996</v>
          </cell>
          <cell r="C9">
            <v>20.378965630376836</v>
          </cell>
          <cell r="D9">
            <v>66.685338583693053</v>
          </cell>
          <cell r="E9">
            <v>1412.7090006914796</v>
          </cell>
        </row>
        <row r="10">
          <cell r="B10">
            <v>48.051029648749996</v>
          </cell>
          <cell r="C10">
            <v>3.996335677234057</v>
          </cell>
          <cell r="D10">
            <v>13.077062033668954</v>
          </cell>
          <cell r="E10">
            <v>277.03365732152901</v>
          </cell>
        </row>
        <row r="11">
          <cell r="B11">
            <v>17.553938179349998</v>
          </cell>
          <cell r="C11">
            <v>1.4599360291527566</v>
          </cell>
          <cell r="D11">
            <v>4.7772948922130212</v>
          </cell>
          <cell r="E11">
            <v>101.20556686859382</v>
          </cell>
        </row>
        <row r="12">
          <cell r="B12">
            <v>3.09098993904</v>
          </cell>
          <cell r="C12">
            <v>0.25707322947404143</v>
          </cell>
          <cell r="D12">
            <v>0.84121125964933874</v>
          </cell>
          <cell r="E12">
            <v>17.820809539688547</v>
          </cell>
        </row>
        <row r="13">
          <cell r="B13">
            <v>8.4307441880700011</v>
          </cell>
          <cell r="C13">
            <v>0.70117298277903373</v>
          </cell>
          <cell r="D13">
            <v>2.2944225242060643</v>
          </cell>
          <cell r="E13">
            <v>48.60665657814922</v>
          </cell>
        </row>
        <row r="14">
          <cell r="B14">
            <v>0.23082787163999999</v>
          </cell>
          <cell r="C14">
            <v>1.9197625222146148E-2</v>
          </cell>
          <cell r="D14">
            <v>6.2819681879898684E-2</v>
          </cell>
          <cell r="E14">
            <v>1.3308162168349531</v>
          </cell>
        </row>
        <row r="15">
          <cell r="B15">
            <v>1.3282668436700005</v>
          </cell>
          <cell r="C15">
            <v>0.11047006099657186</v>
          </cell>
          <cell r="D15">
            <v>0.36148711149189955</v>
          </cell>
          <cell r="E15">
            <v>7.6579965984224518</v>
          </cell>
        </row>
        <row r="16">
          <cell r="B16">
            <v>55.712837299949996</v>
          </cell>
          <cell r="C16">
            <v>4.6335573037511066</v>
          </cell>
          <cell r="D16">
            <v>15.162218890393842</v>
          </cell>
          <cell r="E16">
            <v>321.20708317362681</v>
          </cell>
        </row>
        <row r="17">
          <cell r="B17">
            <v>38.634038693969998</v>
          </cell>
          <cell r="C17">
            <v>3.2131379559807169</v>
          </cell>
          <cell r="D17">
            <v>10.514232979091954</v>
          </cell>
          <cell r="E17">
            <v>222.74088848313377</v>
          </cell>
        </row>
        <row r="18">
          <cell r="B18">
            <v>14.39656139303</v>
          </cell>
          <cell r="C18">
            <v>1.1973415001722634</v>
          </cell>
          <cell r="D18">
            <v>3.9180164875629129</v>
          </cell>
          <cell r="E18">
            <v>83.002010252839199</v>
          </cell>
        </row>
        <row r="19">
          <cell r="B19">
            <v>8.6657558989200005</v>
          </cell>
          <cell r="C19">
            <v>0.72071857194752931</v>
          </cell>
          <cell r="D19">
            <v>2.3583808356905314</v>
          </cell>
          <cell r="E19">
            <v>49.961594323418915</v>
          </cell>
        </row>
        <row r="20">
          <cell r="B20">
            <v>9.4840235188800008</v>
          </cell>
          <cell r="C20">
            <v>0.7887727241077549</v>
          </cell>
          <cell r="D20">
            <v>2.5810719310651744</v>
          </cell>
          <cell r="E20">
            <v>54.679238733588157</v>
          </cell>
        </row>
        <row r="21">
          <cell r="B21">
            <v>3.5156900520500005</v>
          </cell>
          <cell r="C21">
            <v>0.29239493279973394</v>
          </cell>
          <cell r="D21">
            <v>0.95679316838544992</v>
          </cell>
          <cell r="E21">
            <v>20.269377789569702</v>
          </cell>
        </row>
        <row r="22">
          <cell r="B22">
            <v>1.9865571365900001</v>
          </cell>
          <cell r="C22">
            <v>0.16521912678774558</v>
          </cell>
          <cell r="D22">
            <v>0.54064046282702305</v>
          </cell>
          <cell r="E22">
            <v>11.453306891666756</v>
          </cell>
        </row>
        <row r="23">
          <cell r="B23">
            <v>18.708530527099995</v>
          </cell>
          <cell r="C23">
            <v>1.5559618297589832</v>
          </cell>
          <cell r="D23">
            <v>5.0915165824764053</v>
          </cell>
          <cell r="E23">
            <v>107.86225962108624</v>
          </cell>
        </row>
        <row r="24">
          <cell r="B24">
            <v>5.0225552739000001</v>
          </cell>
          <cell r="C24">
            <v>0.41771876645912404</v>
          </cell>
          <cell r="D24">
            <v>1.3668857330309068</v>
          </cell>
          <cell r="E24">
            <v>28.957066410422851</v>
          </cell>
        </row>
        <row r="25">
          <cell r="B25">
            <v>2.72882601366</v>
          </cell>
          <cell r="C25">
            <v>0.22695257177777337</v>
          </cell>
          <cell r="D25">
            <v>0.74264854094858512</v>
          </cell>
          <cell r="E25">
            <v>15.732787752614255</v>
          </cell>
        </row>
        <row r="26">
          <cell r="B26">
            <v>2.6</v>
          </cell>
          <cell r="C26">
            <v>0.21623829576103262</v>
          </cell>
          <cell r="D26">
            <v>0.70758861019378327</v>
          </cell>
          <cell r="E26">
            <v>14.990053580562826</v>
          </cell>
        </row>
        <row r="27">
          <cell r="B27">
            <v>4.8908670706799988</v>
          </cell>
          <cell r="C27">
            <v>0.40676644621446034</v>
          </cell>
          <cell r="D27">
            <v>1.3310468589173079</v>
          </cell>
          <cell r="E27">
            <v>28.197830555732128</v>
          </cell>
        </row>
        <row r="28">
          <cell r="B28"/>
          <cell r="C28"/>
          <cell r="D28"/>
          <cell r="E28">
            <v>0</v>
          </cell>
        </row>
        <row r="29">
          <cell r="B29">
            <v>101.55271394799999</v>
          </cell>
          <cell r="C29">
            <v>8.4459945361627575</v>
          </cell>
          <cell r="D29">
            <v>27.637516816873905</v>
          </cell>
          <cell r="E29">
            <v>585.49254743541906</v>
          </cell>
        </row>
        <row r="30">
          <cell r="B30">
            <v>82.274923999999999</v>
          </cell>
          <cell r="C30">
            <v>6.8426882113955703</v>
          </cell>
          <cell r="D30">
            <v>22.39107658729198</v>
          </cell>
          <cell r="E30">
            <v>474.34827657566711</v>
          </cell>
        </row>
        <row r="31">
          <cell r="B31">
            <v>5.2968909999999996</v>
          </cell>
          <cell r="C31">
            <v>0.44053487795075069</v>
          </cell>
          <cell r="D31">
            <v>1.4415460542453689</v>
          </cell>
          <cell r="E31">
            <v>30.538723038615775</v>
          </cell>
        </row>
        <row r="32">
          <cell r="B32">
            <v>0.32886900000000002</v>
          </cell>
          <cell r="C32">
            <v>2.7351566187936556E-2</v>
          </cell>
          <cell r="D32">
            <v>8.9501522556084359E-2</v>
          </cell>
          <cell r="E32">
            <v>1.8960630503792755</v>
          </cell>
        </row>
        <row r="33">
          <cell r="B33">
            <v>4.1310000000000002</v>
          </cell>
          <cell r="C33">
            <v>0.34356938453416375</v>
          </cell>
          <cell r="D33">
            <v>1.1242494418117379</v>
          </cell>
          <cell r="E33">
            <v>23.816888977425013</v>
          </cell>
        </row>
        <row r="34">
          <cell r="B34">
            <v>2.8766319999999999</v>
          </cell>
          <cell r="C34">
            <v>0.23924538508140414</v>
          </cell>
          <cell r="D34">
            <v>0.78287386112267809</v>
          </cell>
          <cell r="E34">
            <v>16.584949158292925</v>
          </cell>
        </row>
        <row r="35">
          <cell r="B35">
            <v>1.2783230000000001</v>
          </cell>
          <cell r="C35">
            <v>0.10631630267389634</v>
          </cell>
          <cell r="D35">
            <v>0.34789492113413367</v>
          </cell>
          <cell r="E35">
            <v>7.3700501012560826</v>
          </cell>
        </row>
        <row r="36">
          <cell r="B36">
            <v>3.1446519999999998</v>
          </cell>
          <cell r="C36">
            <v>0.2615362266313549</v>
          </cell>
          <cell r="D36">
            <v>0.85581536085503873</v>
          </cell>
          <cell r="E36">
            <v>18.130193066240022</v>
          </cell>
        </row>
        <row r="37">
          <cell r="B37">
            <v>2.2214229479999998</v>
          </cell>
          <cell r="C37">
            <v>0.18475258170768036</v>
          </cell>
          <cell r="D37">
            <v>0.60455906785688329</v>
          </cell>
          <cell r="E37">
            <v>12.807403467543011</v>
          </cell>
        </row>
        <row r="38">
          <cell r="B38"/>
          <cell r="C38"/>
          <cell r="D38"/>
          <cell r="E38">
            <v>0</v>
          </cell>
        </row>
        <row r="39">
          <cell r="B39">
            <v>20.860392247528498</v>
          </cell>
          <cell r="C39">
            <v>1.7349291032739307</v>
          </cell>
          <cell r="D39">
            <v>5.6771445994330243</v>
          </cell>
          <cell r="E39">
            <v>120.26861442384985</v>
          </cell>
        </row>
        <row r="40">
          <cell r="B40">
            <v>6.7093918960699988</v>
          </cell>
          <cell r="C40">
            <v>0.55801056507656144</v>
          </cell>
          <cell r="D40">
            <v>1.8259574180713853</v>
          </cell>
          <cell r="E40">
            <v>38.682363082724343</v>
          </cell>
        </row>
        <row r="41">
          <cell r="B41">
            <v>5.5586584232500007</v>
          </cell>
          <cell r="C41">
            <v>0.46230570160049578</v>
          </cell>
          <cell r="D41">
            <v>1.512785918557475</v>
          </cell>
          <cell r="E41">
            <v>32.047918307909384</v>
          </cell>
        </row>
        <row r="42">
          <cell r="B42">
            <v>1.13592244914</v>
          </cell>
          <cell r="C42">
            <v>9.4473051737973782E-2</v>
          </cell>
          <cell r="D42">
            <v>0.30914068733649658</v>
          </cell>
          <cell r="E42">
            <v>6.5490532215279806</v>
          </cell>
        </row>
        <row r="43">
          <cell r="B43">
            <v>1.3827698054499997</v>
          </cell>
          <cell r="C43">
            <v>0.11500299467704714</v>
          </cell>
          <cell r="D43">
            <v>0.37632006340626667</v>
          </cell>
          <cell r="E43">
            <v>7.9722282589538205</v>
          </cell>
        </row>
        <row r="44">
          <cell r="B44">
            <v>2.22635683711</v>
          </cell>
          <cell r="C44">
            <v>0.18516292623561129</v>
          </cell>
          <cell r="D44">
            <v>0.60590182314080465</v>
          </cell>
          <cell r="E44">
            <v>12.835849337588957</v>
          </cell>
        </row>
        <row r="45">
          <cell r="B45">
            <v>0.82276426761999988</v>
          </cell>
          <cell r="C45">
            <v>6.8428131939701126E-2</v>
          </cell>
          <cell r="D45">
            <v>0.22391485563166988</v>
          </cell>
          <cell r="E45">
            <v>4.7435694060755118</v>
          </cell>
        </row>
        <row r="46">
          <cell r="B46">
            <v>0.44854757807999995</v>
          </cell>
          <cell r="C46">
            <v>3.7305063019906888E-2</v>
          </cell>
          <cell r="D46">
            <v>0.12207198360746718</v>
          </cell>
          <cell r="E46">
            <v>2.5860585495580333</v>
          </cell>
        </row>
        <row r="47">
          <cell r="B47">
            <v>2.5759809908084996</v>
          </cell>
          <cell r="C47">
            <v>0.21424066898663316</v>
          </cell>
          <cell r="D47">
            <v>0.70105184968145806</v>
          </cell>
          <cell r="E47">
            <v>14.851574259511819</v>
          </cell>
        </row>
      </sheetData>
      <sheetData sheetId="1">
        <row r="5">
          <cell r="B5">
            <v>1202.3772157699991</v>
          </cell>
          <cell r="C5"/>
          <cell r="D5"/>
        </row>
        <row r="6">
          <cell r="B6">
            <v>173448346</v>
          </cell>
          <cell r="C6"/>
          <cell r="D6"/>
        </row>
        <row r="7">
          <cell r="B7">
            <v>367.44514574477853</v>
          </cell>
          <cell r="C7">
            <v>30.559889269813521</v>
          </cell>
          <cell r="D7">
            <v>100</v>
          </cell>
          <cell r="E7">
            <v>2118.4701625507487</v>
          </cell>
        </row>
        <row r="8">
          <cell r="B8"/>
          <cell r="C8"/>
          <cell r="D8"/>
          <cell r="E8">
            <v>0</v>
          </cell>
        </row>
        <row r="9">
          <cell r="B9">
            <v>245.03203954924999</v>
          </cell>
          <cell r="C9">
            <v>20.378965630376833</v>
          </cell>
          <cell r="D9">
            <v>66.685338583693067</v>
          </cell>
          <cell r="E9">
            <v>1412.7090006914796</v>
          </cell>
        </row>
        <row r="10">
          <cell r="B10">
            <v>77.357529826849998</v>
          </cell>
          <cell r="C10">
            <v>6.4337155438620357</v>
          </cell>
          <cell r="D10">
            <v>21.052810391617282</v>
          </cell>
          <cell r="E10">
            <v>445.99750652479554</v>
          </cell>
        </row>
        <row r="11">
          <cell r="B11">
            <v>82.011452707099977</v>
          </cell>
          <cell r="C11">
            <v>6.820775679334548</v>
          </cell>
          <cell r="D11">
            <v>22.319373015765407</v>
          </cell>
          <cell r="E11">
            <v>472.82925780739345</v>
          </cell>
        </row>
        <row r="12">
          <cell r="B12">
            <v>55.712837299949996</v>
          </cell>
          <cell r="C12">
            <v>4.6335573037511066</v>
          </cell>
          <cell r="D12">
            <v>15.162218890393842</v>
          </cell>
          <cell r="E12">
            <v>321.20708317362681</v>
          </cell>
        </row>
        <row r="13">
          <cell r="B13">
            <v>18.708530527099995</v>
          </cell>
          <cell r="C13">
            <v>1.5559618297589832</v>
          </cell>
          <cell r="D13">
            <v>5.0915165824764061</v>
          </cell>
          <cell r="E13">
            <v>107.86225962108624</v>
          </cell>
        </row>
        <row r="14">
          <cell r="B14">
            <v>11.24168918825</v>
          </cell>
          <cell r="C14">
            <v>0.93495527367015618</v>
          </cell>
          <cell r="D14">
            <v>3.0594197034401147</v>
          </cell>
          <cell r="E14">
            <v>64.812893564577436</v>
          </cell>
        </row>
        <row r="15">
          <cell r="B15"/>
          <cell r="C15"/>
          <cell r="D15"/>
          <cell r="E15">
            <v>0</v>
          </cell>
        </row>
        <row r="16">
          <cell r="B16">
            <v>101.552713948</v>
          </cell>
          <cell r="C16">
            <v>8.4459945361627575</v>
          </cell>
          <cell r="D16">
            <v>27.637516816873909</v>
          </cell>
          <cell r="E16">
            <v>585.49254743541917</v>
          </cell>
        </row>
        <row r="17">
          <cell r="B17">
            <v>82.274923999999999</v>
          </cell>
          <cell r="C17">
            <v>6.8426882113955703</v>
          </cell>
          <cell r="D17">
            <v>22.391076587291984</v>
          </cell>
          <cell r="E17">
            <v>474.34827657566711</v>
          </cell>
        </row>
        <row r="18">
          <cell r="B18">
            <v>5.2968909999999996</v>
          </cell>
          <cell r="C18">
            <v>0.44053487795075069</v>
          </cell>
          <cell r="D18">
            <v>1.4415460542453689</v>
          </cell>
          <cell r="E18">
            <v>30.538723038615775</v>
          </cell>
        </row>
        <row r="19">
          <cell r="B19">
            <v>13.980898948</v>
          </cell>
          <cell r="C19">
            <v>1.1627714468164361</v>
          </cell>
          <cell r="D19">
            <v>3.8048941753365568</v>
          </cell>
          <cell r="E19">
            <v>80.605547821136327</v>
          </cell>
        </row>
        <row r="20">
          <cell r="B20"/>
          <cell r="C20"/>
          <cell r="D20"/>
          <cell r="E20">
            <v>0</v>
          </cell>
        </row>
        <row r="21">
          <cell r="B21">
            <v>20.860392247528502</v>
          </cell>
          <cell r="C21">
            <v>1.7349291032739305</v>
          </cell>
          <cell r="D21">
            <v>5.6771445994330243</v>
          </cell>
          <cell r="E21">
            <v>120.26861442384987</v>
          </cell>
        </row>
        <row r="22">
          <cell r="B22">
            <v>6.7093918960699988</v>
          </cell>
          <cell r="C22">
            <v>0.55801056507656144</v>
          </cell>
          <cell r="D22">
            <v>1.8259574180713858</v>
          </cell>
          <cell r="E22">
            <v>38.682363082724343</v>
          </cell>
        </row>
        <row r="23">
          <cell r="B23">
            <v>5.5586584232500007</v>
          </cell>
          <cell r="C23">
            <v>0.46230570160049578</v>
          </cell>
          <cell r="D23">
            <v>1.5127859185574752</v>
          </cell>
          <cell r="E23">
            <v>32.047918307909384</v>
          </cell>
        </row>
        <row r="24">
          <cell r="B24">
            <v>8.5923419282084996</v>
          </cell>
          <cell r="C24">
            <v>0.71461283659687347</v>
          </cell>
          <cell r="D24">
            <v>2.3384012628041635</v>
          </cell>
          <cell r="E24">
            <v>49.538333033216126</v>
          </cell>
        </row>
      </sheetData>
      <sheetData sheetId="2">
        <row r="5">
          <cell r="B5">
            <v>1202.3772157699991</v>
          </cell>
          <cell r="C5"/>
          <cell r="D5"/>
          <cell r="E5"/>
        </row>
        <row r="6">
          <cell r="B6">
            <v>173448346</v>
          </cell>
          <cell r="C6"/>
          <cell r="D6"/>
          <cell r="E6"/>
        </row>
        <row r="7">
          <cell r="B7">
            <v>367.44514574477853</v>
          </cell>
          <cell r="C7">
            <v>30.559889269813517</v>
          </cell>
          <cell r="D7">
            <v>99.999999999999972</v>
          </cell>
          <cell r="E7">
            <v>2118.4701625507487</v>
          </cell>
        </row>
        <row r="8">
          <cell r="B8"/>
          <cell r="C8"/>
          <cell r="D8"/>
          <cell r="E8">
            <v>0</v>
          </cell>
        </row>
        <row r="9">
          <cell r="B9">
            <v>82.274923999999999</v>
          </cell>
          <cell r="C9">
            <v>6.8426882113955703</v>
          </cell>
          <cell r="D9">
            <v>22.391076587291987</v>
          </cell>
          <cell r="E9">
            <v>474.34827657566711</v>
          </cell>
        </row>
        <row r="10">
          <cell r="B10">
            <v>61.041663313609995</v>
          </cell>
          <cell r="C10">
            <v>5.0767481712899123</v>
          </cell>
          <cell r="D10">
            <v>16.612456041536213</v>
          </cell>
          <cell r="E10">
            <v>351.92992450680384</v>
          </cell>
        </row>
        <row r="11">
          <cell r="B11">
            <v>53.564799454199999</v>
          </cell>
          <cell r="C11">
            <v>4.4549080564452685</v>
          </cell>
          <cell r="D11">
            <v>14.577631538886966</v>
          </cell>
          <cell r="E11">
            <v>308.82277455790785</v>
          </cell>
        </row>
        <row r="12">
          <cell r="B12">
            <v>38.634038693969998</v>
          </cell>
          <cell r="C12">
            <v>3.2131379559807169</v>
          </cell>
          <cell r="D12">
            <v>10.514232979091956</v>
          </cell>
          <cell r="E12">
            <v>222.74088848313377</v>
          </cell>
        </row>
        <row r="13">
          <cell r="B13">
            <v>18.708530527099995</v>
          </cell>
          <cell r="C13">
            <v>1.5559618297589832</v>
          </cell>
          <cell r="D13">
            <v>5.0915165824764061</v>
          </cell>
          <cell r="E13">
            <v>107.86225962108624</v>
          </cell>
        </row>
        <row r="14">
          <cell r="B14">
            <v>14.39656139303</v>
          </cell>
          <cell r="C14">
            <v>1.1973415001722634</v>
          </cell>
          <cell r="D14">
            <v>3.9180164875629133</v>
          </cell>
          <cell r="E14">
            <v>83.002010252839199</v>
          </cell>
        </row>
        <row r="15">
          <cell r="B15">
            <v>17.553938179349998</v>
          </cell>
          <cell r="C15">
            <v>1.4599360291527566</v>
          </cell>
          <cell r="D15">
            <v>4.7772948922130221</v>
          </cell>
          <cell r="E15">
            <v>101.20556686859382</v>
          </cell>
        </row>
        <row r="16">
          <cell r="B16">
            <v>8.6657558989200005</v>
          </cell>
          <cell r="C16">
            <v>0.72071857194752931</v>
          </cell>
          <cell r="D16">
            <v>2.3583808356905323</v>
          </cell>
          <cell r="E16">
            <v>49.961594323418915</v>
          </cell>
        </row>
        <row r="17">
          <cell r="B17">
            <v>9.4840235188800008</v>
          </cell>
          <cell r="C17">
            <v>0.7887727241077549</v>
          </cell>
          <cell r="D17">
            <v>2.5810719310651749</v>
          </cell>
          <cell r="E17">
            <v>54.679238733588157</v>
          </cell>
        </row>
        <row r="18">
          <cell r="B18">
            <v>6.7093918960699988</v>
          </cell>
          <cell r="C18">
            <v>0.55801056507656144</v>
          </cell>
          <cell r="D18">
            <v>1.8259574180713862</v>
          </cell>
          <cell r="E18">
            <v>38.682363082724343</v>
          </cell>
        </row>
        <row r="19">
          <cell r="B19">
            <v>8.4307441880700011</v>
          </cell>
          <cell r="C19">
            <v>0.70117298277903373</v>
          </cell>
          <cell r="D19">
            <v>2.2944225242060652</v>
          </cell>
          <cell r="E19">
            <v>48.60665657814922</v>
          </cell>
        </row>
        <row r="20">
          <cell r="B20">
            <v>5.2968909999999996</v>
          </cell>
          <cell r="C20">
            <v>0.44053487795075069</v>
          </cell>
          <cell r="D20">
            <v>1.4415460542453691</v>
          </cell>
          <cell r="E20">
            <v>30.538723038615775</v>
          </cell>
        </row>
        <row r="21">
          <cell r="B21">
            <v>5.5586584232500007</v>
          </cell>
          <cell r="C21">
            <v>0.46230570160049578</v>
          </cell>
          <cell r="D21">
            <v>1.5127859185574755</v>
          </cell>
          <cell r="E21">
            <v>32.047918307909384</v>
          </cell>
        </row>
        <row r="22">
          <cell r="B22">
            <v>3.09098993904</v>
          </cell>
          <cell r="C22">
            <v>0.25707322947404143</v>
          </cell>
          <cell r="D22">
            <v>0.84121125964933885</v>
          </cell>
          <cell r="E22">
            <v>17.820809539688547</v>
          </cell>
        </row>
        <row r="23">
          <cell r="B23">
            <v>1.13592244914</v>
          </cell>
          <cell r="C23">
            <v>9.4473051737973782E-2</v>
          </cell>
          <cell r="D23">
            <v>0.30914068733649658</v>
          </cell>
          <cell r="E23">
            <v>6.5490532215279806</v>
          </cell>
        </row>
        <row r="24">
          <cell r="B24">
            <v>0.32886900000000002</v>
          </cell>
          <cell r="C24">
            <v>2.7351566187936556E-2</v>
          </cell>
          <cell r="D24">
            <v>8.9501522556084387E-2</v>
          </cell>
          <cell r="E24">
            <v>1.8960630503792755</v>
          </cell>
        </row>
        <row r="25">
          <cell r="B25">
            <v>0.23082787163999999</v>
          </cell>
          <cell r="C25">
            <v>1.9197625222146148E-2</v>
          </cell>
          <cell r="D25">
            <v>6.2819681879898698E-2</v>
          </cell>
          <cell r="E25">
            <v>1.3308162168349531</v>
          </cell>
        </row>
        <row r="26">
          <cell r="B26">
            <v>32.338615998508502</v>
          </cell>
          <cell r="C26">
            <v>2.6895566195338243</v>
          </cell>
          <cell r="D26">
            <v>8.8009370576827237</v>
          </cell>
          <cell r="E26">
            <v>186.44522559188027</v>
          </cell>
        </row>
      </sheetData>
      <sheetData sheetId="3">
        <row r="5">
          <cell r="B5">
            <v>1202.3772157699991</v>
          </cell>
          <cell r="C5"/>
          <cell r="D5"/>
        </row>
        <row r="6">
          <cell r="B6">
            <v>173448346</v>
          </cell>
          <cell r="C6"/>
          <cell r="D6"/>
          <cell r="E6"/>
        </row>
        <row r="7">
          <cell r="B7">
            <v>367.44514574477842</v>
          </cell>
          <cell r="C7">
            <v>30.559889269813521</v>
          </cell>
          <cell r="D7">
            <v>100.00000000000001</v>
          </cell>
          <cell r="E7">
            <v>2118.4701625507482</v>
          </cell>
        </row>
        <row r="8">
          <cell r="B8"/>
          <cell r="C8"/>
          <cell r="D8"/>
          <cell r="E8">
            <v>0</v>
          </cell>
        </row>
        <row r="9">
          <cell r="B9">
            <v>163.18203968450001</v>
          </cell>
          <cell r="C9">
            <v>13.57161775391749</v>
          </cell>
          <cell r="D9">
            <v>44.409904872670076</v>
          </cell>
          <cell r="E9">
            <v>940.8105839446863</v>
          </cell>
        </row>
        <row r="10">
          <cell r="B10">
            <v>85.36697116037999</v>
          </cell>
          <cell r="C10">
            <v>7.0998493684622268</v>
          </cell>
          <cell r="D10">
            <v>23.232575569163878</v>
          </cell>
          <cell r="E10">
            <v>492.17518142479139</v>
          </cell>
        </row>
        <row r="11">
          <cell r="B11">
            <v>62.34195396042</v>
          </cell>
          <cell r="C11">
            <v>5.1848914918515305</v>
          </cell>
          <cell r="D11">
            <v>16.966329446007087</v>
          </cell>
          <cell r="E11">
            <v>359.42662699372181</v>
          </cell>
        </row>
        <row r="12">
          <cell r="B12">
            <v>12.551168744030001</v>
          </cell>
          <cell r="C12">
            <v>1.043862822699303</v>
          </cell>
          <cell r="D12">
            <v>3.415793864575325</v>
          </cell>
          <cell r="E12">
            <v>72.362573835267369</v>
          </cell>
        </row>
        <row r="13">
          <cell r="B13">
            <v>8.4307441880700011</v>
          </cell>
          <cell r="C13">
            <v>0.70117298277903373</v>
          </cell>
          <cell r="D13">
            <v>2.2944225242060656</v>
          </cell>
          <cell r="E13">
            <v>48.60665657814922</v>
          </cell>
        </row>
        <row r="14">
          <cell r="B14">
            <v>6.4312556807800005</v>
          </cell>
          <cell r="C14">
            <v>0.53487837231358726</v>
          </cell>
          <cell r="D14">
            <v>1.7502627957553831</v>
          </cell>
          <cell r="E14">
            <v>37.078795094304333</v>
          </cell>
        </row>
        <row r="15">
          <cell r="B15">
            <v>17.487551332069998</v>
          </cell>
          <cell r="C15">
            <v>1.4544147296463048</v>
          </cell>
          <cell r="D15">
            <v>4.7592277472122531</v>
          </cell>
          <cell r="E15">
            <v>100.82281979252774</v>
          </cell>
        </row>
        <row r="16">
          <cell r="B16">
            <v>11.653460994528498</v>
          </cell>
          <cell r="C16">
            <v>0.96920174814404247</v>
          </cell>
          <cell r="D16">
            <v>3.1714831804099566</v>
          </cell>
          <cell r="E16">
            <v>67.186924887300435</v>
          </cell>
        </row>
      </sheetData>
      <sheetData sheetId="4">
        <row r="5">
          <cell r="B5">
            <v>1202.3772157699991</v>
          </cell>
          <cell r="C5"/>
          <cell r="D5"/>
          <cell r="E5"/>
        </row>
        <row r="6">
          <cell r="B6">
            <v>173448346</v>
          </cell>
          <cell r="C6"/>
          <cell r="D6"/>
          <cell r="E6"/>
        </row>
        <row r="7">
          <cell r="B7">
            <v>367.44514574477847</v>
          </cell>
          <cell r="C7">
            <v>30.559889269813517</v>
          </cell>
          <cell r="D7">
            <v>100</v>
          </cell>
          <cell r="E7">
            <v>2118.4701625507482</v>
          </cell>
        </row>
        <row r="8">
          <cell r="B8"/>
          <cell r="C8"/>
          <cell r="D8"/>
          <cell r="E8">
            <v>0</v>
          </cell>
        </row>
        <row r="9">
          <cell r="B9">
            <v>205.26046910124597</v>
          </cell>
          <cell r="C9">
            <v>17.071220779062894</v>
          </cell>
          <cell r="D9">
            <v>55.861526945797948</v>
          </cell>
          <cell r="E9">
            <v>1183.409780691976</v>
          </cell>
        </row>
        <row r="10">
          <cell r="B10"/>
          <cell r="C10"/>
          <cell r="D10"/>
          <cell r="E10">
            <v>0</v>
          </cell>
        </row>
        <row r="11">
          <cell r="B11">
            <v>98.055303680009501</v>
          </cell>
          <cell r="C11">
            <v>8.155119906959909</v>
          </cell>
          <cell r="D11">
            <v>26.685698481948961</v>
          </cell>
          <cell r="E11">
            <v>565.32856000834681</v>
          </cell>
        </row>
        <row r="12">
          <cell r="B12"/>
          <cell r="C12"/>
          <cell r="D12"/>
          <cell r="E12">
            <v>0</v>
          </cell>
        </row>
        <row r="13">
          <cell r="B13">
            <v>64.129372963523011</v>
          </cell>
          <cell r="C13">
            <v>5.3335485837907139</v>
          </cell>
          <cell r="D13">
            <v>17.452774572253091</v>
          </cell>
          <cell r="E13">
            <v>369.73182185042577</v>
          </cell>
        </row>
        <row r="14">
          <cell r="B14"/>
          <cell r="C14"/>
          <cell r="D14"/>
          <cell r="E14">
            <v>0</v>
          </cell>
        </row>
        <row r="15">
          <cell r="B15"/>
          <cell r="C15"/>
          <cell r="D15"/>
          <cell r="E15">
            <v>0</v>
          </cell>
        </row>
        <row r="16">
          <cell r="B16"/>
          <cell r="C16"/>
          <cell r="D16"/>
          <cell r="E16">
            <v>0</v>
          </cell>
        </row>
        <row r="17">
          <cell r="B17">
            <v>22.103164146326996</v>
          </cell>
          <cell r="C17">
            <v>1.8382886715108111</v>
          </cell>
          <cell r="D17">
            <v>6.015364307378686</v>
          </cell>
          <cell r="E17">
            <v>127.43369802054495</v>
          </cell>
        </row>
        <row r="18">
          <cell r="B18">
            <v>12.182458536419999</v>
          </cell>
          <cell r="C18">
            <v>1.0131977200365017</v>
          </cell>
          <cell r="D18">
            <v>3.3154495786649307</v>
          </cell>
          <cell r="E18">
            <v>70.236810078431063</v>
          </cell>
        </row>
        <row r="19">
          <cell r="B19">
            <v>1.4995355621599999</v>
          </cell>
          <cell r="C19">
            <v>0.12471423630559246</v>
          </cell>
          <cell r="D19">
            <v>0.40809780167882626</v>
          </cell>
          <cell r="E19">
            <v>8.6454301625914596</v>
          </cell>
        </row>
        <row r="20">
          <cell r="B20">
            <v>4.5957626999999996E-4</v>
          </cell>
          <cell r="C20">
            <v>3.8222303614235452E-5</v>
          </cell>
          <cell r="D20">
            <v>1.2507343621820881E-4</v>
          </cell>
          <cell r="E20">
            <v>2.6496434275596953E-3</v>
          </cell>
        </row>
        <row r="21">
          <cell r="B21">
            <v>2.4362237896999996</v>
          </cell>
          <cell r="C21">
            <v>0.20261726168354319</v>
          </cell>
          <cell r="D21">
            <v>0.66301700210571346</v>
          </cell>
          <cell r="E21">
            <v>14.045817362248007</v>
          </cell>
        </row>
        <row r="22">
          <cell r="B22">
            <v>2.8244539292999997</v>
          </cell>
          <cell r="C22">
            <v>0.23490580927976309</v>
          </cell>
          <cell r="D22">
            <v>0.7686736270729837</v>
          </cell>
          <cell r="E22">
            <v>16.28412143693777</v>
          </cell>
        </row>
        <row r="23">
          <cell r="B23">
            <v>1.8192173424400009</v>
          </cell>
          <cell r="C23">
            <v>0.15130171451851565</v>
          </cell>
          <cell r="D23">
            <v>0.49509902729905708</v>
          </cell>
          <cell r="E23">
            <v>10.48852516840951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1.3408154100369998</v>
          </cell>
          <cell r="C26">
            <v>0.11151370738328113</v>
          </cell>
          <cell r="D26">
            <v>0.36490219712095706</v>
          </cell>
          <cell r="E26">
            <v>7.7303441684995926</v>
          </cell>
        </row>
        <row r="27">
          <cell r="B27"/>
          <cell r="C27"/>
          <cell r="D27"/>
          <cell r="E27">
            <v>0</v>
          </cell>
        </row>
        <row r="28">
          <cell r="B28">
            <v>17.668406301677003</v>
          </cell>
          <cell r="C28">
            <v>1.4694561798031247</v>
          </cell>
          <cell r="D28">
            <v>4.8084473305164286</v>
          </cell>
          <cell r="E28">
            <v>101.86552197895853</v>
          </cell>
        </row>
        <row r="29">
          <cell r="B29">
            <v>12.816400875720001</v>
          </cell>
          <cell r="C29">
            <v>1.0659218012138074</v>
          </cell>
          <cell r="D29">
            <v>3.4879766474373484</v>
          </cell>
          <cell r="E29">
            <v>73.891744552698128</v>
          </cell>
        </row>
        <row r="30">
          <cell r="B30">
            <v>0.11156902169000001</v>
          </cell>
          <cell r="C30">
            <v>9.2790365807581873E-3</v>
          </cell>
          <cell r="D30">
            <v>3.0363449614733536E-2</v>
          </cell>
          <cell r="E30">
            <v>0.64324062040926011</v>
          </cell>
        </row>
        <row r="31">
          <cell r="B31">
            <v>1.0723446200000002E-3</v>
          </cell>
          <cell r="C31">
            <v>8.9185374268196981E-5</v>
          </cell>
          <cell r="D31">
            <v>2.9183801512099267E-4</v>
          </cell>
          <cell r="E31">
            <v>6.1825012733185709E-3</v>
          </cell>
        </row>
        <row r="32">
          <cell r="B32">
            <v>0.81054532290000014</v>
          </cell>
          <cell r="C32">
            <v>6.7411899715758422E-2</v>
          </cell>
          <cell r="D32">
            <v>0.22058947635764711</v>
          </cell>
          <cell r="E32">
            <v>4.6731222383636917</v>
          </cell>
        </row>
        <row r="33">
          <cell r="B33">
            <v>2.9000511267100002</v>
          </cell>
          <cell r="C33">
            <v>0.24119312048447419</v>
          </cell>
          <cell r="D33">
            <v>0.78924736393832484</v>
          </cell>
          <cell r="E33">
            <v>16.719969913751729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1.028767610037</v>
          </cell>
          <cell r="C36">
            <v>8.5561136434058258E-2</v>
          </cell>
          <cell r="D36">
            <v>0.2799785551532542</v>
          </cell>
          <cell r="E36">
            <v>5.9312621524623825</v>
          </cell>
        </row>
        <row r="37">
          <cell r="B37"/>
          <cell r="C37"/>
          <cell r="D37"/>
          <cell r="E37">
            <v>0</v>
          </cell>
        </row>
        <row r="38">
          <cell r="B38">
            <v>25.600574414317503</v>
          </cell>
          <cell r="C38">
            <v>2.1291633007136586</v>
          </cell>
          <cell r="D38">
            <v>4.3614750654867604</v>
          </cell>
          <cell r="E38">
            <v>147.59768544761735</v>
          </cell>
        </row>
        <row r="39">
          <cell r="B39">
            <v>17.5875602088175</v>
          </cell>
          <cell r="C39">
            <v>1.4627323254420181</v>
          </cell>
          <cell r="D39">
            <v>2.1807375327433802</v>
          </cell>
          <cell r="E39">
            <v>101.3994114929035</v>
          </cell>
        </row>
        <row r="40">
          <cell r="B40">
            <v>2.6484454999999998</v>
          </cell>
          <cell r="C40">
            <v>0.22026743897537535</v>
          </cell>
          <cell r="D40">
            <v>0.72077302712268454</v>
          </cell>
          <cell r="E40">
            <v>15.269361519307887</v>
          </cell>
        </row>
        <row r="41">
          <cell r="B41">
            <v>0.37488389053999999</v>
          </cell>
          <cell r="C41">
            <v>3.1178559076398115E-2</v>
          </cell>
          <cell r="D41">
            <v>0.10202445041970656</v>
          </cell>
          <cell r="E41">
            <v>2.1613575406478649</v>
          </cell>
        </row>
        <row r="42">
          <cell r="B42">
            <v>4.9896848149600004</v>
          </cell>
          <cell r="C42">
            <v>0.41498497721986682</v>
          </cell>
          <cell r="D42">
            <v>1.357940055200989</v>
          </cell>
          <cell r="E42">
            <v>28.767554894758121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GOVDetalhado"/>
      <sheetName val="AD ESFERA"/>
      <sheetName val="PRINCIPAIS TRIBUTOS"/>
      <sheetName val="Bases de Incidência"/>
      <sheetName val="RD ESFERA"/>
      <sheetName val="Impostos"/>
      <sheetName val="Contribuições"/>
      <sheetName val="Multas"/>
      <sheetName val="Estados"/>
      <sheetName val="Municipios"/>
      <sheetName val="Transferencias"/>
    </sheetNames>
    <sheetDataSet>
      <sheetData sheetId="0">
        <row r="5">
          <cell r="B5">
            <v>1315.7550000000001</v>
          </cell>
          <cell r="C5"/>
          <cell r="D5"/>
          <cell r="E5"/>
        </row>
        <row r="6">
          <cell r="B6">
            <v>173448346</v>
          </cell>
          <cell r="C6"/>
          <cell r="D6"/>
          <cell r="E6"/>
        </row>
        <row r="7">
          <cell r="B7">
            <v>421.64663452730184</v>
          </cell>
          <cell r="C7">
            <v>32.045983828851256</v>
          </cell>
          <cell r="D7">
            <v>100</v>
          </cell>
          <cell r="E7">
            <v>2430.9637090877868</v>
          </cell>
        </row>
        <row r="8">
          <cell r="B8"/>
          <cell r="C8"/>
          <cell r="D8"/>
          <cell r="E8">
            <v>0</v>
          </cell>
        </row>
        <row r="9">
          <cell r="B9">
            <v>281.98372694996999</v>
          </cell>
          <cell r="C9">
            <v>21.431324748906139</v>
          </cell>
          <cell r="D9">
            <v>66.876788253295402</v>
          </cell>
          <cell r="E9">
            <v>1625.7504522410952</v>
          </cell>
        </row>
        <row r="10">
          <cell r="B10">
            <v>58.452662197709991</v>
          </cell>
          <cell r="C10">
            <v>4.4425187210164498</v>
          </cell>
          <cell r="D10">
            <v>13.862950018144909</v>
          </cell>
          <cell r="E10">
            <v>337.00328395008154</v>
          </cell>
        </row>
        <row r="11">
          <cell r="B11">
            <v>18.83748975244</v>
          </cell>
          <cell r="C11">
            <v>1.4316867313778019</v>
          </cell>
          <cell r="D11">
            <v>4.467601116645521</v>
          </cell>
          <cell r="E11">
            <v>108.60576181245337</v>
          </cell>
        </row>
        <row r="12">
          <cell r="B12">
            <v>3.5519022288999995</v>
          </cell>
          <cell r="C12">
            <v>0.26995164212942374</v>
          </cell>
          <cell r="D12">
            <v>0.84238837406634437</v>
          </cell>
          <cell r="E12">
            <v>20.478155663127509</v>
          </cell>
        </row>
        <row r="13">
          <cell r="B13">
            <v>9.0965328661400022</v>
          </cell>
          <cell r="C13">
            <v>0.69135461131745668</v>
          </cell>
          <cell r="D13">
            <v>2.1573830125166094</v>
          </cell>
          <cell r="E13">
            <v>52.4451981003036</v>
          </cell>
        </row>
        <row r="14">
          <cell r="B14">
            <v>0.18998402599000003</v>
          </cell>
          <cell r="C14">
            <v>1.4439164281344173E-2</v>
          </cell>
          <cell r="D14">
            <v>4.5057640790370987E-2</v>
          </cell>
          <cell r="E14">
            <v>1.0953348957850544</v>
          </cell>
        </row>
        <row r="15">
          <cell r="B15">
            <v>1.49588490954</v>
          </cell>
          <cell r="C15">
            <v>0.11369023180911339</v>
          </cell>
          <cell r="D15">
            <v>0.35477216869452816</v>
          </cell>
          <cell r="E15">
            <v>8.6243826709076838</v>
          </cell>
        </row>
        <row r="16">
          <cell r="B16">
            <v>62.433581904580009</v>
          </cell>
          <cell r="C16">
            <v>4.7450765457535793</v>
          </cell>
          <cell r="D16">
            <v>14.807086501371661</v>
          </cell>
          <cell r="E16">
            <v>359.95489922158157</v>
          </cell>
        </row>
        <row r="17">
          <cell r="B17">
            <v>45.678823204409994</v>
          </cell>
          <cell r="C17">
            <v>3.4716815215910248</v>
          </cell>
          <cell r="D17">
            <v>10.83343716370924</v>
          </cell>
          <cell r="E17">
            <v>263.3569258966009</v>
          </cell>
        </row>
        <row r="18">
          <cell r="B18">
            <v>17.15700151851</v>
          </cell>
          <cell r="C18">
            <v>1.3039662793232782</v>
          </cell>
          <cell r="D18">
            <v>4.0690474235005603</v>
          </cell>
          <cell r="E18">
            <v>98.917066170870257</v>
          </cell>
        </row>
        <row r="19">
          <cell r="B19">
            <v>8.9678194372099984</v>
          </cell>
          <cell r="C19">
            <v>0.68157213441788156</v>
          </cell>
          <cell r="D19">
            <v>2.1268566384417156</v>
          </cell>
          <cell r="E19">
            <v>51.703113024842558</v>
          </cell>
        </row>
        <row r="20">
          <cell r="B20">
            <v>11.18600073815</v>
          </cell>
          <cell r="C20">
            <v>0.85015833024765253</v>
          </cell>
          <cell r="D20">
            <v>2.6529325321641339</v>
          </cell>
          <cell r="E20">
            <v>64.491827083493774</v>
          </cell>
        </row>
        <row r="21">
          <cell r="B21">
            <v>4.1246361909700004</v>
          </cell>
          <cell r="C21">
            <v>0.31348056370448907</v>
          </cell>
          <cell r="D21">
            <v>0.978221063140711</v>
          </cell>
          <cell r="E21">
            <v>23.780199039603414</v>
          </cell>
        </row>
        <row r="22">
          <cell r="B22">
            <v>2.1839293103499995</v>
          </cell>
          <cell r="C22">
            <v>0.16598297634058007</v>
          </cell>
          <cell r="D22">
            <v>0.51795250608328736</v>
          </cell>
          <cell r="E22">
            <v>12.591237453195427</v>
          </cell>
        </row>
        <row r="23">
          <cell r="B23">
            <v>21.074052206149997</v>
          </cell>
          <cell r="C23">
            <v>1.601669931419603</v>
          </cell>
          <cell r="D23">
            <v>4.9980363841337487</v>
          </cell>
          <cell r="E23">
            <v>121.50045066529489</v>
          </cell>
        </row>
        <row r="24">
          <cell r="B24">
            <v>6.7406803256499987</v>
          </cell>
          <cell r="C24">
            <v>0.512305127143731</v>
          </cell>
          <cell r="D24">
            <v>1.5986562618261657</v>
          </cell>
          <cell r="E24">
            <v>38.862753558053527</v>
          </cell>
        </row>
        <row r="25">
          <cell r="B25">
            <v>3.0683863636399997</v>
          </cell>
          <cell r="C25">
            <v>0.23320347356764742</v>
          </cell>
          <cell r="D25">
            <v>0.72771513214611461</v>
          </cell>
          <cell r="E25">
            <v>17.690490768012282</v>
          </cell>
        </row>
        <row r="26">
          <cell r="B26">
            <v>3.2349999999999999</v>
          </cell>
          <cell r="C26">
            <v>0.24586644170077254</v>
          </cell>
          <cell r="D26">
            <v>0.76723012472913066</v>
          </cell>
          <cell r="E26">
            <v>18.651085897354132</v>
          </cell>
        </row>
        <row r="27">
          <cell r="B27">
            <v>4.5093597696299996</v>
          </cell>
          <cell r="C27">
            <v>0.34272032176431017</v>
          </cell>
          <cell r="D27">
            <v>1.0694641911906488</v>
          </cell>
          <cell r="E27">
            <v>25.998286369533897</v>
          </cell>
        </row>
        <row r="28">
          <cell r="B28"/>
          <cell r="C28"/>
          <cell r="D28"/>
          <cell r="E28">
            <v>0</v>
          </cell>
        </row>
        <row r="29">
          <cell r="B29">
            <v>116.59915859715318</v>
          </cell>
          <cell r="C29">
            <v>8.8617682317113111</v>
          </cell>
          <cell r="D29">
            <v>27.653288097003252</v>
          </cell>
          <cell r="E29">
            <v>672.24139800764192</v>
          </cell>
        </row>
        <row r="30">
          <cell r="B30">
            <v>92.126565580019985</v>
          </cell>
          <cell r="C30">
            <v>7.0018024313052178</v>
          </cell>
          <cell r="D30">
            <v>21.849235363469912</v>
          </cell>
          <cell r="E30">
            <v>531.14698239912877</v>
          </cell>
        </row>
        <row r="31">
          <cell r="B31">
            <v>6.2183107360099994</v>
          </cell>
          <cell r="C31">
            <v>0.47260399816151177</v>
          </cell>
          <cell r="D31">
            <v>1.4747682601525332</v>
          </cell>
          <cell r="E31">
            <v>35.851081197453446</v>
          </cell>
        </row>
        <row r="32">
          <cell r="B32">
            <v>0.33517398337999998</v>
          </cell>
          <cell r="C32">
            <v>2.5473890152801999E-2</v>
          </cell>
          <cell r="D32">
            <v>7.9491677611931058E-2</v>
          </cell>
          <cell r="E32">
            <v>1.9324138344911055</v>
          </cell>
        </row>
        <row r="33">
          <cell r="B33">
            <v>4.7881215407646973</v>
          </cell>
          <cell r="C33">
            <v>0.36390677145552908</v>
          </cell>
          <cell r="D33">
            <v>1.1355768429487283</v>
          </cell>
          <cell r="E33">
            <v>27.605460940888403</v>
          </cell>
        </row>
        <row r="34">
          <cell r="B34">
            <v>2.6327502121899999</v>
          </cell>
          <cell r="C34">
            <v>0.20009425859601518</v>
          </cell>
          <cell r="D34">
            <v>0.62439730252833969</v>
          </cell>
          <cell r="E34">
            <v>15.17887182498702</v>
          </cell>
        </row>
        <row r="35">
          <cell r="B35">
            <v>6.0712159247937985</v>
          </cell>
          <cell r="C35">
            <v>0.46142449960621834</v>
          </cell>
          <cell r="D35">
            <v>1.4398824578785256</v>
          </cell>
          <cell r="E35">
            <v>35.003020004548205</v>
          </cell>
        </row>
        <row r="36">
          <cell r="B36">
            <v>3.65721124931</v>
          </cell>
          <cell r="C36">
            <v>0.2779553373773993</v>
          </cell>
          <cell r="D36">
            <v>0.86736403182964184</v>
          </cell>
          <cell r="E36">
            <v>21.085304839459237</v>
          </cell>
        </row>
        <row r="37">
          <cell r="B37">
            <v>0.76980937068469701</v>
          </cell>
          <cell r="C37">
            <v>5.8507045056617447E-2</v>
          </cell>
          <cell r="D37">
            <v>0.18257216058363945</v>
          </cell>
          <cell r="E37">
            <v>4.4382629666857536</v>
          </cell>
        </row>
        <row r="38">
          <cell r="B38"/>
          <cell r="C38"/>
          <cell r="D38"/>
          <cell r="E38">
            <v>0</v>
          </cell>
        </row>
        <row r="39">
          <cell r="B39">
            <v>23.06374898017868</v>
          </cell>
          <cell r="C39">
            <v>1.7528908482338035</v>
          </cell>
          <cell r="D39">
            <v>5.4699236497013439</v>
          </cell>
          <cell r="E39">
            <v>132.97185883904987</v>
          </cell>
        </row>
        <row r="40">
          <cell r="B40">
            <v>7.4459304488406808</v>
          </cell>
          <cell r="C40">
            <v>0.56590554083706168</v>
          </cell>
          <cell r="D40">
            <v>1.7659172015420306</v>
          </cell>
          <cell r="E40">
            <v>42.928806302025393</v>
          </cell>
        </row>
        <row r="41">
          <cell r="B41">
            <v>5.9793952914693929</v>
          </cell>
          <cell r="C41">
            <v>0.45444594863552806</v>
          </cell>
          <cell r="D41">
            <v>1.4181057790661016</v>
          </cell>
          <cell r="E41">
            <v>34.473636845573566</v>
          </cell>
        </row>
        <row r="42">
          <cell r="B42">
            <v>1.2718676154356061</v>
          </cell>
          <cell r="C42">
            <v>9.666447138225627E-2</v>
          </cell>
          <cell r="D42">
            <v>0.30164301367221086</v>
          </cell>
          <cell r="E42">
            <v>7.3328321933701579</v>
          </cell>
        </row>
        <row r="43">
          <cell r="B43">
            <v>1.6681816006800001</v>
          </cell>
          <cell r="C43">
            <v>0.12678512342191364</v>
          </cell>
          <cell r="D43">
            <v>0.39563498533556635</v>
          </cell>
          <cell r="E43">
            <v>9.6177429139624078</v>
          </cell>
        </row>
        <row r="44">
          <cell r="B44">
            <v>2.33506839594</v>
          </cell>
          <cell r="C44">
            <v>0.17746984780145239</v>
          </cell>
          <cell r="D44">
            <v>0.55379747037653704</v>
          </cell>
          <cell r="E44">
            <v>13.462615526699805</v>
          </cell>
        </row>
        <row r="45">
          <cell r="B45">
            <v>1.0359009608600001</v>
          </cell>
          <cell r="C45">
            <v>7.8730535765397056E-2</v>
          </cell>
          <cell r="D45">
            <v>0.24567988358814349</v>
          </cell>
          <cell r="E45">
            <v>5.9723888105568905</v>
          </cell>
        </row>
        <row r="46">
          <cell r="B46">
            <v>0.54834375922</v>
          </cell>
          <cell r="C46">
            <v>4.1675217591420892E-2</v>
          </cell>
          <cell r="D46">
            <v>0.13004817643919661</v>
          </cell>
          <cell r="E46">
            <v>3.1614239735673237</v>
          </cell>
        </row>
        <row r="47">
          <cell r="B47">
            <v>2.7790609077329997</v>
          </cell>
          <cell r="C47">
            <v>0.21121416279877331</v>
          </cell>
          <cell r="D47">
            <v>0.65909713968155814</v>
          </cell>
          <cell r="E47">
            <v>16.022412273294321</v>
          </cell>
        </row>
      </sheetData>
      <sheetData sheetId="1">
        <row r="5">
          <cell r="B5">
            <v>1315.7550000000001</v>
          </cell>
          <cell r="C5"/>
          <cell r="D5"/>
        </row>
        <row r="6">
          <cell r="B6">
            <v>173448346</v>
          </cell>
          <cell r="C6"/>
          <cell r="D6"/>
        </row>
        <row r="7">
          <cell r="B7">
            <v>421.64663452730179</v>
          </cell>
          <cell r="C7">
            <v>32.045983828851256</v>
          </cell>
          <cell r="D7">
            <v>99.999999999999986</v>
          </cell>
          <cell r="E7">
            <v>2430.9637090877868</v>
          </cell>
        </row>
        <row r="8">
          <cell r="B8"/>
          <cell r="C8"/>
          <cell r="D8"/>
          <cell r="E8">
            <v>0</v>
          </cell>
        </row>
        <row r="9">
          <cell r="B9">
            <v>281.98372694996993</v>
          </cell>
          <cell r="C9">
            <v>21.431324748906139</v>
          </cell>
          <cell r="D9">
            <v>66.876788253295388</v>
          </cell>
          <cell r="E9">
            <v>1625.750452241095</v>
          </cell>
        </row>
        <row r="10">
          <cell r="B10">
            <v>90.128571071179991</v>
          </cell>
          <cell r="C10">
            <v>6.8499508701224761</v>
          </cell>
          <cell r="D10">
            <v>21.375380162163754</v>
          </cell>
          <cell r="E10">
            <v>519.62773442175114</v>
          </cell>
        </row>
        <row r="11">
          <cell r="B11">
            <v>95.601596763239982</v>
          </cell>
          <cell r="C11">
            <v>7.2659117208933255</v>
          </cell>
          <cell r="D11">
            <v>22.67339258391489</v>
          </cell>
          <cell r="E11">
            <v>551.18194533397264</v>
          </cell>
        </row>
        <row r="12">
          <cell r="B12">
            <v>62.433581904580009</v>
          </cell>
          <cell r="C12">
            <v>4.7450765457535793</v>
          </cell>
          <cell r="D12">
            <v>14.807086501371661</v>
          </cell>
          <cell r="E12">
            <v>359.95489922158157</v>
          </cell>
        </row>
        <row r="13">
          <cell r="B13">
            <v>21.074052206149997</v>
          </cell>
          <cell r="C13">
            <v>1.601669931419603</v>
          </cell>
          <cell r="D13">
            <v>4.9980363841337487</v>
          </cell>
          <cell r="E13">
            <v>121.50045066529489</v>
          </cell>
        </row>
        <row r="14">
          <cell r="B14">
            <v>12.745925004819998</v>
          </cell>
          <cell r="C14">
            <v>0.96871568071715453</v>
          </cell>
          <cell r="D14">
            <v>3.0228926217113425</v>
          </cell>
          <cell r="E14">
            <v>73.485422598495106</v>
          </cell>
        </row>
        <row r="15">
          <cell r="B15"/>
          <cell r="C15"/>
          <cell r="D15"/>
          <cell r="E15">
            <v>0</v>
          </cell>
        </row>
        <row r="16">
          <cell r="B16">
            <v>116.59915859715318</v>
          </cell>
          <cell r="C16">
            <v>8.8617682317113111</v>
          </cell>
          <cell r="D16">
            <v>27.653288097003252</v>
          </cell>
          <cell r="E16">
            <v>672.24139800764192</v>
          </cell>
        </row>
        <row r="17">
          <cell r="B17">
            <v>92.126565580019985</v>
          </cell>
          <cell r="C17">
            <v>7.0018024313052178</v>
          </cell>
          <cell r="D17">
            <v>21.849235363469912</v>
          </cell>
          <cell r="E17">
            <v>531.14698239912877</v>
          </cell>
        </row>
        <row r="18">
          <cell r="B18">
            <v>6.2183107360099994</v>
          </cell>
          <cell r="C18">
            <v>0.47260399816151177</v>
          </cell>
          <cell r="D18">
            <v>1.4747682601525332</v>
          </cell>
          <cell r="E18">
            <v>35.851081197453446</v>
          </cell>
        </row>
        <row r="19">
          <cell r="B19">
            <v>18.254282281123192</v>
          </cell>
          <cell r="C19">
            <v>1.3873618022445813</v>
          </cell>
          <cell r="D19">
            <v>4.329284473380806</v>
          </cell>
          <cell r="E19">
            <v>105.24333441105972</v>
          </cell>
        </row>
        <row r="20">
          <cell r="B20"/>
          <cell r="C20"/>
          <cell r="D20"/>
          <cell r="E20">
            <v>0</v>
          </cell>
        </row>
        <row r="21">
          <cell r="B21">
            <v>23.06374898017868</v>
          </cell>
          <cell r="C21">
            <v>1.7528908482338035</v>
          </cell>
          <cell r="D21">
            <v>5.4699236497013448</v>
          </cell>
          <cell r="E21">
            <v>132.97185883904987</v>
          </cell>
        </row>
        <row r="22">
          <cell r="B22">
            <v>7.4459304488406808</v>
          </cell>
          <cell r="C22">
            <v>0.56590554083706168</v>
          </cell>
          <cell r="D22">
            <v>1.7659172015420306</v>
          </cell>
          <cell r="E22">
            <v>42.928806302025393</v>
          </cell>
        </row>
        <row r="23">
          <cell r="B23">
            <v>5.9793952914693929</v>
          </cell>
          <cell r="C23">
            <v>0.45444594863552806</v>
          </cell>
          <cell r="D23">
            <v>1.4181057790661016</v>
          </cell>
          <cell r="E23">
            <v>34.473636845573566</v>
          </cell>
        </row>
        <row r="24">
          <cell r="B24">
            <v>9.6384232398686063</v>
          </cell>
          <cell r="C24">
            <v>0.73253935876121357</v>
          </cell>
          <cell r="D24">
            <v>2.2859006690932127</v>
          </cell>
          <cell r="E24">
            <v>55.569415691450907</v>
          </cell>
        </row>
      </sheetData>
      <sheetData sheetId="2">
        <row r="5">
          <cell r="B5">
            <v>1315.7550000000001</v>
          </cell>
          <cell r="C5"/>
          <cell r="D5"/>
          <cell r="E5"/>
        </row>
        <row r="6">
          <cell r="B6">
            <v>173448346</v>
          </cell>
          <cell r="C6"/>
          <cell r="D6"/>
          <cell r="E6"/>
        </row>
        <row r="7">
          <cell r="B7">
            <v>421.64663452730179</v>
          </cell>
          <cell r="C7">
            <v>32.045983828851249</v>
          </cell>
          <cell r="D7">
            <v>100</v>
          </cell>
          <cell r="E7">
            <v>2430.9637090877868</v>
          </cell>
        </row>
        <row r="8">
          <cell r="B8"/>
          <cell r="C8"/>
          <cell r="D8"/>
          <cell r="E8">
            <v>0</v>
          </cell>
        </row>
        <row r="9">
          <cell r="B9">
            <v>92.126565580019985</v>
          </cell>
          <cell r="C9">
            <v>7.0018024313052178</v>
          </cell>
          <cell r="D9">
            <v>21.849235363469916</v>
          </cell>
          <cell r="E9">
            <v>531.14698239912877</v>
          </cell>
        </row>
        <row r="10">
          <cell r="B10">
            <v>68.736968268220011</v>
          </cell>
          <cell r="C10">
            <v>5.2241464610219994</v>
          </cell>
          <cell r="D10">
            <v>16.302031758246908</v>
          </cell>
          <cell r="E10">
            <v>396.29647588694803</v>
          </cell>
        </row>
        <row r="11">
          <cell r="B11">
            <v>64.90896533915469</v>
          </cell>
          <cell r="C11">
            <v>4.9332106158938922</v>
          </cell>
          <cell r="D11">
            <v>15.394161846429204</v>
          </cell>
          <cell r="E11">
            <v>374.22648780493239</v>
          </cell>
        </row>
        <row r="12">
          <cell r="B12">
            <v>45.678823204409994</v>
          </cell>
          <cell r="C12">
            <v>3.4716815215910248</v>
          </cell>
          <cell r="D12">
            <v>10.833437163709242</v>
          </cell>
          <cell r="E12">
            <v>263.3569258966009</v>
          </cell>
        </row>
        <row r="13">
          <cell r="B13">
            <v>21.074052206149997</v>
          </cell>
          <cell r="C13">
            <v>1.601669931419603</v>
          </cell>
          <cell r="D13">
            <v>4.9980363841337496</v>
          </cell>
          <cell r="E13">
            <v>121.50045066529489</v>
          </cell>
        </row>
        <row r="14">
          <cell r="B14">
            <v>17.15700151851</v>
          </cell>
          <cell r="C14">
            <v>1.3039662793232782</v>
          </cell>
          <cell r="D14">
            <v>4.0690474235005611</v>
          </cell>
          <cell r="E14">
            <v>98.917066170870257</v>
          </cell>
        </row>
        <row r="15">
          <cell r="B15">
            <v>18.83748975244</v>
          </cell>
          <cell r="C15">
            <v>1.4316867313778019</v>
          </cell>
          <cell r="D15">
            <v>4.4676011166455227</v>
          </cell>
          <cell r="E15">
            <v>108.60576181245337</v>
          </cell>
        </row>
        <row r="16">
          <cell r="B16">
            <v>8.9678194372099984</v>
          </cell>
          <cell r="C16">
            <v>0.68157213441788156</v>
          </cell>
          <cell r="D16">
            <v>2.126856638441716</v>
          </cell>
          <cell r="E16">
            <v>51.703113024842558</v>
          </cell>
        </row>
        <row r="17">
          <cell r="B17">
            <v>11.18600073815</v>
          </cell>
          <cell r="C17">
            <v>0.85015833024765253</v>
          </cell>
          <cell r="D17">
            <v>2.6529325321641344</v>
          </cell>
          <cell r="E17">
            <v>64.491827083493774</v>
          </cell>
        </row>
        <row r="18">
          <cell r="B18">
            <v>7.4459304488406808</v>
          </cell>
          <cell r="C18">
            <v>0.56590554083706168</v>
          </cell>
          <cell r="D18">
            <v>1.7659172015420308</v>
          </cell>
          <cell r="E18">
            <v>42.928806302025393</v>
          </cell>
        </row>
        <row r="19">
          <cell r="B19">
            <v>9.0965328661400022</v>
          </cell>
          <cell r="C19">
            <v>0.69135461131745668</v>
          </cell>
          <cell r="D19">
            <v>2.1573830125166098</v>
          </cell>
          <cell r="E19">
            <v>52.4451981003036</v>
          </cell>
        </row>
        <row r="20">
          <cell r="B20">
            <v>6.2183107360099994</v>
          </cell>
          <cell r="C20">
            <v>0.47260399816151177</v>
          </cell>
          <cell r="D20">
            <v>1.4747682601525334</v>
          </cell>
          <cell r="E20">
            <v>35.851081197453446</v>
          </cell>
        </row>
        <row r="21">
          <cell r="B21">
            <v>5.9793952914693929</v>
          </cell>
          <cell r="C21">
            <v>0.45444594863552806</v>
          </cell>
          <cell r="D21">
            <v>1.418105779066102</v>
          </cell>
          <cell r="E21">
            <v>34.473636845573566</v>
          </cell>
        </row>
        <row r="22">
          <cell r="B22">
            <v>3.5519022288999995</v>
          </cell>
          <cell r="C22">
            <v>0.26995164212942374</v>
          </cell>
          <cell r="D22">
            <v>0.84238837406634459</v>
          </cell>
          <cell r="E22">
            <v>20.478155663127509</v>
          </cell>
        </row>
        <row r="23">
          <cell r="B23">
            <v>1.2718676154356061</v>
          </cell>
          <cell r="C23">
            <v>9.666447138225627E-2</v>
          </cell>
          <cell r="D23">
            <v>0.30164301367221091</v>
          </cell>
          <cell r="E23">
            <v>7.3328321933701579</v>
          </cell>
        </row>
        <row r="24">
          <cell r="B24">
            <v>0.33517398337999998</v>
          </cell>
          <cell r="C24">
            <v>2.5473890152801999E-2</v>
          </cell>
          <cell r="D24">
            <v>7.9491677611931072E-2</v>
          </cell>
          <cell r="E24">
            <v>1.9324138344911055</v>
          </cell>
        </row>
        <row r="25">
          <cell r="B25">
            <v>0.18998402599000003</v>
          </cell>
          <cell r="C25">
            <v>1.4439164281344173E-2</v>
          </cell>
          <cell r="D25">
            <v>4.5057640790370994E-2</v>
          </cell>
          <cell r="E25">
            <v>1.0953348957850544</v>
          </cell>
        </row>
        <row r="26">
          <cell r="B26">
            <v>38.88385128687149</v>
          </cell>
          <cell r="C26">
            <v>2.955250125355517</v>
          </cell>
          <cell r="D26">
            <v>9.2219048138409221</v>
          </cell>
          <cell r="E26">
            <v>224.18115931109247</v>
          </cell>
        </row>
      </sheetData>
      <sheetData sheetId="3">
        <row r="5">
          <cell r="B5">
            <v>1315.7550000000001</v>
          </cell>
          <cell r="C5"/>
          <cell r="D5"/>
        </row>
        <row r="6">
          <cell r="B6">
            <v>173448346</v>
          </cell>
          <cell r="C6"/>
          <cell r="D6"/>
          <cell r="E6"/>
        </row>
        <row r="7">
          <cell r="B7">
            <v>421.6466345273019</v>
          </cell>
          <cell r="C7">
            <v>32.045983828851256</v>
          </cell>
          <cell r="D7">
            <v>100</v>
          </cell>
          <cell r="E7">
            <v>2430.9637090877873</v>
          </cell>
        </row>
        <row r="8">
          <cell r="B8"/>
          <cell r="C8"/>
          <cell r="D8"/>
          <cell r="E8">
            <v>0</v>
          </cell>
        </row>
        <row r="9">
          <cell r="B9">
            <v>186.15316376491066</v>
          </cell>
          <cell r="C9">
            <v>14.148011124024659</v>
          </cell>
          <cell r="D9">
            <v>44.14909275241876</v>
          </cell>
          <cell r="E9">
            <v>1073.2484227028065</v>
          </cell>
        </row>
        <row r="10">
          <cell r="B10">
            <v>101.04277355099381</v>
          </cell>
          <cell r="C10">
            <v>7.6794519915177064</v>
          </cell>
          <cell r="D10">
            <v>23.963851546988032</v>
          </cell>
          <cell r="E10">
            <v>582.55253440695139</v>
          </cell>
        </row>
        <row r="11">
          <cell r="B11">
            <v>73.970846548214681</v>
          </cell>
          <cell r="C11">
            <v>5.6219316322730801</v>
          </cell>
          <cell r="D11">
            <v>17.543326684236828</v>
          </cell>
          <cell r="E11">
            <v>426.47190506051106</v>
          </cell>
        </row>
        <row r="12">
          <cell r="B12">
            <v>13.994731652284999</v>
          </cell>
          <cell r="C12">
            <v>1.0636274726134423</v>
          </cell>
          <cell r="D12">
            <v>3.3190663712931472</v>
          </cell>
          <cell r="E12">
            <v>80.685298966673344</v>
          </cell>
        </row>
        <row r="13">
          <cell r="B13">
            <v>9.0965328661400022</v>
          </cell>
          <cell r="C13">
            <v>0.69135461131745668</v>
          </cell>
          <cell r="D13">
            <v>2.1573830125166094</v>
          </cell>
          <cell r="E13">
            <v>52.4451981003036</v>
          </cell>
        </row>
        <row r="14">
          <cell r="B14">
            <v>6.46370351767</v>
          </cell>
          <cell r="C14">
            <v>0.49125433820658099</v>
          </cell>
          <cell r="D14">
            <v>1.5329669415994049</v>
          </cell>
          <cell r="E14">
            <v>37.265870022594505</v>
          </cell>
        </row>
        <row r="15">
          <cell r="B15">
            <v>20.708903747409998</v>
          </cell>
          <cell r="C15">
            <v>1.5739179214527017</v>
          </cell>
          <cell r="D15">
            <v>4.9114357975669032</v>
          </cell>
          <cell r="E15">
            <v>119.39522183399777</v>
          </cell>
        </row>
        <row r="16">
          <cell r="B16">
            <v>10.215978879677696</v>
          </cell>
          <cell r="C16">
            <v>0.77643473744562586</v>
          </cell>
          <cell r="D16">
            <v>2.422876893380304</v>
          </cell>
          <cell r="E16">
            <v>58.899257993948794</v>
          </cell>
        </row>
      </sheetData>
      <sheetData sheetId="4">
        <row r="5">
          <cell r="B5">
            <v>1315.7550000000001</v>
          </cell>
          <cell r="C5"/>
          <cell r="D5"/>
          <cell r="E5"/>
        </row>
        <row r="6">
          <cell r="B6">
            <v>173448346</v>
          </cell>
          <cell r="C6"/>
          <cell r="D6"/>
          <cell r="E6"/>
        </row>
        <row r="7">
          <cell r="B7">
            <v>421.64663452730179</v>
          </cell>
          <cell r="C7">
            <v>32.045983828851249</v>
          </cell>
          <cell r="D7">
            <v>99.999999999999986</v>
          </cell>
          <cell r="E7">
            <v>2430.9637090877868</v>
          </cell>
        </row>
        <row r="8">
          <cell r="B8"/>
          <cell r="C8"/>
          <cell r="D8"/>
          <cell r="E8">
            <v>0</v>
          </cell>
        </row>
        <row r="9">
          <cell r="B9">
            <v>236.20782006244957</v>
          </cell>
          <cell r="C9">
            <v>17.952264674080627</v>
          </cell>
          <cell r="D9">
            <v>56.020326197375361</v>
          </cell>
          <cell r="E9">
            <v>1361.8337995707932</v>
          </cell>
        </row>
        <row r="10">
          <cell r="B10"/>
          <cell r="C10"/>
          <cell r="D10"/>
          <cell r="E10">
            <v>0</v>
          </cell>
        </row>
        <row r="11">
          <cell r="B11">
            <v>112.70897377444251</v>
          </cell>
          <cell r="C11">
            <v>8.5661064388463277</v>
          </cell>
          <cell r="D11">
            <v>26.730670790435195</v>
          </cell>
          <cell r="E11">
            <v>649.81290611120903</v>
          </cell>
        </row>
        <row r="12">
          <cell r="B12"/>
          <cell r="C12"/>
          <cell r="D12"/>
          <cell r="E12">
            <v>0</v>
          </cell>
        </row>
        <row r="13">
          <cell r="B13">
            <v>72.729840690409674</v>
          </cell>
          <cell r="C13">
            <v>5.5276127159242918</v>
          </cell>
          <cell r="D13">
            <v>17.249003012189437</v>
          </cell>
          <cell r="E13">
            <v>419.31700340578436</v>
          </cell>
        </row>
        <row r="14">
          <cell r="B14"/>
          <cell r="C14"/>
          <cell r="D14"/>
          <cell r="E14">
            <v>0</v>
          </cell>
        </row>
        <row r="15">
          <cell r="B15"/>
          <cell r="C15"/>
          <cell r="D15"/>
          <cell r="E15">
            <v>0</v>
          </cell>
        </row>
        <row r="16">
          <cell r="B16"/>
          <cell r="C16"/>
          <cell r="D16"/>
          <cell r="E16">
            <v>0</v>
          </cell>
        </row>
        <row r="17">
          <cell r="B17">
            <v>25.205961243341836</v>
          </cell>
          <cell r="C17">
            <v>1.9157032459190217</v>
          </cell>
          <cell r="D17">
            <v>5.9779823148830875</v>
          </cell>
          <cell r="E17">
            <v>145.3225806104939</v>
          </cell>
        </row>
        <row r="18">
          <cell r="B18">
            <v>14.336497892789998</v>
          </cell>
          <cell r="C18">
            <v>1.0896023874345906</v>
          </cell>
          <cell r="D18">
            <v>3.4001215043165973</v>
          </cell>
          <cell r="E18">
            <v>82.655719834826201</v>
          </cell>
        </row>
        <row r="19">
          <cell r="B19">
            <v>1.6133132208999998</v>
          </cell>
          <cell r="C19">
            <v>0.1226150173018533</v>
          </cell>
          <cell r="D19">
            <v>0.38262210315247691</v>
          </cell>
          <cell r="E19">
            <v>9.3014044705851493</v>
          </cell>
        </row>
        <row r="20">
          <cell r="B20">
            <v>3.3530299E-4</v>
          </cell>
          <cell r="C20">
            <v>2.5483694912806711E-5</v>
          </cell>
          <cell r="D20">
            <v>7.9522273520788404E-5</v>
          </cell>
          <cell r="E20">
            <v>1.9331576099318928E-3</v>
          </cell>
        </row>
        <row r="21">
          <cell r="B21">
            <v>2.2893559663200005</v>
          </cell>
          <cell r="C21">
            <v>0.17399561212535769</v>
          </cell>
          <cell r="D21">
            <v>0.54295606293325305</v>
          </cell>
          <cell r="E21">
            <v>13.19906484619923</v>
          </cell>
        </row>
        <row r="22">
          <cell r="B22">
            <v>3.0724365903699997</v>
          </cell>
          <cell r="C22">
            <v>0.23351129886415017</v>
          </cell>
          <cell r="D22">
            <v>0.7286757058583988</v>
          </cell>
          <cell r="E22">
            <v>17.713841966356945</v>
          </cell>
        </row>
        <row r="23">
          <cell r="B23">
            <v>2.0455909090933342</v>
          </cell>
          <cell r="C23">
            <v>0.15546898237843171</v>
          </cell>
          <cell r="D23">
            <v>0.48514342143074346</v>
          </cell>
          <cell r="E23">
            <v>11.793660512008193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1.8484313608784999</v>
          </cell>
          <cell r="C26">
            <v>0.14048446411972593</v>
          </cell>
          <cell r="D26">
            <v>0.43838399491809854</v>
          </cell>
          <cell r="E26">
            <v>10.656955822908222</v>
          </cell>
        </row>
        <row r="27">
          <cell r="B27"/>
          <cell r="C27"/>
          <cell r="D27"/>
          <cell r="E27">
            <v>0</v>
          </cell>
        </row>
        <row r="28">
          <cell r="B28">
            <v>20.569945644178503</v>
          </cell>
          <cell r="C28">
            <v>1.5633568289064834</v>
          </cell>
          <cell r="D28">
            <v>4.8784797410369443</v>
          </cell>
          <cell r="E28">
            <v>118.59407205980797</v>
          </cell>
        </row>
        <row r="29">
          <cell r="B29">
            <v>15.023859591200001</v>
          </cell>
          <cell r="C29">
            <v>1.1418432452242249</v>
          </cell>
          <cell r="D29">
            <v>3.5631399283058194</v>
          </cell>
          <cell r="E29">
            <v>86.61863856113105</v>
          </cell>
        </row>
        <row r="30">
          <cell r="B30">
            <v>9.3462393789999987E-2</v>
          </cell>
          <cell r="C30">
            <v>7.1033280352345218E-3</v>
          </cell>
          <cell r="D30">
            <v>2.2166047618233334E-2</v>
          </cell>
          <cell r="E30">
            <v>0.53884857333837011</v>
          </cell>
        </row>
        <row r="31">
          <cell r="B31">
            <v>7.8237347999999998E-4</v>
          </cell>
          <cell r="C31">
            <v>5.9461942382890424E-5</v>
          </cell>
          <cell r="D31">
            <v>1.8555193281148815E-4</v>
          </cell>
          <cell r="E31">
            <v>4.5107001481582299E-3</v>
          </cell>
        </row>
        <row r="32">
          <cell r="B32">
            <v>0.7561087820700001</v>
          </cell>
          <cell r="C32">
            <v>5.7465773040573667E-2</v>
          </cell>
          <cell r="D32">
            <v>0.17932285476858034</v>
          </cell>
          <cell r="E32">
            <v>4.3592735215243854</v>
          </cell>
        </row>
        <row r="33">
          <cell r="B33">
            <v>3.3570954427600008</v>
          </cell>
          <cell r="C33">
            <v>0.25514593847334804</v>
          </cell>
          <cell r="D33">
            <v>0.79618694135281365</v>
          </cell>
          <cell r="E33">
            <v>19.355015600782959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1.3386370608784999</v>
          </cell>
          <cell r="C36">
            <v>0.10173908219071938</v>
          </cell>
          <cell r="D36">
            <v>0.31747841705868579</v>
          </cell>
          <cell r="E36">
            <v>7.7177851028830222</v>
          </cell>
        </row>
        <row r="37">
          <cell r="B37"/>
          <cell r="C37"/>
          <cell r="D37"/>
          <cell r="E37">
            <v>0</v>
          </cell>
        </row>
        <row r="38">
          <cell r="B38">
            <v>29.096146066052494</v>
          </cell>
          <cell r="C38">
            <v>2.2113650387840056</v>
          </cell>
          <cell r="D38">
            <v>4.479726628221659</v>
          </cell>
          <cell r="E38">
            <v>167.75107250692662</v>
          </cell>
        </row>
        <row r="39">
          <cell r="B39">
            <v>19.651837784092496</v>
          </cell>
          <cell r="C39">
            <v>1.4935788033556776</v>
          </cell>
          <cell r="D39">
            <v>2.2398633141108295</v>
          </cell>
          <cell r="E39">
            <v>113.30080820772136</v>
          </cell>
        </row>
        <row r="40">
          <cell r="B40">
            <v>3.1091553680049997</v>
          </cell>
          <cell r="C40">
            <v>0.23630199908075589</v>
          </cell>
          <cell r="D40">
            <v>0.73738413007626669</v>
          </cell>
          <cell r="E40">
            <v>17.925540598726723</v>
          </cell>
        </row>
        <row r="41">
          <cell r="B41">
            <v>0.40332830522499996</v>
          </cell>
          <cell r="C41">
            <v>3.0653754325463325E-2</v>
          </cell>
          <cell r="D41">
            <v>9.5655525788119228E-2</v>
          </cell>
          <cell r="E41">
            <v>2.3253511176462873</v>
          </cell>
        </row>
        <row r="42">
          <cell r="B42">
            <v>5.9318246087299995</v>
          </cell>
          <cell r="C42">
            <v>0.4508304820221089</v>
          </cell>
          <cell r="D42">
            <v>1.4068236582464437</v>
          </cell>
          <cell r="E42">
            <v>34.19937258283224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GOVDetalhado"/>
      <sheetName val="AD ESFERA"/>
      <sheetName val="PRINCIPAIS TRIBUTOS"/>
      <sheetName val="Bases de Incidência"/>
      <sheetName val="RD ESFERA"/>
      <sheetName val="Impostos"/>
      <sheetName val="Contribuições"/>
      <sheetName val="Multas"/>
      <sheetName val="Estados"/>
      <sheetName val="Municipios"/>
      <sheetName val="Transferencias"/>
    </sheetNames>
    <sheetDataSet>
      <sheetData sheetId="0">
        <row r="5">
          <cell r="B5">
            <v>1488.787</v>
          </cell>
          <cell r="C5"/>
          <cell r="D5"/>
          <cell r="E5"/>
        </row>
        <row r="6">
          <cell r="B6">
            <v>178276128</v>
          </cell>
          <cell r="C6"/>
          <cell r="D6"/>
          <cell r="E6"/>
        </row>
        <row r="7">
          <cell r="B7">
            <v>495.42481028470365</v>
          </cell>
          <cell r="C7">
            <v>33.277077935574638</v>
          </cell>
          <cell r="D7">
            <v>100.00000000000001</v>
          </cell>
          <cell r="E7">
            <v>2778.97448100681</v>
          </cell>
        </row>
        <row r="8">
          <cell r="B8"/>
          <cell r="C8"/>
          <cell r="D8"/>
          <cell r="E8">
            <v>0</v>
          </cell>
        </row>
        <row r="9">
          <cell r="B9">
            <v>337.12694509392009</v>
          </cell>
          <cell r="C9">
            <v>22.644404142024342</v>
          </cell>
          <cell r="D9">
            <v>68.048054537314115</v>
          </cell>
          <cell r="E9">
            <v>1891.0380704135559</v>
          </cell>
        </row>
        <row r="10">
          <cell r="B10">
            <v>75.551116416230002</v>
          </cell>
          <cell r="C10">
            <v>5.074675988991709</v>
          </cell>
          <cell r="D10">
            <v>15.249764413859971</v>
          </cell>
          <cell r="E10">
            <v>423.78706147482626</v>
          </cell>
        </row>
        <row r="11">
          <cell r="B11">
            <v>18.471561741290003</v>
          </cell>
          <cell r="C11">
            <v>1.2407121865847837</v>
          </cell>
          <cell r="D11">
            <v>3.7284288872563796</v>
          </cell>
          <cell r="E11">
            <v>103.61208731934096</v>
          </cell>
        </row>
        <row r="12">
          <cell r="B12">
            <v>3.9932629838199998</v>
          </cell>
          <cell r="C12">
            <v>0.26822258548872335</v>
          </cell>
          <cell r="D12">
            <v>0.80602805933865307</v>
          </cell>
          <cell r="E12">
            <v>22.399314078775593</v>
          </cell>
        </row>
        <row r="13">
          <cell r="B13">
            <v>7.9535269308999998</v>
          </cell>
          <cell r="C13">
            <v>0.53422866608185049</v>
          </cell>
          <cell r="D13">
            <v>1.6053953628865258</v>
          </cell>
          <cell r="E13">
            <v>44.613527453883222</v>
          </cell>
        </row>
        <row r="14">
          <cell r="B14">
            <v>0.18918939349000005</v>
          </cell>
          <cell r="C14">
            <v>1.2707619927498028E-2</v>
          </cell>
          <cell r="D14">
            <v>3.8187307046911811E-2</v>
          </cell>
          <cell r="E14">
            <v>1.0612155178173941</v>
          </cell>
        </row>
        <row r="15">
          <cell r="B15">
            <v>1.7383783955700001</v>
          </cell>
          <cell r="C15">
            <v>0.11676474845427856</v>
          </cell>
          <cell r="D15">
            <v>0.35088642302169204</v>
          </cell>
          <cell r="E15">
            <v>9.7510441530904242</v>
          </cell>
        </row>
        <row r="16">
          <cell r="B16">
            <v>69.251553640630007</v>
          </cell>
          <cell r="C16">
            <v>4.6515420701974159</v>
          </cell>
          <cell r="D16">
            <v>13.978216714829747</v>
          </cell>
          <cell r="E16">
            <v>388.45107540494712</v>
          </cell>
        </row>
        <row r="17">
          <cell r="B17">
            <v>50.855605865240008</v>
          </cell>
          <cell r="C17">
            <v>3.4159087811245001</v>
          </cell>
          <cell r="D17">
            <v>10.265050277965498</v>
          </cell>
          <cell r="E17">
            <v>285.26312768717975</v>
          </cell>
        </row>
        <row r="18">
          <cell r="B18">
            <v>20.266821600150003</v>
          </cell>
          <cell r="C18">
            <v>1.361297593285675</v>
          </cell>
          <cell r="D18">
            <v>4.0907966616575697</v>
          </cell>
          <cell r="E18">
            <v>113.68219529734235</v>
          </cell>
        </row>
        <row r="19">
          <cell r="B19">
            <v>12.374588637700001</v>
          </cell>
          <cell r="C19">
            <v>0.83118596801960254</v>
          </cell>
          <cell r="D19">
            <v>2.4977733009755303</v>
          </cell>
          <cell r="E19">
            <v>69.412482627511409</v>
          </cell>
        </row>
        <row r="20">
          <cell r="B20">
            <v>12.472114273009998</v>
          </cell>
          <cell r="C20">
            <v>0.83773664553828031</v>
          </cell>
          <cell r="D20">
            <v>2.5174585555864071</v>
          </cell>
          <cell r="E20">
            <v>69.959530829668893</v>
          </cell>
        </row>
        <row r="21">
          <cell r="B21">
            <v>5.3641840375999994</v>
          </cell>
          <cell r="C21">
            <v>0.36030567418979342</v>
          </cell>
          <cell r="D21">
            <v>1.0827443289562726</v>
          </cell>
          <cell r="E21">
            <v>30.089188596243236</v>
          </cell>
        </row>
        <row r="22">
          <cell r="B22">
            <v>3.5482971444400007</v>
          </cell>
          <cell r="C22">
            <v>0.23833477484959237</v>
          </cell>
          <cell r="D22">
            <v>0.71621305004909153</v>
          </cell>
          <cell r="E22">
            <v>19.903377890504782</v>
          </cell>
        </row>
        <row r="23">
          <cell r="B23">
            <v>22.421996700430004</v>
          </cell>
          <cell r="C23">
            <v>1.5060580660920604</v>
          </cell>
          <cell r="D23">
            <v>4.5258122393072826</v>
          </cell>
          <cell r="E23">
            <v>125.77116718863226</v>
          </cell>
        </row>
        <row r="24">
          <cell r="B24">
            <v>17.146006455689999</v>
          </cell>
          <cell r="C24">
            <v>1.1516762609889795</v>
          </cell>
          <cell r="D24">
            <v>3.4608695607789155</v>
          </cell>
          <cell r="E24">
            <v>96.176681914978531</v>
          </cell>
        </row>
        <row r="25">
          <cell r="B25">
            <v>3.6076755282699997</v>
          </cell>
          <cell r="C25">
            <v>0.24232314819178294</v>
          </cell>
          <cell r="D25">
            <v>0.7281983972899525</v>
          </cell>
          <cell r="E25">
            <v>20.236447631788366</v>
          </cell>
        </row>
        <row r="26">
          <cell r="B26">
            <v>3.3456999999999999</v>
          </cell>
          <cell r="C26">
            <v>0.22472657270650537</v>
          </cell>
          <cell r="D26">
            <v>0.67531942901231401</v>
          </cell>
          <cell r="E26">
            <v>18.766954597533104</v>
          </cell>
        </row>
        <row r="27">
          <cell r="B27">
            <v>8.575365349460002</v>
          </cell>
          <cell r="C27">
            <v>0.57599679131131598</v>
          </cell>
          <cell r="D27">
            <v>1.7309115674953852</v>
          </cell>
          <cell r="E27">
            <v>48.10159074949172</v>
          </cell>
        </row>
        <row r="28">
          <cell r="B28"/>
          <cell r="C28"/>
          <cell r="D28"/>
          <cell r="E28">
            <v>0</v>
          </cell>
        </row>
        <row r="29">
          <cell r="B29">
            <v>131.2089591895936</v>
          </cell>
          <cell r="C29">
            <v>8.8131451436366373</v>
          </cell>
          <cell r="D29">
            <v>26.484131691788367</v>
          </cell>
          <cell r="E29">
            <v>735.98726123103597</v>
          </cell>
        </row>
        <row r="30">
          <cell r="B30">
            <v>102.95167753705</v>
          </cell>
          <cell r="C30">
            <v>6.9151381317172982</v>
          </cell>
          <cell r="D30">
            <v>20.780484828340999</v>
          </cell>
          <cell r="E30">
            <v>577.48437040908811</v>
          </cell>
        </row>
        <row r="31">
          <cell r="B31">
            <v>6.9447605335100002</v>
          </cell>
          <cell r="C31">
            <v>0.46647106224799112</v>
          </cell>
          <cell r="D31">
            <v>1.4017789156580762</v>
          </cell>
          <cell r="E31">
            <v>38.955078346271918</v>
          </cell>
        </row>
        <row r="32">
          <cell r="B32">
            <v>0.52009774306000001</v>
          </cell>
          <cell r="C32">
            <v>3.4934328621891511E-2</v>
          </cell>
          <cell r="D32">
            <v>0.1049801568801364</v>
          </cell>
          <cell r="E32">
            <v>2.9173717698199053</v>
          </cell>
        </row>
        <row r="33">
          <cell r="B33">
            <v>5.6425585624613346</v>
          </cell>
          <cell r="C33">
            <v>0.37900375019806964</v>
          </cell>
          <cell r="D33">
            <v>1.1389333851122132</v>
          </cell>
          <cell r="E33">
            <v>31.650668127935415</v>
          </cell>
        </row>
        <row r="34">
          <cell r="B34">
            <v>3.0509827356799994</v>
          </cell>
          <cell r="C34">
            <v>0.20493077489795378</v>
          </cell>
          <cell r="D34">
            <v>0.61583164031020254</v>
          </cell>
          <cell r="E34">
            <v>17.113804130186175</v>
          </cell>
        </row>
        <row r="35">
          <cell r="B35">
            <v>8.5014750401422461</v>
          </cell>
          <cell r="C35">
            <v>0.57103366970172664</v>
          </cell>
          <cell r="D35">
            <v>1.7159970319727709</v>
          </cell>
          <cell r="E35">
            <v>47.687119613357581</v>
          </cell>
        </row>
        <row r="36">
          <cell r="B36">
            <v>0.62893244310000007</v>
          </cell>
          <cell r="C36">
            <v>4.2244622172278506E-2</v>
          </cell>
          <cell r="D36">
            <v>0.12694811201291559</v>
          </cell>
          <cell r="E36">
            <v>3.5278556369588645</v>
          </cell>
        </row>
        <row r="37">
          <cell r="B37">
            <v>2.9684745945899995</v>
          </cell>
          <cell r="C37">
            <v>0.19938880407942838</v>
          </cell>
          <cell r="D37">
            <v>0.59917762150105469</v>
          </cell>
          <cell r="E37">
            <v>16.650993197417883</v>
          </cell>
        </row>
        <row r="38">
          <cell r="B38"/>
          <cell r="C38"/>
          <cell r="D38"/>
          <cell r="E38">
            <v>0</v>
          </cell>
        </row>
        <row r="39">
          <cell r="B39">
            <v>27.088906001189997</v>
          </cell>
          <cell r="C39">
            <v>1.819528649913654</v>
          </cell>
          <cell r="D39">
            <v>5.467813770897533</v>
          </cell>
          <cell r="E39">
            <v>151.94914936221858</v>
          </cell>
        </row>
        <row r="40">
          <cell r="B40">
            <v>8.4952964499300005</v>
          </cell>
          <cell r="C40">
            <v>0.57061866136190065</v>
          </cell>
          <cell r="D40">
            <v>1.7147499022198835</v>
          </cell>
          <cell r="E40">
            <v>47.652462195779798</v>
          </cell>
        </row>
        <row r="41">
          <cell r="B41">
            <v>6.9639611940499995</v>
          </cell>
          <cell r="C41">
            <v>0.46776074710821625</v>
          </cell>
          <cell r="D41">
            <v>1.4056545109333645</v>
          </cell>
          <cell r="E41">
            <v>39.062780149959274</v>
          </cell>
        </row>
        <row r="42">
          <cell r="B42">
            <v>1.5283992897100001</v>
          </cell>
          <cell r="C42">
            <v>0.10266070900068311</v>
          </cell>
          <cell r="D42">
            <v>0.30850277539222987</v>
          </cell>
          <cell r="E42">
            <v>8.5732134013478234</v>
          </cell>
        </row>
        <row r="43">
          <cell r="B43">
            <v>1.7921628349499998</v>
          </cell>
          <cell r="C43">
            <v>0.12037738339668468</v>
          </cell>
          <cell r="D43">
            <v>0.36174264948905271</v>
          </cell>
          <cell r="E43">
            <v>10.052735916218687</v>
          </cell>
        </row>
        <row r="44">
          <cell r="B44">
            <v>2.4964933406100003</v>
          </cell>
          <cell r="C44">
            <v>0.16768640111782276</v>
          </cell>
          <cell r="D44">
            <v>0.50390963245771869</v>
          </cell>
          <cell r="E44">
            <v>14.003520093335212</v>
          </cell>
        </row>
        <row r="45">
          <cell r="B45">
            <v>2.08635093457</v>
          </cell>
          <cell r="C45">
            <v>0.14013763786021774</v>
          </cell>
          <cell r="D45">
            <v>0.4211236278964402</v>
          </cell>
          <cell r="E45">
            <v>11.702918152732147</v>
          </cell>
        </row>
        <row r="46">
          <cell r="B46">
            <v>0.40326716347000002</v>
          </cell>
          <cell r="C46">
            <v>2.7086961631851973E-2</v>
          </cell>
          <cell r="D46">
            <v>8.1398257636361868E-2</v>
          </cell>
          <cell r="E46">
            <v>2.262036807698673</v>
          </cell>
        </row>
        <row r="47">
          <cell r="B47">
            <v>3.3229747939000003</v>
          </cell>
          <cell r="C47">
            <v>0.22320014843627733</v>
          </cell>
          <cell r="D47">
            <v>0.67073241487248114</v>
          </cell>
          <cell r="E47">
            <v>18.639482645146973</v>
          </cell>
        </row>
      </sheetData>
      <sheetData sheetId="1">
        <row r="5">
          <cell r="B5">
            <v>1488.787</v>
          </cell>
          <cell r="C5"/>
          <cell r="D5"/>
        </row>
        <row r="6">
          <cell r="B6">
            <v>178276128</v>
          </cell>
          <cell r="C6"/>
          <cell r="D6"/>
        </row>
        <row r="7">
          <cell r="B7">
            <v>495.42481028470354</v>
          </cell>
          <cell r="C7">
            <v>33.277077935574638</v>
          </cell>
          <cell r="D7">
            <v>100.00000000000001</v>
          </cell>
          <cell r="E7">
            <v>2778.9744810068096</v>
          </cell>
        </row>
        <row r="8">
          <cell r="B8"/>
          <cell r="C8"/>
          <cell r="D8"/>
          <cell r="E8">
            <v>0</v>
          </cell>
        </row>
        <row r="9">
          <cell r="B9">
            <v>337.12694509391997</v>
          </cell>
          <cell r="C9">
            <v>22.644404142024342</v>
          </cell>
          <cell r="D9">
            <v>68.048054537314101</v>
          </cell>
          <cell r="E9">
            <v>1891.0380704135553</v>
          </cell>
        </row>
        <row r="10">
          <cell r="B10">
            <v>106.15865746573</v>
          </cell>
          <cell r="C10">
            <v>7.1305470470745647</v>
          </cell>
          <cell r="D10">
            <v>21.42780403038844</v>
          </cell>
          <cell r="E10">
            <v>595.47320584464342</v>
          </cell>
        </row>
        <row r="11">
          <cell r="B11">
            <v>111.83498708641</v>
          </cell>
          <cell r="C11">
            <v>7.5118191579057303</v>
          </cell>
          <cell r="D11">
            <v>22.573554001492631</v>
          </cell>
          <cell r="E11">
            <v>627.31330515777177</v>
          </cell>
        </row>
        <row r="12">
          <cell r="B12">
            <v>69.251553640630007</v>
          </cell>
          <cell r="C12">
            <v>4.6515420701974159</v>
          </cell>
          <cell r="D12">
            <v>13.978216714829747</v>
          </cell>
          <cell r="E12">
            <v>388.45107540494712</v>
          </cell>
        </row>
        <row r="13">
          <cell r="B13">
            <v>22.421996700430004</v>
          </cell>
          <cell r="C13">
            <v>1.5060580660920604</v>
          </cell>
          <cell r="D13">
            <v>4.5258122393072826</v>
          </cell>
          <cell r="E13">
            <v>125.77116718863226</v>
          </cell>
        </row>
        <row r="14">
          <cell r="B14">
            <v>27.459750200720002</v>
          </cell>
          <cell r="C14">
            <v>1.8444378007545743</v>
          </cell>
          <cell r="D14">
            <v>5.5426675512959944</v>
          </cell>
          <cell r="E14">
            <v>154.0293168175607</v>
          </cell>
        </row>
        <row r="15">
          <cell r="B15"/>
          <cell r="C15"/>
          <cell r="D15"/>
          <cell r="E15">
            <v>0</v>
          </cell>
        </row>
        <row r="16">
          <cell r="B16">
            <v>131.2089591895936</v>
          </cell>
          <cell r="C16">
            <v>8.8131451436366373</v>
          </cell>
          <cell r="D16">
            <v>26.48413169178837</v>
          </cell>
          <cell r="E16">
            <v>735.98726123103597</v>
          </cell>
        </row>
        <row r="17">
          <cell r="B17">
            <v>102.95167753705</v>
          </cell>
          <cell r="C17">
            <v>6.9151381317172982</v>
          </cell>
          <cell r="D17">
            <v>20.780484828340999</v>
          </cell>
          <cell r="E17">
            <v>577.48437040908811</v>
          </cell>
        </row>
        <row r="18">
          <cell r="B18">
            <v>6.9447605335100002</v>
          </cell>
          <cell r="C18">
            <v>0.46647106224799112</v>
          </cell>
          <cell r="D18">
            <v>1.4017789156580762</v>
          </cell>
          <cell r="E18">
            <v>38.955078346271918</v>
          </cell>
        </row>
        <row r="19">
          <cell r="B19">
            <v>21.312521119033576</v>
          </cell>
          <cell r="C19">
            <v>1.4315359496713482</v>
          </cell>
          <cell r="D19">
            <v>4.301867947789292</v>
          </cell>
          <cell r="E19">
            <v>119.54781247567581</v>
          </cell>
        </row>
        <row r="20">
          <cell r="B20"/>
          <cell r="C20"/>
          <cell r="D20"/>
          <cell r="E20">
            <v>0</v>
          </cell>
        </row>
        <row r="21">
          <cell r="B21">
            <v>27.088906001189997</v>
          </cell>
          <cell r="C21">
            <v>1.8195286499136545</v>
          </cell>
          <cell r="D21">
            <v>5.467813770897533</v>
          </cell>
          <cell r="E21">
            <v>151.94914936221858</v>
          </cell>
        </row>
        <row r="22">
          <cell r="B22">
            <v>8.4952964499300005</v>
          </cell>
          <cell r="C22">
            <v>0.57061866136190065</v>
          </cell>
          <cell r="D22">
            <v>1.7147499022198835</v>
          </cell>
          <cell r="E22">
            <v>47.652462195779798</v>
          </cell>
        </row>
        <row r="23">
          <cell r="B23">
            <v>6.9639611940499995</v>
          </cell>
          <cell r="C23">
            <v>0.46776074710821625</v>
          </cell>
          <cell r="D23">
            <v>1.4056545109333645</v>
          </cell>
          <cell r="E23">
            <v>39.062780149959274</v>
          </cell>
        </row>
        <row r="24">
          <cell r="B24">
            <v>11.62964835721</v>
          </cell>
          <cell r="C24">
            <v>0.78114924144353759</v>
          </cell>
          <cell r="D24">
            <v>2.3474093577442847</v>
          </cell>
          <cell r="E24">
            <v>65.233907016479506</v>
          </cell>
        </row>
      </sheetData>
      <sheetData sheetId="2">
        <row r="5">
          <cell r="B5">
            <v>1488.787</v>
          </cell>
          <cell r="C5"/>
          <cell r="D5"/>
          <cell r="E5"/>
        </row>
        <row r="6">
          <cell r="B6">
            <v>178276128</v>
          </cell>
          <cell r="C6"/>
          <cell r="D6"/>
          <cell r="E6"/>
        </row>
        <row r="7">
          <cell r="B7">
            <v>495.42481028470354</v>
          </cell>
          <cell r="C7">
            <v>33.277077935574638</v>
          </cell>
          <cell r="D7">
            <v>99.999999999999972</v>
          </cell>
          <cell r="E7">
            <v>2778.9744810068096</v>
          </cell>
        </row>
        <row r="8">
          <cell r="B8"/>
          <cell r="C8"/>
          <cell r="D8"/>
          <cell r="E8">
            <v>0</v>
          </cell>
        </row>
        <row r="9">
          <cell r="B9">
            <v>102.95167753705</v>
          </cell>
          <cell r="C9">
            <v>6.9151381317172982</v>
          </cell>
          <cell r="D9">
            <v>20.780484828340999</v>
          </cell>
          <cell r="E9">
            <v>577.48437040908811</v>
          </cell>
        </row>
        <row r="10">
          <cell r="B10">
            <v>76.204929168899994</v>
          </cell>
          <cell r="C10">
            <v>5.1185917910957039</v>
          </cell>
          <cell r="D10">
            <v>15.381734541132014</v>
          </cell>
          <cell r="E10">
            <v>427.45447763426853</v>
          </cell>
        </row>
        <row r="11">
          <cell r="B11">
            <v>82.985837813641339</v>
          </cell>
          <cell r="C11">
            <v>5.5740571225864635</v>
          </cell>
          <cell r="D11">
            <v>16.750440448461234</v>
          </cell>
          <cell r="E11">
            <v>465.49046551898044</v>
          </cell>
        </row>
        <row r="12">
          <cell r="B12">
            <v>50.855605865240008</v>
          </cell>
          <cell r="C12">
            <v>3.4159087811245001</v>
          </cell>
          <cell r="D12">
            <v>10.265050277965498</v>
          </cell>
          <cell r="E12">
            <v>285.26312768717975</v>
          </cell>
        </row>
        <row r="13">
          <cell r="B13">
            <v>22.421996700430004</v>
          </cell>
          <cell r="C13">
            <v>1.5060580660920604</v>
          </cell>
          <cell r="D13">
            <v>4.5258122393072826</v>
          </cell>
          <cell r="E13">
            <v>125.77116718863226</v>
          </cell>
        </row>
        <row r="14">
          <cell r="B14">
            <v>20.266821600150003</v>
          </cell>
          <cell r="C14">
            <v>1.361297593285675</v>
          </cell>
          <cell r="D14">
            <v>4.0907966616575697</v>
          </cell>
          <cell r="E14">
            <v>113.68219529734235</v>
          </cell>
        </row>
        <row r="15">
          <cell r="B15">
            <v>18.471561741290003</v>
          </cell>
          <cell r="C15">
            <v>1.2407121865847837</v>
          </cell>
          <cell r="D15">
            <v>3.7284288872563796</v>
          </cell>
          <cell r="E15">
            <v>103.61208731934096</v>
          </cell>
        </row>
        <row r="16">
          <cell r="B16">
            <v>12.374588637700001</v>
          </cell>
          <cell r="C16">
            <v>0.83118596801960254</v>
          </cell>
          <cell r="D16">
            <v>2.4977733009755303</v>
          </cell>
          <cell r="E16">
            <v>69.412482627511409</v>
          </cell>
        </row>
        <row r="17">
          <cell r="B17">
            <v>12.472114273009998</v>
          </cell>
          <cell r="C17">
            <v>0.83773664553828031</v>
          </cell>
          <cell r="D17">
            <v>2.5174585555864071</v>
          </cell>
          <cell r="E17">
            <v>69.959530829668893</v>
          </cell>
        </row>
        <row r="18">
          <cell r="B18">
            <v>8.4952964499300005</v>
          </cell>
          <cell r="C18">
            <v>0.57061866136190065</v>
          </cell>
          <cell r="D18">
            <v>1.7147499022198835</v>
          </cell>
          <cell r="E18">
            <v>47.652462195779798</v>
          </cell>
        </row>
        <row r="19">
          <cell r="B19">
            <v>7.9535269308999998</v>
          </cell>
          <cell r="C19">
            <v>0.53422866608185049</v>
          </cell>
          <cell r="D19">
            <v>1.6053953628865258</v>
          </cell>
          <cell r="E19">
            <v>44.613527453883222</v>
          </cell>
        </row>
        <row r="20">
          <cell r="B20">
            <v>6.9447605335100002</v>
          </cell>
          <cell r="C20">
            <v>0.46647106224799112</v>
          </cell>
          <cell r="D20">
            <v>1.4017789156580762</v>
          </cell>
          <cell r="E20">
            <v>38.955078346271918</v>
          </cell>
        </row>
        <row r="21">
          <cell r="B21">
            <v>6.9639611940499995</v>
          </cell>
          <cell r="C21">
            <v>0.46776074710821625</v>
          </cell>
          <cell r="D21">
            <v>1.4056545109333645</v>
          </cell>
          <cell r="E21">
            <v>39.062780149959274</v>
          </cell>
        </row>
        <row r="22">
          <cell r="B22">
            <v>3.9932629838199998</v>
          </cell>
          <cell r="C22">
            <v>0.26822258548872335</v>
          </cell>
          <cell r="D22">
            <v>0.80602805933865307</v>
          </cell>
          <cell r="E22">
            <v>22.399314078775593</v>
          </cell>
        </row>
        <row r="23">
          <cell r="B23">
            <v>1.5283992897100001</v>
          </cell>
          <cell r="C23">
            <v>0.10266070900068311</v>
          </cell>
          <cell r="D23">
            <v>0.30850277539222987</v>
          </cell>
          <cell r="E23">
            <v>8.5732134013478234</v>
          </cell>
        </row>
        <row r="24">
          <cell r="B24">
            <v>0.52009774306000001</v>
          </cell>
          <cell r="C24">
            <v>3.4934328621891511E-2</v>
          </cell>
          <cell r="D24">
            <v>0.1049801568801364</v>
          </cell>
          <cell r="E24">
            <v>2.9173717698199053</v>
          </cell>
        </row>
        <row r="25">
          <cell r="B25">
            <v>0.18918939349000005</v>
          </cell>
          <cell r="C25">
            <v>1.2707619927498028E-2</v>
          </cell>
          <cell r="D25">
            <v>3.8187307046911811E-2</v>
          </cell>
          <cell r="E25">
            <v>1.0612155178173941</v>
          </cell>
        </row>
        <row r="26">
          <cell r="B26">
            <v>59.831182428822245</v>
          </cell>
          <cell r="C26">
            <v>4.0187872696915168</v>
          </cell>
          <cell r="D26">
            <v>12.076743268961303</v>
          </cell>
          <cell r="E26">
            <v>335.60961358114218</v>
          </cell>
        </row>
      </sheetData>
      <sheetData sheetId="3">
        <row r="5">
          <cell r="B5">
            <v>1488.787</v>
          </cell>
          <cell r="C5"/>
          <cell r="D5"/>
        </row>
        <row r="6">
          <cell r="B6">
            <v>178276128</v>
          </cell>
          <cell r="C6"/>
          <cell r="D6"/>
          <cell r="E6"/>
        </row>
        <row r="7">
          <cell r="B7">
            <v>495.42481028470365</v>
          </cell>
          <cell r="C7">
            <v>33.277077935574638</v>
          </cell>
          <cell r="D7">
            <v>99.999999999999986</v>
          </cell>
          <cell r="E7">
            <v>2778.97448100681</v>
          </cell>
        </row>
        <row r="8">
          <cell r="B8"/>
          <cell r="C8"/>
          <cell r="D8"/>
          <cell r="E8">
            <v>0</v>
          </cell>
        </row>
        <row r="9">
          <cell r="B9">
            <v>211.35149096008001</v>
          </cell>
          <cell r="C9">
            <v>14.196220880493987</v>
          </cell>
          <cell r="D9">
            <v>42.660659412398736</v>
          </cell>
          <cell r="E9">
            <v>1185.5288384997907</v>
          </cell>
        </row>
        <row r="10">
          <cell r="B10">
            <v>116.00469193730224</v>
          </cell>
          <cell r="C10">
            <v>7.7918931275798506</v>
          </cell>
          <cell r="D10">
            <v>23.415196318213923</v>
          </cell>
          <cell r="E10">
            <v>650.70233036081106</v>
          </cell>
        </row>
        <row r="11">
          <cell r="B11">
            <v>95.70237648459134</v>
          </cell>
          <cell r="C11">
            <v>6.4282114556744068</v>
          </cell>
          <cell r="D11">
            <v>19.317235329735396</v>
          </cell>
          <cell r="E11">
            <v>536.82104024937837</v>
          </cell>
        </row>
        <row r="12">
          <cell r="B12">
            <v>16.146408153819998</v>
          </cell>
          <cell r="C12">
            <v>1.08453446690628</v>
          </cell>
          <cell r="D12">
            <v>3.2591036659107182</v>
          </cell>
          <cell r="E12">
            <v>90.56965918521631</v>
          </cell>
        </row>
        <row r="13">
          <cell r="B13">
            <v>7.9535269308999998</v>
          </cell>
          <cell r="C13">
            <v>0.53422866608185049</v>
          </cell>
          <cell r="D13">
            <v>1.6053953628865258</v>
          </cell>
          <cell r="E13">
            <v>44.613527453883222</v>
          </cell>
        </row>
        <row r="14">
          <cell r="B14">
            <v>7.2858544718600005</v>
          </cell>
          <cell r="C14">
            <v>0.48938192447005524</v>
          </cell>
          <cell r="D14">
            <v>1.4706276957896134</v>
          </cell>
          <cell r="E14">
            <v>40.868368376611819</v>
          </cell>
        </row>
        <row r="15">
          <cell r="B15">
            <v>24.260084583970002</v>
          </cell>
          <cell r="C15">
            <v>1.6295201787743983</v>
          </cell>
          <cell r="D15">
            <v>4.8968247209962223</v>
          </cell>
          <cell r="E15">
            <v>136.08150937611794</v>
          </cell>
        </row>
        <row r="16">
          <cell r="B16">
            <v>16.720376762180003</v>
          </cell>
          <cell r="C16">
            <v>1.1230872355938091</v>
          </cell>
          <cell r="D16">
            <v>3.3749574940688531</v>
          </cell>
          <cell r="E16">
            <v>93.789207505000348</v>
          </cell>
        </row>
      </sheetData>
      <sheetData sheetId="4">
        <row r="5">
          <cell r="B5">
            <v>1488.787</v>
          </cell>
          <cell r="C5"/>
          <cell r="D5"/>
          <cell r="E5"/>
        </row>
        <row r="6">
          <cell r="B6">
            <v>178276128</v>
          </cell>
          <cell r="C6"/>
          <cell r="D6"/>
          <cell r="E6"/>
        </row>
        <row r="7">
          <cell r="B7">
            <v>495.42481028470365</v>
          </cell>
          <cell r="C7">
            <v>33.277077935574638</v>
          </cell>
          <cell r="D7">
            <v>100.00000000000001</v>
          </cell>
          <cell r="E7">
            <v>2778.97448100681</v>
          </cell>
        </row>
        <row r="8">
          <cell r="B8"/>
          <cell r="C8"/>
          <cell r="D8"/>
          <cell r="E8">
            <v>0</v>
          </cell>
        </row>
        <row r="9">
          <cell r="B9">
            <v>281.32157060287335</v>
          </cell>
          <cell r="C9">
            <v>18.896025462532474</v>
          </cell>
          <cell r="D9">
            <v>56.783908428245155</v>
          </cell>
          <cell r="E9">
            <v>1578.0103245392079</v>
          </cell>
        </row>
        <row r="10">
          <cell r="B10"/>
          <cell r="C10"/>
          <cell r="D10"/>
          <cell r="E10">
            <v>0</v>
          </cell>
        </row>
        <row r="11">
          <cell r="B11">
            <v>128.66736778456027</v>
          </cell>
          <cell r="C11">
            <v>8.6424295607471215</v>
          </cell>
          <cell r="D11">
            <v>25.971119151384354</v>
          </cell>
          <cell r="E11">
            <v>721.73077364884364</v>
          </cell>
        </row>
        <row r="12">
          <cell r="B12"/>
          <cell r="C12"/>
          <cell r="D12"/>
          <cell r="E12">
            <v>0</v>
          </cell>
        </row>
        <row r="13">
          <cell r="B13">
            <v>85.435871897270005</v>
          </cell>
          <cell r="C13">
            <v>5.7386229122950434</v>
          </cell>
          <cell r="D13">
            <v>17.244972420370498</v>
          </cell>
          <cell r="E13">
            <v>479.23338281875857</v>
          </cell>
        </row>
        <row r="14">
          <cell r="B14"/>
          <cell r="C14"/>
          <cell r="D14"/>
          <cell r="E14">
            <v>0</v>
          </cell>
        </row>
        <row r="15">
          <cell r="B15"/>
          <cell r="C15"/>
          <cell r="D15"/>
          <cell r="E15">
            <v>0</v>
          </cell>
        </row>
        <row r="16">
          <cell r="B16"/>
          <cell r="C16"/>
          <cell r="D16"/>
          <cell r="E16">
            <v>0</v>
          </cell>
        </row>
        <row r="17">
          <cell r="B17">
            <v>30.317802320511671</v>
          </cell>
          <cell r="C17">
            <v>2.0364096623970833</v>
          </cell>
          <cell r="D17">
            <v>6.1195567301300606</v>
          </cell>
          <cell r="E17">
            <v>170.06091988104919</v>
          </cell>
        </row>
        <row r="18">
          <cell r="B18">
            <v>17.74261952622</v>
          </cell>
          <cell r="C18">
            <v>1.1917500304758168</v>
          </cell>
          <cell r="D18">
            <v>3.5812941051587477</v>
          </cell>
          <cell r="E18">
            <v>99.523249272162801</v>
          </cell>
        </row>
        <row r="19">
          <cell r="B19">
            <v>1.5964021986300001</v>
          </cell>
          <cell r="C19">
            <v>0.10722838113376863</v>
          </cell>
          <cell r="D19">
            <v>0.32222895694557618</v>
          </cell>
          <cell r="E19">
            <v>8.954660483931983</v>
          </cell>
        </row>
        <row r="20">
          <cell r="B20">
            <v>8.1384050000000009E-4</v>
          </cell>
          <cell r="C20">
            <v>5.4664669962862386E-5</v>
          </cell>
          <cell r="D20">
            <v>1.6427124421409454E-4</v>
          </cell>
          <cell r="E20">
            <v>4.5650559563420639E-3</v>
          </cell>
        </row>
        <row r="21">
          <cell r="B21">
            <v>2.5266022246599995</v>
          </cell>
          <cell r="C21">
            <v>0.16970877799577774</v>
          </cell>
          <cell r="D21">
            <v>0.50998701966662674</v>
          </cell>
          <cell r="E21">
            <v>14.172409132982736</v>
          </cell>
        </row>
        <row r="22">
          <cell r="B22">
            <v>3.5418165469100007</v>
          </cell>
          <cell r="C22">
            <v>0.23789948104799416</v>
          </cell>
          <cell r="D22">
            <v>0.71490496103225853</v>
          </cell>
          <cell r="E22">
            <v>19.867026430538143</v>
          </cell>
        </row>
        <row r="23">
          <cell r="B23">
            <v>2.4051170188466675</v>
          </cell>
          <cell r="C23">
            <v>0.16154876546118871</v>
          </cell>
          <cell r="D23">
            <v>0.48546559819330193</v>
          </cell>
          <cell r="E23">
            <v>13.490965087858916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2.504430964745</v>
          </cell>
          <cell r="C26">
            <v>0.16821956161257454</v>
          </cell>
          <cell r="D26">
            <v>0.50551181788933619</v>
          </cell>
          <cell r="E26">
            <v>14.048044417618268</v>
          </cell>
        </row>
        <row r="27">
          <cell r="B27"/>
          <cell r="C27"/>
          <cell r="D27"/>
          <cell r="E27">
            <v>0</v>
          </cell>
        </row>
        <row r="28">
          <cell r="B28">
            <v>25.487572170534996</v>
          </cell>
          <cell r="C28">
            <v>1.7119690170947894</v>
          </cell>
          <cell r="D28">
            <v>5.144589378938889</v>
          </cell>
          <cell r="E28">
            <v>142.96682599329841</v>
          </cell>
        </row>
        <row r="29">
          <cell r="B29">
            <v>18.594706469169999</v>
          </cell>
          <cell r="C29">
            <v>1.2489836671847618</v>
          </cell>
          <cell r="D29">
            <v>3.7532852782411648</v>
          </cell>
          <cell r="E29">
            <v>104.3028400817074</v>
          </cell>
        </row>
        <row r="30">
          <cell r="B30">
            <v>0.12149207140000001</v>
          </cell>
          <cell r="C30">
            <v>8.1604736876396688E-3</v>
          </cell>
          <cell r="D30">
            <v>2.4522807271235101E-2</v>
          </cell>
          <cell r="E30">
            <v>0.68148255609410591</v>
          </cell>
        </row>
        <row r="31">
          <cell r="B31">
            <v>1.8989609699999999E-3</v>
          </cell>
          <cell r="C31">
            <v>1.2755088337015302E-4</v>
          </cell>
          <cell r="D31">
            <v>3.832995301363153E-4</v>
          </cell>
          <cell r="E31">
            <v>1.0651796128307207E-2</v>
          </cell>
        </row>
        <row r="32">
          <cell r="B32">
            <v>0.8347346833799999</v>
          </cell>
          <cell r="C32">
            <v>5.6068106678792862E-2</v>
          </cell>
          <cell r="D32">
            <v>0.168488671954137</v>
          </cell>
          <cell r="E32">
            <v>4.6822571969927456</v>
          </cell>
        </row>
        <row r="33">
          <cell r="B33">
            <v>4.1338875208699992</v>
          </cell>
          <cell r="C33">
            <v>0.27766816346932094</v>
          </cell>
          <cell r="D33">
            <v>0.83441269695282239</v>
          </cell>
          <cell r="E33">
            <v>23.188115914599624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1.8008524647449999</v>
          </cell>
          <cell r="C36">
            <v>0.12096105519090372</v>
          </cell>
          <cell r="D36">
            <v>0.36349662498939278</v>
          </cell>
          <cell r="E36">
            <v>10.101478447776248</v>
          </cell>
        </row>
        <row r="37">
          <cell r="B37"/>
          <cell r="C37"/>
          <cell r="D37"/>
          <cell r="E37">
            <v>0</v>
          </cell>
        </row>
        <row r="38">
          <cell r="B38">
            <v>32.859393725545004</v>
          </cell>
          <cell r="C38">
            <v>2.207125245286599</v>
          </cell>
          <cell r="D38">
            <v>4.416511912520293</v>
          </cell>
          <cell r="E38">
            <v>184.31740746324155</v>
          </cell>
        </row>
        <row r="39">
          <cell r="B39">
            <v>21.919145843642504</v>
          </cell>
          <cell r="C39">
            <v>1.4722821897049412</v>
          </cell>
          <cell r="D39">
            <v>2.2082559562601465</v>
          </cell>
          <cell r="E39">
            <v>122.95053796345914</v>
          </cell>
        </row>
        <row r="40">
          <cell r="B40">
            <v>3.4723802667550001</v>
          </cell>
          <cell r="C40">
            <v>0.23323553112399556</v>
          </cell>
          <cell r="D40">
            <v>0.70088945782903811</v>
          </cell>
          <cell r="E40">
            <v>19.477539173135959</v>
          </cell>
        </row>
        <row r="41">
          <cell r="B41">
            <v>0.39910054965750003</v>
          </cell>
          <cell r="C41">
            <v>2.6807095283442158E-2</v>
          </cell>
          <cell r="D41">
            <v>8.0557239236394046E-2</v>
          </cell>
          <cell r="E41">
            <v>2.2386651209829957</v>
          </cell>
        </row>
        <row r="42">
          <cell r="B42">
            <v>7.0687670654899986</v>
          </cell>
          <cell r="C42">
            <v>0.47480042917422027</v>
          </cell>
          <cell r="D42">
            <v>1.4268092591947144</v>
          </cell>
          <cell r="E42">
            <v>39.650665205663422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GOVDetalhado"/>
      <sheetName val="AD ESFERA"/>
      <sheetName val="PRINCIPAIS TRIBUTOS"/>
      <sheetName val="Bases de Incidência"/>
      <sheetName val="RD ESFERA"/>
      <sheetName val="Impostos"/>
      <sheetName val="Contribuições"/>
      <sheetName val="Multas"/>
      <sheetName val="Estados"/>
      <sheetName val="Municipios"/>
      <sheetName val="Transferencias"/>
    </sheetNames>
    <sheetDataSet>
      <sheetData sheetId="0">
        <row r="5">
          <cell r="B5">
            <v>1717.95</v>
          </cell>
          <cell r="C5"/>
          <cell r="D5"/>
          <cell r="E5"/>
        </row>
        <row r="6">
          <cell r="B6">
            <v>180619108</v>
          </cell>
          <cell r="C6"/>
          <cell r="D6"/>
          <cell r="E6"/>
        </row>
        <row r="7">
          <cell r="B7">
            <v>560.01486740093776</v>
          </cell>
          <cell r="C7">
            <v>32.597856014490397</v>
          </cell>
          <cell r="D7">
            <v>99.999999999999986</v>
          </cell>
          <cell r="E7">
            <v>3100.5294711174065</v>
          </cell>
        </row>
        <row r="8">
          <cell r="B8"/>
          <cell r="C8"/>
          <cell r="D8"/>
          <cell r="E8">
            <v>0</v>
          </cell>
        </row>
        <row r="9">
          <cell r="B9">
            <v>377.00184365502997</v>
          </cell>
          <cell r="C9">
            <v>21.944867059869615</v>
          </cell>
          <cell r="D9">
            <v>67.319970522339503</v>
          </cell>
          <cell r="E9">
            <v>2087.2755259926871</v>
          </cell>
        </row>
        <row r="10">
          <cell r="B10">
            <v>82.421690026640007</v>
          </cell>
          <cell r="C10">
            <v>4.7976768838813699</v>
          </cell>
          <cell r="D10">
            <v>14.717768192327455</v>
          </cell>
          <cell r="E10">
            <v>456.32874029385647</v>
          </cell>
        </row>
        <row r="11">
          <cell r="B11">
            <v>17.92386812981</v>
          </cell>
          <cell r="C11">
            <v>1.0433288588032248</v>
          </cell>
          <cell r="D11">
            <v>3.2006057648068769</v>
          </cell>
          <cell r="E11">
            <v>99.235724992119884</v>
          </cell>
        </row>
        <row r="12">
          <cell r="B12">
            <v>4.4184167645799999</v>
          </cell>
          <cell r="C12">
            <v>0.25719123167612562</v>
          </cell>
          <cell r="D12">
            <v>0.78898204704566754</v>
          </cell>
          <cell r="E12">
            <v>24.462620890476327</v>
          </cell>
        </row>
        <row r="13">
          <cell r="B13">
            <v>8.1282985647099988</v>
          </cell>
          <cell r="C13">
            <v>0.47313941411042221</v>
          </cell>
          <cell r="D13">
            <v>1.4514433522870409</v>
          </cell>
          <cell r="E13">
            <v>45.00242889423415</v>
          </cell>
        </row>
        <row r="14">
          <cell r="B14">
            <v>0.22792357568000002</v>
          </cell>
          <cell r="C14">
            <v>1.3267183310340816E-2</v>
          </cell>
          <cell r="D14">
            <v>4.069955798455975E-2</v>
          </cell>
          <cell r="E14">
            <v>1.2619017899257925</v>
          </cell>
        </row>
        <row r="15">
          <cell r="B15">
            <v>2.07084075122</v>
          </cell>
          <cell r="C15">
            <v>0.12054138660729358</v>
          </cell>
          <cell r="D15">
            <v>0.3697831739415946</v>
          </cell>
          <cell r="E15">
            <v>11.465236287292482</v>
          </cell>
        </row>
        <row r="16">
          <cell r="B16">
            <v>79.375176293060008</v>
          </cell>
          <cell r="C16">
            <v>4.6203426347134666</v>
          </cell>
          <cell r="D16">
            <v>14.17376232553341</v>
          </cell>
          <cell r="E16">
            <v>439.46167806929935</v>
          </cell>
        </row>
        <row r="17">
          <cell r="B17">
            <v>57.522166297600009</v>
          </cell>
          <cell r="C17">
            <v>3.3483027036642512</v>
          </cell>
          <cell r="D17">
            <v>10.271542711814741</v>
          </cell>
          <cell r="E17">
            <v>318.47220891822809</v>
          </cell>
        </row>
        <row r="18">
          <cell r="B18">
            <v>22.98413782343</v>
          </cell>
          <cell r="C18">
            <v>1.3378816510043947</v>
          </cell>
          <cell r="D18">
            <v>4.1042013634567862</v>
          </cell>
          <cell r="E18">
            <v>127.25197282798008</v>
          </cell>
        </row>
        <row r="19">
          <cell r="B19">
            <v>15.66135307399</v>
          </cell>
          <cell r="C19">
            <v>0.91163031950813456</v>
          </cell>
          <cell r="D19">
            <v>2.7965959451532538</v>
          </cell>
          <cell r="E19">
            <v>86.709281467551037</v>
          </cell>
        </row>
        <row r="20">
          <cell r="B20">
            <v>16.506661782369999</v>
          </cell>
          <cell r="C20">
            <v>0.96083481954480632</v>
          </cell>
          <cell r="D20">
            <v>2.9475399213914439</v>
          </cell>
          <cell r="E20">
            <v>91.389343935692551</v>
          </cell>
        </row>
        <row r="21">
          <cell r="B21">
            <v>5.4663563993300013</v>
          </cell>
          <cell r="C21">
            <v>0.31819065743065872</v>
          </cell>
          <cell r="D21">
            <v>0.97610915665501619</v>
          </cell>
          <cell r="E21">
            <v>30.264552072364353</v>
          </cell>
        </row>
        <row r="22">
          <cell r="B22">
            <v>4.32303249906</v>
          </cell>
          <cell r="C22">
            <v>0.25163901737885269</v>
          </cell>
          <cell r="D22">
            <v>0.77194959468191449</v>
          </cell>
          <cell r="E22">
            <v>23.934524685284131</v>
          </cell>
        </row>
        <row r="23">
          <cell r="B23">
            <v>24.956352242580003</v>
          </cell>
          <cell r="C23">
            <v>1.4526821061486075</v>
          </cell>
          <cell r="D23">
            <v>4.4563731599491128</v>
          </cell>
          <cell r="E23">
            <v>138.17116316718827</v>
          </cell>
        </row>
        <row r="24">
          <cell r="B24">
            <v>21.707805412799999</v>
          </cell>
          <cell r="C24">
            <v>1.2635877303064698</v>
          </cell>
          <cell r="D24">
            <v>3.87629091233724</v>
          </cell>
          <cell r="E24">
            <v>120.18554212326195</v>
          </cell>
        </row>
        <row r="25">
          <cell r="B25">
            <v>3.9836310193399997</v>
          </cell>
          <cell r="C25">
            <v>0.23188282658633835</v>
          </cell>
          <cell r="D25">
            <v>0.71134379660816294</v>
          </cell>
          <cell r="E25">
            <v>22.055424054801552</v>
          </cell>
        </row>
        <row r="26">
          <cell r="B26">
            <v>3.9026000000000001</v>
          </cell>
          <cell r="C26">
            <v>0.22716609912977678</v>
          </cell>
          <cell r="D26">
            <v>0.69687435587419277</v>
          </cell>
          <cell r="E26">
            <v>21.606794780538944</v>
          </cell>
        </row>
        <row r="27">
          <cell r="B27">
            <v>5.4215329988300001</v>
          </cell>
          <cell r="C27">
            <v>0.31558153606507755</v>
          </cell>
          <cell r="D27">
            <v>0.96810519049104116</v>
          </cell>
          <cell r="E27">
            <v>30.01638674259204</v>
          </cell>
        </row>
        <row r="28">
          <cell r="B28"/>
          <cell r="C28"/>
          <cell r="D28"/>
          <cell r="E28">
            <v>0</v>
          </cell>
        </row>
        <row r="29">
          <cell r="B29">
            <v>150.58469448876272</v>
          </cell>
          <cell r="C29">
            <v>8.7653711975763375</v>
          </cell>
          <cell r="D29">
            <v>26.889410130776565</v>
          </cell>
          <cell r="E29">
            <v>833.71408571435711</v>
          </cell>
        </row>
        <row r="30">
          <cell r="B30">
            <v>117.13526413602999</v>
          </cell>
          <cell r="C30">
            <v>6.8183162569358817</v>
          </cell>
          <cell r="D30">
            <v>20.916456143327352</v>
          </cell>
          <cell r="E30">
            <v>648.52088703721199</v>
          </cell>
        </row>
        <row r="31">
          <cell r="B31">
            <v>7.6435455051599996</v>
          </cell>
          <cell r="C31">
            <v>0.44492246602986119</v>
          </cell>
          <cell r="D31">
            <v>1.3648826040340944</v>
          </cell>
          <cell r="E31">
            <v>42.31858738423179</v>
          </cell>
        </row>
        <row r="32">
          <cell r="B32">
            <v>0.87184423293000002</v>
          </cell>
          <cell r="C32">
            <v>5.0749104044355196E-2</v>
          </cell>
          <cell r="D32">
            <v>0.15568233696656678</v>
          </cell>
          <cell r="E32">
            <v>4.8269767389727116</v>
          </cell>
        </row>
        <row r="33">
          <cell r="B33">
            <v>6.691621082048667</v>
          </cell>
          <cell r="C33">
            <v>0.38951198125956327</v>
          </cell>
          <cell r="D33">
            <v>1.1949006127471005</v>
          </cell>
          <cell r="E33">
            <v>37.04824564878632</v>
          </cell>
        </row>
        <row r="34">
          <cell r="B34">
            <v>3.5475135351399998</v>
          </cell>
          <cell r="C34">
            <v>0.20649690242090865</v>
          </cell>
          <cell r="D34">
            <v>0.63346774195553435</v>
          </cell>
          <cell r="E34">
            <v>19.640854029353306</v>
          </cell>
        </row>
        <row r="35">
          <cell r="B35">
            <v>10.660093503424049</v>
          </cell>
          <cell r="C35">
            <v>0.620512442354204</v>
          </cell>
          <cell r="D35">
            <v>1.9035375887247734</v>
          </cell>
          <cell r="E35">
            <v>59.019743932209259</v>
          </cell>
        </row>
        <row r="36">
          <cell r="B36">
            <v>0.71515254903999992</v>
          </cell>
          <cell r="C36">
            <v>4.1628251639453995E-2</v>
          </cell>
          <cell r="D36">
            <v>0.12770242196587839</v>
          </cell>
          <cell r="E36">
            <v>3.9594512283827688</v>
          </cell>
        </row>
        <row r="37">
          <cell r="B37">
            <v>3.3196599449899997</v>
          </cell>
          <cell r="C37">
            <v>0.19323379289210976</v>
          </cell>
          <cell r="D37">
            <v>0.59278068105526172</v>
          </cell>
          <cell r="E37">
            <v>18.379339715208868</v>
          </cell>
        </row>
        <row r="38">
          <cell r="B38"/>
          <cell r="C38"/>
          <cell r="D38"/>
          <cell r="E38">
            <v>0</v>
          </cell>
        </row>
        <row r="39">
          <cell r="B39">
            <v>32.428329257145009</v>
          </cell>
          <cell r="C39">
            <v>1.887617757044443</v>
          </cell>
          <cell r="D39">
            <v>5.7906193468839149</v>
          </cell>
          <cell r="E39">
            <v>179.53985941036211</v>
          </cell>
        </row>
        <row r="40">
          <cell r="B40">
            <v>9.6740002598550028</v>
          </cell>
          <cell r="C40">
            <v>0.56311302772810634</v>
          </cell>
          <cell r="D40">
            <v>1.7274541843420359</v>
          </cell>
          <cell r="E40">
            <v>53.560226085575636</v>
          </cell>
        </row>
        <row r="41">
          <cell r="B41">
            <v>8.091733552960001</v>
          </cell>
          <cell r="C41">
            <v>0.47101100456707129</v>
          </cell>
          <cell r="D41">
            <v>1.4449140592488583</v>
          </cell>
          <cell r="E41">
            <v>44.799986239329677</v>
          </cell>
        </row>
        <row r="42">
          <cell r="B42">
            <v>1.6147846514799999</v>
          </cell>
          <cell r="C42">
            <v>9.3994857328793022E-2</v>
          </cell>
          <cell r="D42">
            <v>0.28834674675233374</v>
          </cell>
          <cell r="E42">
            <v>8.9402758620643841</v>
          </cell>
        </row>
        <row r="43">
          <cell r="B43">
            <v>2.1897554116799998</v>
          </cell>
          <cell r="C43">
            <v>0.1274632795878809</v>
          </cell>
          <cell r="D43">
            <v>0.39101737099280681</v>
          </cell>
          <cell r="E43">
            <v>12.12360882482046</v>
          </cell>
        </row>
        <row r="44">
          <cell r="B44">
            <v>2.7502886436600003</v>
          </cell>
          <cell r="C44">
            <v>0.16009130904042609</v>
          </cell>
          <cell r="D44">
            <v>0.49110993363877159</v>
          </cell>
          <cell r="E44">
            <v>15.227008228055253</v>
          </cell>
        </row>
        <row r="45">
          <cell r="B45">
            <v>2.6998817257500001</v>
          </cell>
          <cell r="C45">
            <v>0.15715717720247971</v>
          </cell>
          <cell r="D45">
            <v>0.48210893726452503</v>
          </cell>
          <cell r="E45">
            <v>14.947929682777527</v>
          </cell>
        </row>
        <row r="46">
          <cell r="B46">
            <v>1.5829322907100001</v>
          </cell>
          <cell r="C46">
            <v>9.2140766070607408E-2</v>
          </cell>
          <cell r="D46">
            <v>0.28265897619048624</v>
          </cell>
          <cell r="E46">
            <v>8.7639248595447619</v>
          </cell>
        </row>
        <row r="47">
          <cell r="B47">
            <v>3.8249527210499998</v>
          </cell>
          <cell r="C47">
            <v>0.22264633551907798</v>
          </cell>
          <cell r="D47">
            <v>0.68300913845409716</v>
          </cell>
          <cell r="E47">
            <v>21.176899628194374</v>
          </cell>
        </row>
      </sheetData>
      <sheetData sheetId="1">
        <row r="5">
          <cell r="B5">
            <v>1717.95</v>
          </cell>
          <cell r="C5"/>
          <cell r="D5"/>
        </row>
        <row r="6">
          <cell r="B6">
            <v>180619108</v>
          </cell>
          <cell r="C6"/>
          <cell r="D6"/>
        </row>
        <row r="7">
          <cell r="B7">
            <v>560.01486740093776</v>
          </cell>
          <cell r="C7">
            <v>32.597856014490397</v>
          </cell>
          <cell r="D7">
            <v>99.999999999999972</v>
          </cell>
          <cell r="E7">
            <v>3100.5294711174065</v>
          </cell>
        </row>
        <row r="8">
          <cell r="B8"/>
          <cell r="C8"/>
          <cell r="D8"/>
          <cell r="E8">
            <v>0</v>
          </cell>
        </row>
        <row r="9">
          <cell r="B9">
            <v>377.00184365503003</v>
          </cell>
          <cell r="C9">
            <v>21.944867059869612</v>
          </cell>
          <cell r="D9">
            <v>67.319970522339503</v>
          </cell>
          <cell r="E9">
            <v>2087.2755259926876</v>
          </cell>
        </row>
        <row r="10">
          <cell r="B10">
            <v>113.12019706142</v>
          </cell>
          <cell r="C10">
            <v>6.584603571781483</v>
          </cell>
          <cell r="D10">
            <v>20.199498914451599</v>
          </cell>
          <cell r="E10">
            <v>626.29141686061257</v>
          </cell>
        </row>
        <row r="11">
          <cell r="B11">
            <v>130.34993889512</v>
          </cell>
          <cell r="C11">
            <v>7.5875280942472134</v>
          </cell>
          <cell r="D11">
            <v>23.276156845635509</v>
          </cell>
          <cell r="E11">
            <v>721.68410274244081</v>
          </cell>
        </row>
        <row r="12">
          <cell r="B12">
            <v>79.375176293060008</v>
          </cell>
          <cell r="C12">
            <v>4.6203426347134666</v>
          </cell>
          <cell r="D12">
            <v>14.17376232553341</v>
          </cell>
          <cell r="E12">
            <v>439.46167806929935</v>
          </cell>
        </row>
        <row r="13">
          <cell r="B13">
            <v>24.956352242580003</v>
          </cell>
          <cell r="C13">
            <v>1.4526821061486075</v>
          </cell>
          <cell r="D13">
            <v>4.4563731599491128</v>
          </cell>
          <cell r="E13">
            <v>138.17116316718827</v>
          </cell>
        </row>
        <row r="14">
          <cell r="B14">
            <v>29.200179162849999</v>
          </cell>
          <cell r="C14">
            <v>1.6997106529788408</v>
          </cell>
          <cell r="D14">
            <v>5.214179276769876</v>
          </cell>
          <cell r="E14">
            <v>161.66716515314647</v>
          </cell>
        </row>
        <row r="15">
          <cell r="B15"/>
          <cell r="C15"/>
          <cell r="D15"/>
          <cell r="E15">
            <v>0</v>
          </cell>
        </row>
        <row r="16">
          <cell r="B16">
            <v>150.58469448876269</v>
          </cell>
          <cell r="C16">
            <v>8.7653711975763375</v>
          </cell>
          <cell r="D16">
            <v>26.889410130776561</v>
          </cell>
          <cell r="E16">
            <v>833.714085714357</v>
          </cell>
        </row>
        <row r="17">
          <cell r="B17">
            <v>117.13526413602999</v>
          </cell>
          <cell r="C17">
            <v>6.8183162569358817</v>
          </cell>
          <cell r="D17">
            <v>20.916456143327352</v>
          </cell>
          <cell r="E17">
            <v>648.52088703721199</v>
          </cell>
        </row>
        <row r="18">
          <cell r="B18">
            <v>7.6435455051599996</v>
          </cell>
          <cell r="C18">
            <v>0.44492246602986119</v>
          </cell>
          <cell r="D18">
            <v>1.3648826040340944</v>
          </cell>
          <cell r="E18">
            <v>42.31858738423179</v>
          </cell>
        </row>
        <row r="19">
          <cell r="B19">
            <v>25.805884847572713</v>
          </cell>
          <cell r="C19">
            <v>1.5021324746105946</v>
          </cell>
          <cell r="D19">
            <v>4.6080713834151137</v>
          </cell>
          <cell r="E19">
            <v>142.87461129291322</v>
          </cell>
        </row>
        <row r="20">
          <cell r="B20"/>
          <cell r="C20"/>
          <cell r="D20"/>
          <cell r="E20">
            <v>0</v>
          </cell>
        </row>
        <row r="21">
          <cell r="B21">
            <v>32.428329257145002</v>
          </cell>
          <cell r="C21">
            <v>1.8876177570444428</v>
          </cell>
          <cell r="D21">
            <v>5.7906193468839149</v>
          </cell>
          <cell r="E21">
            <v>179.53985941036206</v>
          </cell>
        </row>
        <row r="22">
          <cell r="B22">
            <v>9.6740002598550028</v>
          </cell>
          <cell r="C22">
            <v>0.56311302772810634</v>
          </cell>
          <cell r="D22">
            <v>1.7274541843420359</v>
          </cell>
          <cell r="E22">
            <v>53.560226085575636</v>
          </cell>
        </row>
        <row r="23">
          <cell r="B23">
            <v>8.091733552960001</v>
          </cell>
          <cell r="C23">
            <v>0.47101100456707129</v>
          </cell>
          <cell r="D23">
            <v>1.4449140592488583</v>
          </cell>
          <cell r="E23">
            <v>44.799986239329677</v>
          </cell>
        </row>
        <row r="24">
          <cell r="B24">
            <v>14.66259544433</v>
          </cell>
          <cell r="C24">
            <v>0.8534937247492651</v>
          </cell>
          <cell r="D24">
            <v>2.6182511032930207</v>
          </cell>
          <cell r="E24">
            <v>81.179647085456764</v>
          </cell>
        </row>
      </sheetData>
      <sheetData sheetId="2">
        <row r="5">
          <cell r="B5">
            <v>1717.95</v>
          </cell>
          <cell r="C5"/>
          <cell r="D5"/>
          <cell r="E5"/>
        </row>
        <row r="6">
          <cell r="B6">
            <v>180619108</v>
          </cell>
          <cell r="C6"/>
          <cell r="D6"/>
          <cell r="E6"/>
        </row>
        <row r="7">
          <cell r="B7">
            <v>560.01486740093776</v>
          </cell>
          <cell r="C7">
            <v>32.597856014490397</v>
          </cell>
          <cell r="D7">
            <v>99.999999999999972</v>
          </cell>
          <cell r="E7">
            <v>3100.5294711174065</v>
          </cell>
        </row>
        <row r="8">
          <cell r="B8"/>
          <cell r="C8"/>
          <cell r="D8"/>
          <cell r="E8">
            <v>0</v>
          </cell>
        </row>
        <row r="9">
          <cell r="B9">
            <v>117.13526413602999</v>
          </cell>
          <cell r="C9">
            <v>6.8183162569358817</v>
          </cell>
          <cell r="D9">
            <v>20.916456143327352</v>
          </cell>
          <cell r="E9">
            <v>648.52088703721199</v>
          </cell>
        </row>
        <row r="10">
          <cell r="B10">
            <v>87.26140731240001</v>
          </cell>
          <cell r="C10">
            <v>5.0793915604295821</v>
          </cell>
          <cell r="D10">
            <v>15.581980478015767</v>
          </cell>
          <cell r="E10">
            <v>483.12389690463982</v>
          </cell>
        </row>
        <row r="11">
          <cell r="B11">
            <v>91.303066520368674</v>
          </cell>
          <cell r="C11">
            <v>5.3146521447288144</v>
          </cell>
          <cell r="D11">
            <v>16.303686176067362</v>
          </cell>
          <cell r="E11">
            <v>505.50059476746316</v>
          </cell>
        </row>
        <row r="12">
          <cell r="B12">
            <v>57.522166297600009</v>
          </cell>
          <cell r="C12">
            <v>3.3483027036642512</v>
          </cell>
          <cell r="D12">
            <v>10.271542711814741</v>
          </cell>
          <cell r="E12">
            <v>318.47220891822809</v>
          </cell>
        </row>
        <row r="13">
          <cell r="B13">
            <v>24.956352242580003</v>
          </cell>
          <cell r="C13">
            <v>1.4526821061486075</v>
          </cell>
          <cell r="D13">
            <v>4.4563731599491128</v>
          </cell>
          <cell r="E13">
            <v>138.17116316718827</v>
          </cell>
        </row>
        <row r="14">
          <cell r="B14">
            <v>22.98413782343</v>
          </cell>
          <cell r="C14">
            <v>1.3378816510043947</v>
          </cell>
          <cell r="D14">
            <v>4.1042013634567862</v>
          </cell>
          <cell r="E14">
            <v>127.25197282798008</v>
          </cell>
        </row>
        <row r="15">
          <cell r="B15">
            <v>17.92386812981</v>
          </cell>
          <cell r="C15">
            <v>1.0433288588032248</v>
          </cell>
          <cell r="D15">
            <v>3.2006057648068769</v>
          </cell>
          <cell r="E15">
            <v>99.235724992119884</v>
          </cell>
        </row>
        <row r="16">
          <cell r="B16">
            <v>15.66135307399</v>
          </cell>
          <cell r="C16">
            <v>0.91163031950813456</v>
          </cell>
          <cell r="D16">
            <v>2.7965959451532538</v>
          </cell>
          <cell r="E16">
            <v>86.709281467551037</v>
          </cell>
        </row>
        <row r="17">
          <cell r="B17">
            <v>16.506661782369999</v>
          </cell>
          <cell r="C17">
            <v>0.96083481954480632</v>
          </cell>
          <cell r="D17">
            <v>2.9475399213914439</v>
          </cell>
          <cell r="E17">
            <v>91.389343935692551</v>
          </cell>
        </row>
        <row r="18">
          <cell r="B18">
            <v>9.6740002598550028</v>
          </cell>
          <cell r="C18">
            <v>0.56311302772810634</v>
          </cell>
          <cell r="D18">
            <v>1.7274541843420359</v>
          </cell>
          <cell r="E18">
            <v>53.560226085575636</v>
          </cell>
        </row>
        <row r="19">
          <cell r="B19">
            <v>8.1282985647099988</v>
          </cell>
          <cell r="C19">
            <v>0.47313941411042221</v>
          </cell>
          <cell r="D19">
            <v>1.4514433522870409</v>
          </cell>
          <cell r="E19">
            <v>45.00242889423415</v>
          </cell>
        </row>
        <row r="20">
          <cell r="B20">
            <v>7.6435455051599996</v>
          </cell>
          <cell r="C20">
            <v>0.44492246602986119</v>
          </cell>
          <cell r="D20">
            <v>1.3648826040340944</v>
          </cell>
          <cell r="E20">
            <v>42.31858738423179</v>
          </cell>
        </row>
        <row r="21">
          <cell r="B21">
            <v>8.091733552960001</v>
          </cell>
          <cell r="C21">
            <v>0.47101100456707129</v>
          </cell>
          <cell r="D21">
            <v>1.4449140592488583</v>
          </cell>
          <cell r="E21">
            <v>44.799986239329677</v>
          </cell>
        </row>
        <row r="22">
          <cell r="B22">
            <v>4.4184167645799999</v>
          </cell>
          <cell r="C22">
            <v>0.25719123167612562</v>
          </cell>
          <cell r="D22">
            <v>0.78898204704566754</v>
          </cell>
          <cell r="E22">
            <v>24.462620890476327</v>
          </cell>
        </row>
        <row r="23">
          <cell r="B23">
            <v>1.6147846514799999</v>
          </cell>
          <cell r="C23">
            <v>9.3994857328793022E-2</v>
          </cell>
          <cell r="D23">
            <v>0.28834674675233374</v>
          </cell>
          <cell r="E23">
            <v>8.9402758620643841</v>
          </cell>
        </row>
        <row r="24">
          <cell r="B24">
            <v>0.87184423293000002</v>
          </cell>
          <cell r="C24">
            <v>5.0749104044355196E-2</v>
          </cell>
          <cell r="D24">
            <v>0.15568233696656678</v>
          </cell>
          <cell r="E24">
            <v>4.8269767389727116</v>
          </cell>
        </row>
        <row r="25">
          <cell r="B25">
            <v>0.22792357568000002</v>
          </cell>
          <cell r="C25">
            <v>1.3267183310340816E-2</v>
          </cell>
          <cell r="D25">
            <v>4.069955798455975E-2</v>
          </cell>
          <cell r="E25">
            <v>1.2619017899257925</v>
          </cell>
        </row>
        <row r="26">
          <cell r="B26">
            <v>68.090042975004053</v>
          </cell>
          <cell r="C26">
            <v>3.9634473049276204</v>
          </cell>
          <cell r="D26">
            <v>12.158613447356137</v>
          </cell>
          <cell r="E26">
            <v>376.98139321452106</v>
          </cell>
        </row>
      </sheetData>
      <sheetData sheetId="3">
        <row r="5">
          <cell r="B5">
            <v>1717.95</v>
          </cell>
          <cell r="C5"/>
          <cell r="D5"/>
        </row>
        <row r="6">
          <cell r="B6">
            <v>180619108</v>
          </cell>
          <cell r="C6"/>
          <cell r="D6"/>
          <cell r="E6"/>
        </row>
        <row r="7">
          <cell r="B7">
            <v>560.01486740093776</v>
          </cell>
          <cell r="C7">
            <v>32.597856014490389</v>
          </cell>
          <cell r="D7">
            <v>99.999999999999986</v>
          </cell>
          <cell r="E7">
            <v>3100.5294711174065</v>
          </cell>
        </row>
        <row r="8">
          <cell r="B8"/>
          <cell r="C8"/>
          <cell r="D8"/>
          <cell r="E8">
            <v>0</v>
          </cell>
        </row>
        <row r="9">
          <cell r="B9">
            <v>242.660041469795</v>
          </cell>
          <cell r="C9">
            <v>14.124976947512732</v>
          </cell>
          <cell r="D9">
            <v>43.330999870770334</v>
          </cell>
          <cell r="E9">
            <v>1343.4904211230796</v>
          </cell>
        </row>
        <row r="10">
          <cell r="B10">
            <v>133.06196518290406</v>
          </cell>
          <cell r="C10">
            <v>7.7453921931897929</v>
          </cell>
          <cell r="D10">
            <v>23.760434397117443</v>
          </cell>
          <cell r="E10">
            <v>736.69927094814386</v>
          </cell>
        </row>
        <row r="11">
          <cell r="B11">
            <v>108.34993688717867</v>
          </cell>
          <cell r="C11">
            <v>6.3069319181104619</v>
          </cell>
          <cell r="D11">
            <v>19.347689355112511</v>
          </cell>
          <cell r="E11">
            <v>599.88081043550869</v>
          </cell>
        </row>
        <row r="12">
          <cell r="B12">
            <v>18.449831518210001</v>
          </cell>
          <cell r="C12">
            <v>1.0739446152804215</v>
          </cell>
          <cell r="D12">
            <v>3.2945253049864127</v>
          </cell>
          <cell r="E12">
            <v>102.14772801452435</v>
          </cell>
        </row>
        <row r="13">
          <cell r="B13">
            <v>8.1282985647099988</v>
          </cell>
          <cell r="C13">
            <v>0.47313941411042221</v>
          </cell>
          <cell r="D13">
            <v>1.4514433522870411</v>
          </cell>
          <cell r="E13">
            <v>45.00242889423415</v>
          </cell>
        </row>
        <row r="14">
          <cell r="B14">
            <v>8.36864293002</v>
          </cell>
          <cell r="C14">
            <v>0.48712959806862832</v>
          </cell>
          <cell r="D14">
            <v>1.4943608495359004</v>
          </cell>
          <cell r="E14">
            <v>46.333098544701045</v>
          </cell>
        </row>
        <row r="15">
          <cell r="B15">
            <v>27.402554588009998</v>
          </cell>
          <cell r="C15">
            <v>1.5950728826805201</v>
          </cell>
          <cell r="D15">
            <v>4.893183410502453</v>
          </cell>
          <cell r="E15">
            <v>151.7145937184564</v>
          </cell>
        </row>
        <row r="16">
          <cell r="B16">
            <v>13.593596260110001</v>
          </cell>
          <cell r="C16">
            <v>0.79126844553741371</v>
          </cell>
          <cell r="D16">
            <v>2.4273634596878986</v>
          </cell>
          <cell r="E16">
            <v>75.261119438758385</v>
          </cell>
        </row>
      </sheetData>
      <sheetData sheetId="4">
        <row r="5">
          <cell r="B5">
            <v>1717.95</v>
          </cell>
          <cell r="C5"/>
          <cell r="D5"/>
          <cell r="E5"/>
        </row>
        <row r="6">
          <cell r="B6">
            <v>180619108</v>
          </cell>
          <cell r="C6"/>
          <cell r="D6"/>
          <cell r="E6"/>
        </row>
        <row r="7">
          <cell r="B7">
            <v>560.01486740093776</v>
          </cell>
          <cell r="C7">
            <v>32.597856014490389</v>
          </cell>
          <cell r="D7">
            <v>100</v>
          </cell>
          <cell r="E7">
            <v>3100.5294711174065</v>
          </cell>
        </row>
        <row r="8">
          <cell r="B8"/>
          <cell r="C8"/>
          <cell r="D8"/>
          <cell r="E8">
            <v>0</v>
          </cell>
        </row>
        <row r="9">
          <cell r="B9">
            <v>317.23556429657572</v>
          </cell>
          <cell r="C9">
            <v>18.465936977011886</v>
          </cell>
          <cell r="D9">
            <v>56.647703974161409</v>
          </cell>
          <cell r="E9">
            <v>1756.3787564302208</v>
          </cell>
        </row>
        <row r="10">
          <cell r="B10"/>
          <cell r="C10"/>
          <cell r="D10"/>
          <cell r="E10">
            <v>0</v>
          </cell>
        </row>
        <row r="11">
          <cell r="B11">
            <v>145.53835805792653</v>
          </cell>
          <cell r="C11">
            <v>8.4716294454394205</v>
          </cell>
          <cell r="D11">
            <v>25.988302548712451</v>
          </cell>
          <cell r="E11">
            <v>805.77497956598563</v>
          </cell>
        </row>
        <row r="12">
          <cell r="B12"/>
          <cell r="C12"/>
          <cell r="D12"/>
          <cell r="E12">
            <v>0</v>
          </cell>
        </row>
        <row r="13">
          <cell r="B13">
            <v>97.240945046435499</v>
          </cell>
          <cell r="C13">
            <v>5.6602895920390868</v>
          </cell>
          <cell r="D13">
            <v>17.363993477126151</v>
          </cell>
          <cell r="E13">
            <v>538.37573512120048</v>
          </cell>
        </row>
        <row r="14">
          <cell r="B14"/>
          <cell r="C14"/>
          <cell r="D14"/>
          <cell r="E14">
            <v>0</v>
          </cell>
        </row>
        <row r="15">
          <cell r="B15"/>
          <cell r="C15"/>
          <cell r="D15"/>
          <cell r="E15">
            <v>0</v>
          </cell>
        </row>
        <row r="16">
          <cell r="B16"/>
          <cell r="C16"/>
          <cell r="D16"/>
          <cell r="E16">
            <v>0</v>
          </cell>
        </row>
        <row r="17">
          <cell r="B17">
            <v>32.544119284063832</v>
          </cell>
          <cell r="C17">
            <v>1.8943577685068738</v>
          </cell>
          <cell r="D17">
            <v>5.8112955884730404</v>
          </cell>
          <cell r="E17">
            <v>180.1809323743523</v>
          </cell>
        </row>
        <row r="18">
          <cell r="B18">
            <v>18.457708494360002</v>
          </cell>
          <cell r="C18">
            <v>1.0744031254902646</v>
          </cell>
          <cell r="D18">
            <v>3.2959318705275318</v>
          </cell>
          <cell r="E18">
            <v>102.19133899365731</v>
          </cell>
        </row>
        <row r="19">
          <cell r="B19">
            <v>1.5332463194900003</v>
          </cell>
          <cell r="C19">
            <v>8.9248599754940497E-2</v>
          </cell>
          <cell r="D19">
            <v>0.27378671687876566</v>
          </cell>
          <cell r="E19">
            <v>8.4888378448309041</v>
          </cell>
        </row>
        <row r="20">
          <cell r="B20">
            <v>1.5838313400000001E-3</v>
          </cell>
          <cell r="C20">
            <v>9.2193098751418843E-5</v>
          </cell>
          <cell r="D20">
            <v>2.8281951644438575E-4</v>
          </cell>
          <cell r="E20">
            <v>8.7689024574299206E-3</v>
          </cell>
        </row>
        <row r="21">
          <cell r="B21">
            <v>2.4247316003599995</v>
          </cell>
          <cell r="C21">
            <v>0.14114098782618817</v>
          </cell>
          <cell r="D21">
            <v>0.43297629072123095</v>
          </cell>
          <cell r="E21">
            <v>13.424557496762743</v>
          </cell>
        </row>
        <row r="22">
          <cell r="B22">
            <v>3.5056670477099998</v>
          </cell>
          <cell r="C22">
            <v>0.20406106392560899</v>
          </cell>
          <cell r="D22">
            <v>0.62599535329838818</v>
          </cell>
          <cell r="E22">
            <v>19.409170416842056</v>
          </cell>
        </row>
        <row r="23">
          <cell r="B23">
            <v>2.6557540128933343</v>
          </cell>
          <cell r="C23">
            <v>0.15458855105755898</v>
          </cell>
          <cell r="D23">
            <v>0.47422919773877559</v>
          </cell>
          <cell r="E23">
            <v>14.703616036534376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3.9654279779105002</v>
          </cell>
          <cell r="C26">
            <v>0.23082324735356094</v>
          </cell>
          <cell r="D26">
            <v>0.7080933397919037</v>
          </cell>
          <cell r="E26">
            <v>21.954642683267487</v>
          </cell>
        </row>
        <row r="27">
          <cell r="B27"/>
          <cell r="C27"/>
          <cell r="D27"/>
          <cell r="E27">
            <v>0</v>
          </cell>
        </row>
        <row r="28">
          <cell r="B28">
            <v>27.222160074390501</v>
          </cell>
          <cell r="C28">
            <v>1.5845723143508548</v>
          </cell>
          <cell r="D28">
            <v>4.8609709597050834</v>
          </cell>
          <cell r="E28">
            <v>150.71583718811468</v>
          </cell>
        </row>
        <row r="29">
          <cell r="B29">
            <v>19.342890965630005</v>
          </cell>
          <cell r="C29">
            <v>1.1259286338735124</v>
          </cell>
          <cell r="D29">
            <v>3.4539959725357852</v>
          </cell>
          <cell r="E29">
            <v>107.09216305968029</v>
          </cell>
        </row>
        <row r="30">
          <cell r="B30">
            <v>0.13272250191000001</v>
          </cell>
          <cell r="C30">
            <v>7.7256324054832803E-3</v>
          </cell>
          <cell r="D30">
            <v>2.3699817564839493E-2</v>
          </cell>
          <cell r="E30">
            <v>0.73481982819890801</v>
          </cell>
        </row>
        <row r="31">
          <cell r="B31">
            <v>3.6956061099999997E-3</v>
          </cell>
          <cell r="C31">
            <v>2.1511721004685816E-4</v>
          </cell>
          <cell r="D31">
            <v>6.5991214253855932E-4</v>
          </cell>
          <cell r="E31">
            <v>2.0460770462890337E-2</v>
          </cell>
        </row>
        <row r="32">
          <cell r="B32">
            <v>0.86408550476999957</v>
          </cell>
          <cell r="C32">
            <v>5.0297476921330631E-2</v>
          </cell>
          <cell r="D32">
            <v>0.1542968865773639</v>
          </cell>
          <cell r="E32">
            <v>4.7840204413477654</v>
          </cell>
        </row>
        <row r="33">
          <cell r="B33">
            <v>4.3511238180599996</v>
          </cell>
          <cell r="C33">
            <v>0.25327418248843098</v>
          </cell>
          <cell r="D33">
            <v>0.77696576847215237</v>
          </cell>
          <cell r="E33">
            <v>24.09005263197291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2.5276416779104998</v>
          </cell>
          <cell r="C36">
            <v>0.14713127145205041</v>
          </cell>
          <cell r="D36">
            <v>0.45135260241240305</v>
          </cell>
          <cell r="E36">
            <v>13.994320456451925</v>
          </cell>
        </row>
        <row r="37">
          <cell r="B37"/>
          <cell r="C37"/>
          <cell r="D37"/>
          <cell r="E37">
            <v>0</v>
          </cell>
        </row>
        <row r="38">
          <cell r="B38">
            <v>37.590455714899996</v>
          </cell>
          <cell r="C38">
            <v>2.1880995206437901</v>
          </cell>
          <cell r="D38">
            <v>4.5129493960900309</v>
          </cell>
          <cell r="E38">
            <v>208.12003852272372</v>
          </cell>
        </row>
        <row r="39">
          <cell r="B39">
            <v>24.953861926707496</v>
          </cell>
          <cell r="C39">
            <v>1.4525371475716693</v>
          </cell>
          <cell r="D39">
            <v>2.2564746980450154</v>
          </cell>
          <cell r="E39">
            <v>138.15737550153054</v>
          </cell>
        </row>
        <row r="40">
          <cell r="B40">
            <v>3.8217727525799998</v>
          </cell>
          <cell r="C40">
            <v>0.22246123301493059</v>
          </cell>
          <cell r="D40">
            <v>0.68244130201704734</v>
          </cell>
          <cell r="E40">
            <v>21.159293692115895</v>
          </cell>
        </row>
        <row r="41">
          <cell r="B41">
            <v>0.38331157987250009</v>
          </cell>
          <cell r="C41">
            <v>2.2312149938735124E-2</v>
          </cell>
          <cell r="D41">
            <v>6.8446679219691414E-2</v>
          </cell>
          <cell r="E41">
            <v>2.122209461207726</v>
          </cell>
        </row>
        <row r="42">
          <cell r="B42">
            <v>8.4315094557400005</v>
          </cell>
          <cell r="C42">
            <v>0.49078899011845517</v>
          </cell>
          <cell r="D42">
            <v>1.5055867168082766</v>
          </cell>
          <cell r="E42">
            <v>46.681159867869574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GOVDetalhado"/>
      <sheetName val="AD ESFERA"/>
      <sheetName val="PRINCIPAIS TRIBUTOS"/>
      <sheetName val="Bases de Incidência"/>
      <sheetName val="RD ESFERA"/>
      <sheetName val="Impostos"/>
      <sheetName val="Contribuições"/>
      <sheetName val="Multas"/>
      <sheetName val="Estados"/>
      <sheetName val="Municipios"/>
      <sheetName val="Transferencias"/>
    </sheetNames>
    <sheetDataSet>
      <sheetData sheetId="0">
        <row r="5">
          <cell r="B5">
            <v>1957.751</v>
          </cell>
          <cell r="C5"/>
          <cell r="D5"/>
          <cell r="E5"/>
        </row>
        <row r="6">
          <cell r="B6">
            <v>182911487</v>
          </cell>
          <cell r="C6"/>
          <cell r="D6"/>
          <cell r="E6"/>
        </row>
        <row r="7">
          <cell r="B7">
            <v>658.25295701947584</v>
          </cell>
          <cell r="C7">
            <v>33.622915121457005</v>
          </cell>
          <cell r="D7">
            <v>100.00000000000003</v>
          </cell>
          <cell r="E7">
            <v>3598.7513294858068</v>
          </cell>
        </row>
        <row r="8">
          <cell r="B8"/>
          <cell r="C8"/>
          <cell r="D8"/>
          <cell r="E8">
            <v>0</v>
          </cell>
        </row>
        <row r="9">
          <cell r="B9">
            <v>443.4438623753199</v>
          </cell>
          <cell r="C9">
            <v>22.65067735249886</v>
          </cell>
          <cell r="D9">
            <v>67.366786225040826</v>
          </cell>
          <cell r="E9">
            <v>2424.3631149055163</v>
          </cell>
        </row>
        <row r="10">
          <cell r="B10">
            <v>90.36273354910999</v>
          </cell>
          <cell r="C10">
            <v>4.6156397595562453</v>
          </cell>
          <cell r="D10">
            <v>13.72766086129962</v>
          </cell>
          <cell r="E10">
            <v>494.02437775332277</v>
          </cell>
        </row>
        <row r="11">
          <cell r="B11">
            <v>21.05903418362</v>
          </cell>
          <cell r="C11">
            <v>1.0756748015258324</v>
          </cell>
          <cell r="D11">
            <v>3.1992312315578286</v>
          </cell>
          <cell r="E11">
            <v>115.13237647901249</v>
          </cell>
        </row>
        <row r="12">
          <cell r="B12">
            <v>5.2309541445300001</v>
          </cell>
          <cell r="C12">
            <v>0.26719200473042792</v>
          </cell>
          <cell r="D12">
            <v>0.79467233511800717</v>
          </cell>
          <cell r="E12">
            <v>28.598281225115183</v>
          </cell>
        </row>
        <row r="13">
          <cell r="B13">
            <v>9.215887946799997</v>
          </cell>
          <cell r="C13">
            <v>0.47073851305911724</v>
          </cell>
          <cell r="D13">
            <v>1.4000526467103023</v>
          </cell>
          <cell r="E13">
            <v>50.384413236988209</v>
          </cell>
        </row>
        <row r="14">
          <cell r="B14">
            <v>0.23977248517999999</v>
          </cell>
          <cell r="C14">
            <v>1.2247343261732466E-2</v>
          </cell>
          <cell r="D14">
            <v>3.6425584210919973E-2</v>
          </cell>
          <cell r="E14">
            <v>1.3108661960634544</v>
          </cell>
        </row>
        <row r="15">
          <cell r="B15">
            <v>2.5659850338600001</v>
          </cell>
          <cell r="C15">
            <v>0.13106799760848034</v>
          </cell>
          <cell r="D15">
            <v>0.38981747161130947</v>
          </cell>
          <cell r="E15">
            <v>14.028561442179955</v>
          </cell>
        </row>
        <row r="16">
          <cell r="B16">
            <v>93.32754625681001</v>
          </cell>
          <cell r="C16">
            <v>4.7670794833873158</v>
          </cell>
          <cell r="D16">
            <v>14.178067149047191</v>
          </cell>
          <cell r="E16">
            <v>510.23338002172608</v>
          </cell>
        </row>
        <row r="17">
          <cell r="B17">
            <v>77.290068584170001</v>
          </cell>
          <cell r="C17">
            <v>3.9479008609455439</v>
          </cell>
          <cell r="D17">
            <v>11.741697133292666</v>
          </cell>
          <cell r="E17">
            <v>422.55448168856668</v>
          </cell>
        </row>
        <row r="18">
          <cell r="B18">
            <v>26.393531023000001</v>
          </cell>
          <cell r="C18">
            <v>1.3481556655059812</v>
          </cell>
          <cell r="D18">
            <v>4.0096334914328526</v>
          </cell>
          <cell r="E18">
            <v>144.29673858044794</v>
          </cell>
        </row>
        <row r="19">
          <cell r="B19">
            <v>19.309498564270001</v>
          </cell>
          <cell r="C19">
            <v>0.98631023885417513</v>
          </cell>
          <cell r="D19">
            <v>2.9334465357667496</v>
          </cell>
          <cell r="E19">
            <v>105.56744620566121</v>
          </cell>
        </row>
        <row r="20">
          <cell r="B20">
            <v>19.27806162253</v>
          </cell>
          <cell r="C20">
            <v>0.98470447071818623</v>
          </cell>
          <cell r="D20">
            <v>2.9286707210279372</v>
          </cell>
          <cell r="E20">
            <v>105.39557650925444</v>
          </cell>
        </row>
        <row r="21">
          <cell r="B21">
            <v>8.3545699018700024</v>
          </cell>
          <cell r="C21">
            <v>0.42674323250862867</v>
          </cell>
          <cell r="D21">
            <v>1.2692035505163428</v>
          </cell>
          <cell r="E21">
            <v>45.675479648087943</v>
          </cell>
        </row>
        <row r="22">
          <cell r="B22">
            <v>4.1312495653500001</v>
          </cell>
          <cell r="C22">
            <v>0.21102017393172062</v>
          </cell>
          <cell r="D22">
            <v>0.62760820461118993</v>
          </cell>
          <cell r="E22">
            <v>22.5860586074072</v>
          </cell>
        </row>
        <row r="23">
          <cell r="B23">
            <v>28.269333316919997</v>
          </cell>
          <cell r="C23">
            <v>1.4439698060131241</v>
          </cell>
          <cell r="D23">
            <v>4.2946002772128216</v>
          </cell>
          <cell r="E23">
            <v>154.55198457229753</v>
          </cell>
        </row>
        <row r="24">
          <cell r="B24">
            <v>22.904585273780004</v>
          </cell>
          <cell r="C24">
            <v>1.1699437402294777</v>
          </cell>
          <cell r="D24">
            <v>3.4796023366898936</v>
          </cell>
          <cell r="E24">
            <v>125.22223535244675</v>
          </cell>
        </row>
        <row r="25">
          <cell r="B25">
            <v>4.8023867706000001</v>
          </cell>
          <cell r="C25">
            <v>0.24530120380988185</v>
          </cell>
          <cell r="D25">
            <v>0.7295655445810495</v>
          </cell>
          <cell r="E25">
            <v>26.255249735080884</v>
          </cell>
        </row>
        <row r="26">
          <cell r="B26">
            <v>4.9419799999999992</v>
          </cell>
          <cell r="C26">
            <v>0.2524314889891513</v>
          </cell>
          <cell r="D26">
            <v>0.75077216855613471</v>
          </cell>
          <cell r="E26">
            <v>27.018423397323314</v>
          </cell>
        </row>
        <row r="27">
          <cell r="B27">
            <v>5.7666841529199999</v>
          </cell>
          <cell r="C27">
            <v>0.29455656786383966</v>
          </cell>
          <cell r="D27">
            <v>0.87605898179799291</v>
          </cell>
          <cell r="E27">
            <v>31.52718425453509</v>
          </cell>
        </row>
        <row r="28">
          <cell r="B28"/>
          <cell r="C28"/>
          <cell r="D28"/>
          <cell r="E28">
            <v>0</v>
          </cell>
        </row>
        <row r="29">
          <cell r="B29">
            <v>176.27545444093036</v>
          </cell>
          <cell r="C29">
            <v>9.0039772392367716</v>
          </cell>
          <cell r="D29">
            <v>26.779287895506538</v>
          </cell>
          <cell r="E29">
            <v>963.71997916637326</v>
          </cell>
        </row>
        <row r="30">
          <cell r="B30">
            <v>136.58038502532997</v>
          </cell>
          <cell r="C30">
            <v>6.9763920450215569</v>
          </cell>
          <cell r="D30">
            <v>20.748920847048922</v>
          </cell>
          <cell r="E30">
            <v>746.70206483713059</v>
          </cell>
        </row>
        <row r="31">
          <cell r="B31">
            <v>8.8129406267299988</v>
          </cell>
          <cell r="C31">
            <v>0.45015635934958009</v>
          </cell>
          <cell r="D31">
            <v>1.3388379851166015</v>
          </cell>
          <cell r="E31">
            <v>48.181449789044684</v>
          </cell>
        </row>
        <row r="32">
          <cell r="B32">
            <v>0.73606959735999999</v>
          </cell>
          <cell r="C32">
            <v>3.7597712751008684E-2</v>
          </cell>
          <cell r="D32">
            <v>0.1118216924832169</v>
          </cell>
          <cell r="E32">
            <v>4.0241846448932979</v>
          </cell>
        </row>
        <row r="33">
          <cell r="B33">
            <v>8.1076953916495018</v>
          </cell>
          <cell r="C33">
            <v>0.41413312477682312</v>
          </cell>
          <cell r="D33">
            <v>1.2316990459656407</v>
          </cell>
          <cell r="E33">
            <v>44.325785791952484</v>
          </cell>
        </row>
        <row r="34">
          <cell r="B34">
            <v>4.3686961908299997</v>
          </cell>
          <cell r="C34">
            <v>0.2231487145622707</v>
          </cell>
          <cell r="D34">
            <v>0.66368045053852198</v>
          </cell>
          <cell r="E34">
            <v>23.884209037292447</v>
          </cell>
        </row>
        <row r="35">
          <cell r="B35">
            <v>13.294473277585835</v>
          </cell>
          <cell r="C35">
            <v>0.67906864956707136</v>
          </cell>
          <cell r="D35">
            <v>2.0196602439558036</v>
          </cell>
          <cell r="E35">
            <v>72.682549880455753</v>
          </cell>
        </row>
        <row r="36">
          <cell r="B36">
            <v>0.75314870635999998</v>
          </cell>
          <cell r="C36">
            <v>3.8470096879531665E-2</v>
          </cell>
          <cell r="D36">
            <v>0.11441630429891354</v>
          </cell>
          <cell r="E36">
            <v>4.1175582721056774</v>
          </cell>
        </row>
        <row r="37">
          <cell r="B37">
            <v>3.6220456250850006</v>
          </cell>
          <cell r="C37">
            <v>0.18501053632893052</v>
          </cell>
          <cell r="D37">
            <v>0.55025132609891714</v>
          </cell>
          <cell r="E37">
            <v>19.802176913498059</v>
          </cell>
        </row>
        <row r="38">
          <cell r="B38"/>
          <cell r="C38"/>
          <cell r="D38"/>
          <cell r="E38">
            <v>0</v>
          </cell>
        </row>
        <row r="39">
          <cell r="B39">
            <v>38.533640203225502</v>
          </cell>
          <cell r="C39">
            <v>1.9682605297213742</v>
          </cell>
          <cell r="D39">
            <v>5.853925879452663</v>
          </cell>
          <cell r="E39">
            <v>210.66823541391636</v>
          </cell>
        </row>
        <row r="40">
          <cell r="B40">
            <v>11.681605275100001</v>
          </cell>
          <cell r="C40">
            <v>0.59668493465716532</v>
          </cell>
          <cell r="D40">
            <v>1.7746377210356195</v>
          </cell>
          <cell r="E40">
            <v>63.864798579325971</v>
          </cell>
        </row>
        <row r="41">
          <cell r="B41">
            <v>9.5086534598955001</v>
          </cell>
          <cell r="C41">
            <v>0.48569268818636796</v>
          </cell>
          <cell r="D41">
            <v>1.4445287876791366</v>
          </cell>
          <cell r="E41">
            <v>51.984998951408123</v>
          </cell>
        </row>
        <row r="42">
          <cell r="B42">
            <v>1.7407975789700001</v>
          </cell>
          <cell r="C42">
            <v>8.8918232143413545E-2</v>
          </cell>
          <cell r="D42">
            <v>0.26445723644785618</v>
          </cell>
          <cell r="E42">
            <v>9.517158312588645</v>
          </cell>
        </row>
        <row r="43">
          <cell r="B43">
            <v>2.4195037602499996</v>
          </cell>
          <cell r="C43">
            <v>0.12358587788998703</v>
          </cell>
          <cell r="D43">
            <v>0.36756443468257965</v>
          </cell>
          <cell r="E43">
            <v>13.227729979856321</v>
          </cell>
        </row>
        <row r="44">
          <cell r="B44">
            <v>2.7295108930400001</v>
          </cell>
          <cell r="C44">
            <v>0.13942073803256902</v>
          </cell>
          <cell r="D44">
            <v>0.41465987565009033</v>
          </cell>
          <cell r="E44">
            <v>14.922577787801812</v>
          </cell>
        </row>
        <row r="45">
          <cell r="B45">
            <v>3.3940957893100001</v>
          </cell>
          <cell r="C45">
            <v>0.17336708239760829</v>
          </cell>
          <cell r="D45">
            <v>0.51562180664986801</v>
          </cell>
          <cell r="E45">
            <v>18.555946621930858</v>
          </cell>
        </row>
        <row r="46">
          <cell r="B46">
            <v>2.6249195036800006</v>
          </cell>
          <cell r="C46">
            <v>0.13407831249632873</v>
          </cell>
          <cell r="D46">
            <v>0.39877063607362373</v>
          </cell>
          <cell r="E46">
            <v>14.350763567298541</v>
          </cell>
        </row>
        <row r="47">
          <cell r="B47">
            <v>4.4345539429799992</v>
          </cell>
          <cell r="C47">
            <v>0.22651266391793437</v>
          </cell>
          <cell r="D47">
            <v>0.67368538123388844</v>
          </cell>
          <cell r="E47">
            <v>24.244261613706083</v>
          </cell>
        </row>
      </sheetData>
      <sheetData sheetId="1">
        <row r="5">
          <cell r="B5">
            <v>1957.751</v>
          </cell>
          <cell r="C5"/>
          <cell r="D5"/>
          <cell r="E5"/>
        </row>
        <row r="6">
          <cell r="B6">
            <v>182911487</v>
          </cell>
          <cell r="C6"/>
          <cell r="D6"/>
          <cell r="E6"/>
        </row>
        <row r="7">
          <cell r="B7">
            <v>658.25295701947584</v>
          </cell>
          <cell r="C7">
            <v>33.622915121457012</v>
          </cell>
          <cell r="D7">
            <v>99.999999999999986</v>
          </cell>
          <cell r="E7">
            <v>3598.7513294858068</v>
          </cell>
        </row>
        <row r="8">
          <cell r="B8"/>
          <cell r="C8"/>
          <cell r="D8"/>
          <cell r="E8">
            <v>0</v>
          </cell>
        </row>
        <row r="9">
          <cell r="B9">
            <v>443.44386237532001</v>
          </cell>
          <cell r="C9">
            <v>22.650677352498864</v>
          </cell>
          <cell r="D9">
            <v>67.366786225040798</v>
          </cell>
          <cell r="E9">
            <v>2424.3631149055173</v>
          </cell>
        </row>
        <row r="10">
          <cell r="B10">
            <v>126.10838230923999</v>
          </cell>
          <cell r="C10">
            <v>6.441492422133356</v>
          </cell>
          <cell r="D10">
            <v>19.158042658896676</v>
          </cell>
          <cell r="E10">
            <v>689.45031489050211</v>
          </cell>
        </row>
        <row r="11">
          <cell r="B11">
            <v>164.50134603179004</v>
          </cell>
          <cell r="C11">
            <v>8.4025673352632708</v>
          </cell>
          <cell r="D11">
            <v>24.990597349784924</v>
          </cell>
          <cell r="E11">
            <v>899.34945437182978</v>
          </cell>
        </row>
        <row r="12">
          <cell r="B12">
            <v>93.32754625681001</v>
          </cell>
          <cell r="C12">
            <v>4.7670794833873158</v>
          </cell>
          <cell r="D12">
            <v>14.178067149047187</v>
          </cell>
          <cell r="E12">
            <v>510.23338002172608</v>
          </cell>
        </row>
        <row r="13">
          <cell r="B13">
            <v>28.269333316919997</v>
          </cell>
          <cell r="C13">
            <v>1.4439698060131241</v>
          </cell>
          <cell r="D13">
            <v>4.2946002772128198</v>
          </cell>
          <cell r="E13">
            <v>154.55198457229753</v>
          </cell>
        </row>
        <row r="14">
          <cell r="B14">
            <v>31.237254460560003</v>
          </cell>
          <cell r="C14">
            <v>1.595568305701798</v>
          </cell>
          <cell r="D14">
            <v>4.745478790099197</v>
          </cell>
          <cell r="E14">
            <v>170.77798104916178</v>
          </cell>
        </row>
        <row r="15">
          <cell r="B15"/>
          <cell r="C15"/>
          <cell r="D15"/>
          <cell r="E15">
            <v>0</v>
          </cell>
        </row>
        <row r="16">
          <cell r="B16">
            <v>176.27545444093033</v>
          </cell>
          <cell r="C16">
            <v>9.0039772392367734</v>
          </cell>
          <cell r="D16">
            <v>26.779287895506535</v>
          </cell>
          <cell r="E16">
            <v>963.71997916637315</v>
          </cell>
        </row>
        <row r="17">
          <cell r="B17">
            <v>136.58038502532997</v>
          </cell>
          <cell r="C17">
            <v>6.9763920450215569</v>
          </cell>
          <cell r="D17">
            <v>20.748920847048918</v>
          </cell>
          <cell r="E17">
            <v>746.70206483713059</v>
          </cell>
        </row>
        <row r="18">
          <cell r="B18">
            <v>8.8129406267299988</v>
          </cell>
          <cell r="C18">
            <v>0.45015635934958009</v>
          </cell>
          <cell r="D18">
            <v>1.3388379851166012</v>
          </cell>
          <cell r="E18">
            <v>48.181449789044684</v>
          </cell>
        </row>
        <row r="19">
          <cell r="B19">
            <v>30.88212878887034</v>
          </cell>
          <cell r="C19">
            <v>1.5774288348656362</v>
          </cell>
          <cell r="D19">
            <v>4.6915290633410134</v>
          </cell>
          <cell r="E19">
            <v>168.83646454019774</v>
          </cell>
        </row>
        <row r="20">
          <cell r="B20"/>
          <cell r="C20"/>
          <cell r="D20"/>
          <cell r="E20">
            <v>0</v>
          </cell>
        </row>
        <row r="21">
          <cell r="B21">
            <v>38.533640203225502</v>
          </cell>
          <cell r="C21">
            <v>1.9682605297213742</v>
          </cell>
          <cell r="D21">
            <v>5.8539258794526603</v>
          </cell>
          <cell r="E21">
            <v>210.66823541391636</v>
          </cell>
        </row>
        <row r="22">
          <cell r="B22">
            <v>11.681605275100001</v>
          </cell>
          <cell r="C22">
            <v>0.59668493465716532</v>
          </cell>
          <cell r="D22">
            <v>1.7746377210356192</v>
          </cell>
          <cell r="E22">
            <v>63.864798579325971</v>
          </cell>
        </row>
        <row r="23">
          <cell r="B23">
            <v>9.5086534598955001</v>
          </cell>
          <cell r="C23">
            <v>0.48569268818636796</v>
          </cell>
          <cell r="D23">
            <v>1.4445287876791362</v>
          </cell>
          <cell r="E23">
            <v>51.984998951408123</v>
          </cell>
        </row>
        <row r="24">
          <cell r="B24">
            <v>17.34338146823</v>
          </cell>
          <cell r="C24">
            <v>0.88588290687784088</v>
          </cell>
          <cell r="D24">
            <v>2.6347593707379056</v>
          </cell>
          <cell r="E24">
            <v>94.818437883182256</v>
          </cell>
        </row>
      </sheetData>
      <sheetData sheetId="2">
        <row r="5">
          <cell r="B5">
            <v>1957.751</v>
          </cell>
          <cell r="C5"/>
          <cell r="D5"/>
          <cell r="E5"/>
        </row>
        <row r="6">
          <cell r="B6">
            <v>182911487</v>
          </cell>
          <cell r="C6"/>
          <cell r="D6"/>
          <cell r="E6"/>
        </row>
        <row r="7">
          <cell r="B7">
            <v>658.25295701947584</v>
          </cell>
          <cell r="C7">
            <v>33.622915121457012</v>
          </cell>
          <cell r="D7">
            <v>100</v>
          </cell>
          <cell r="E7">
            <v>3598.7513294858068</v>
          </cell>
        </row>
        <row r="8">
          <cell r="B8"/>
          <cell r="C8"/>
          <cell r="D8"/>
          <cell r="E8">
            <v>0</v>
          </cell>
        </row>
        <row r="9">
          <cell r="B9">
            <v>136.58038502532997</v>
          </cell>
          <cell r="C9">
            <v>6.9763920450215569</v>
          </cell>
          <cell r="D9">
            <v>20.748920847048918</v>
          </cell>
          <cell r="E9">
            <v>746.70206483713059</v>
          </cell>
        </row>
        <row r="10">
          <cell r="B10">
            <v>103.07191302741001</v>
          </cell>
          <cell r="C10">
            <v>5.2648121761863491</v>
          </cell>
          <cell r="D10">
            <v>15.658404862184373</v>
          </cell>
          <cell r="E10">
            <v>563.50705315413029</v>
          </cell>
        </row>
        <row r="11">
          <cell r="B11">
            <v>100.88993270100949</v>
          </cell>
          <cell r="C11">
            <v>5.1533587622230552</v>
          </cell>
          <cell r="D11">
            <v>15.326924341947837</v>
          </cell>
          <cell r="E11">
            <v>551.57789352513157</v>
          </cell>
        </row>
        <row r="12">
          <cell r="B12">
            <v>77.290068584170001</v>
          </cell>
          <cell r="C12">
            <v>3.9479008609455439</v>
          </cell>
          <cell r="D12">
            <v>11.741697133292666</v>
          </cell>
          <cell r="E12">
            <v>422.55448168856668</v>
          </cell>
        </row>
        <row r="13">
          <cell r="B13">
            <v>28.269333316919997</v>
          </cell>
          <cell r="C13">
            <v>1.4439698060131241</v>
          </cell>
          <cell r="D13">
            <v>4.2946002772128198</v>
          </cell>
          <cell r="E13">
            <v>154.55198457229753</v>
          </cell>
        </row>
        <row r="14">
          <cell r="B14">
            <v>26.393531023000001</v>
          </cell>
          <cell r="C14">
            <v>1.3481556655059812</v>
          </cell>
          <cell r="D14">
            <v>4.0096334914328517</v>
          </cell>
          <cell r="E14">
            <v>144.29673858044794</v>
          </cell>
        </row>
        <row r="15">
          <cell r="B15">
            <v>21.05903418362</v>
          </cell>
          <cell r="C15">
            <v>1.0756748015258324</v>
          </cell>
          <cell r="D15">
            <v>3.1992312315578282</v>
          </cell>
          <cell r="E15">
            <v>115.13237647901249</v>
          </cell>
        </row>
        <row r="16">
          <cell r="B16">
            <v>19.309498564270001</v>
          </cell>
          <cell r="C16">
            <v>0.98631023885417513</v>
          </cell>
          <cell r="D16">
            <v>2.9334465357667492</v>
          </cell>
          <cell r="E16">
            <v>105.56744620566121</v>
          </cell>
        </row>
        <row r="17">
          <cell r="B17">
            <v>19.27806162253</v>
          </cell>
          <cell r="C17">
            <v>0.98470447071818623</v>
          </cell>
          <cell r="D17">
            <v>2.9286707210279364</v>
          </cell>
          <cell r="E17">
            <v>105.39557650925444</v>
          </cell>
        </row>
        <row r="18">
          <cell r="B18">
            <v>11.681605275100001</v>
          </cell>
          <cell r="C18">
            <v>0.59668493465716532</v>
          </cell>
          <cell r="D18">
            <v>1.7746377210356192</v>
          </cell>
          <cell r="E18">
            <v>63.864798579325971</v>
          </cell>
        </row>
        <row r="19">
          <cell r="B19">
            <v>9.215887946799997</v>
          </cell>
          <cell r="C19">
            <v>0.47073851305911724</v>
          </cell>
          <cell r="D19">
            <v>1.4000526467103018</v>
          </cell>
          <cell r="E19">
            <v>50.384413236988209</v>
          </cell>
        </row>
        <row r="20">
          <cell r="B20">
            <v>8.8129406267299988</v>
          </cell>
          <cell r="C20">
            <v>0.45015635934958009</v>
          </cell>
          <cell r="D20">
            <v>1.3388379851166012</v>
          </cell>
          <cell r="E20">
            <v>48.181449789044684</v>
          </cell>
        </row>
        <row r="21">
          <cell r="B21">
            <v>9.5086534598955001</v>
          </cell>
          <cell r="C21">
            <v>0.48569268818636796</v>
          </cell>
          <cell r="D21">
            <v>1.4445287876791362</v>
          </cell>
          <cell r="E21">
            <v>51.984998951408123</v>
          </cell>
        </row>
        <row r="22">
          <cell r="B22">
            <v>5.2309541445300001</v>
          </cell>
          <cell r="C22">
            <v>0.26719200473042792</v>
          </cell>
          <cell r="D22">
            <v>0.79467233511800706</v>
          </cell>
          <cell r="E22">
            <v>28.598281225115183</v>
          </cell>
        </row>
        <row r="23">
          <cell r="B23">
            <v>1.7407975789700001</v>
          </cell>
          <cell r="C23">
            <v>8.8918232143413545E-2</v>
          </cell>
          <cell r="D23">
            <v>0.26445723644785613</v>
          </cell>
          <cell r="E23">
            <v>9.517158312588645</v>
          </cell>
        </row>
        <row r="24">
          <cell r="B24">
            <v>0.73606959735999999</v>
          </cell>
          <cell r="C24">
            <v>3.7597712751008684E-2</v>
          </cell>
          <cell r="D24">
            <v>0.11182169248321687</v>
          </cell>
          <cell r="E24">
            <v>4.0241846448932979</v>
          </cell>
        </row>
        <row r="25">
          <cell r="B25">
            <v>0.23977248517999999</v>
          </cell>
          <cell r="C25">
            <v>1.2247343261732466E-2</v>
          </cell>
          <cell r="D25">
            <v>3.6425584210919966E-2</v>
          </cell>
          <cell r="E25">
            <v>1.3108661960634544</v>
          </cell>
        </row>
        <row r="26">
          <cell r="B26">
            <v>78.944517856650847</v>
          </cell>
          <cell r="C26">
            <v>4.0324085063243924</v>
          </cell>
          <cell r="D26">
            <v>11.993036569726357</v>
          </cell>
          <cell r="E26">
            <v>431.59956299874619</v>
          </cell>
        </row>
      </sheetData>
      <sheetData sheetId="3">
        <row r="5">
          <cell r="B5">
            <v>1957.751</v>
          </cell>
          <cell r="C5"/>
          <cell r="D5"/>
          <cell r="E5"/>
        </row>
        <row r="6">
          <cell r="B6">
            <v>182911487</v>
          </cell>
          <cell r="C6"/>
          <cell r="D6"/>
          <cell r="E6"/>
        </row>
        <row r="7">
          <cell r="B7">
            <v>658.25295701947573</v>
          </cell>
          <cell r="C7">
            <v>33.622915121457005</v>
          </cell>
          <cell r="D7">
            <v>100</v>
          </cell>
          <cell r="E7">
            <v>3598.7513294858059</v>
          </cell>
        </row>
        <row r="8">
          <cell r="B8"/>
          <cell r="C8"/>
          <cell r="D8"/>
          <cell r="E8">
            <v>0</v>
          </cell>
        </row>
        <row r="9">
          <cell r="B9">
            <v>292.03105457221994</v>
          </cell>
          <cell r="C9">
            <v>14.916659706582704</v>
          </cell>
          <cell r="D9">
            <v>44.364564026345818</v>
          </cell>
          <cell r="E9">
            <v>1596.5703377187019</v>
          </cell>
        </row>
        <row r="10">
          <cell r="B10">
            <v>157.93640314127583</v>
          </cell>
          <cell r="C10">
            <v>8.0672364943895243</v>
          </cell>
          <cell r="D10">
            <v>23.993269070358764</v>
          </cell>
          <cell r="E10">
            <v>863.45808965664264</v>
          </cell>
        </row>
        <row r="11">
          <cell r="B11">
            <v>121.86175356703949</v>
          </cell>
          <cell r="C11">
            <v>6.2245787930660992</v>
          </cell>
          <cell r="D11">
            <v>18.512906363356294</v>
          </cell>
          <cell r="E11">
            <v>666.233463877747</v>
          </cell>
        </row>
        <row r="12">
          <cell r="B12">
            <v>21.0382337481355</v>
          </cell>
          <cell r="C12">
            <v>1.0746123356921029</v>
          </cell>
          <cell r="D12">
            <v>3.1960712859377316</v>
          </cell>
          <cell r="E12">
            <v>115.01865789399821</v>
          </cell>
        </row>
        <row r="13">
          <cell r="B13">
            <v>9.215887946799997</v>
          </cell>
          <cell r="C13">
            <v>0.47073851305911724</v>
          </cell>
          <cell r="D13">
            <v>1.4000526467103021</v>
          </cell>
          <cell r="E13">
            <v>50.384413236988209</v>
          </cell>
        </row>
        <row r="14">
          <cell r="B14">
            <v>9.6641921177299999</v>
          </cell>
          <cell r="C14">
            <v>0.49363745020332001</v>
          </cell>
          <cell r="D14">
            <v>1.4681577977999218</v>
          </cell>
          <cell r="E14">
            <v>52.835348267274213</v>
          </cell>
        </row>
        <row r="15">
          <cell r="B15">
            <v>31.62448516753</v>
          </cell>
          <cell r="C15">
            <v>1.6153476702364091</v>
          </cell>
          <cell r="D15">
            <v>4.80430582655086</v>
          </cell>
          <cell r="E15">
            <v>172.89501980556309</v>
          </cell>
        </row>
        <row r="16">
          <cell r="B16">
            <v>14.880946758745001</v>
          </cell>
          <cell r="C16">
            <v>0.76010415822773181</v>
          </cell>
          <cell r="D16">
            <v>2.2606729829403132</v>
          </cell>
          <cell r="E16">
            <v>81.355999028890963</v>
          </cell>
        </row>
      </sheetData>
      <sheetData sheetId="4">
        <row r="5">
          <cell r="B5">
            <v>1957.751</v>
          </cell>
          <cell r="C5"/>
          <cell r="D5"/>
          <cell r="E5"/>
        </row>
        <row r="6">
          <cell r="B6">
            <v>182911487</v>
          </cell>
          <cell r="C6"/>
          <cell r="D6"/>
          <cell r="E6"/>
        </row>
        <row r="7">
          <cell r="B7">
            <v>658.25295701947596</v>
          </cell>
          <cell r="C7">
            <v>33.622915121457012</v>
          </cell>
          <cell r="D7">
            <v>99.999999999999986</v>
          </cell>
          <cell r="E7">
            <v>3598.7513294858072</v>
          </cell>
        </row>
        <row r="8">
          <cell r="B8"/>
          <cell r="C8"/>
          <cell r="D8"/>
          <cell r="E8">
            <v>0</v>
          </cell>
        </row>
        <row r="9">
          <cell r="B9">
            <v>375.93201819816102</v>
          </cell>
          <cell r="C9">
            <v>19.202238599196782</v>
          </cell>
          <cell r="D9">
            <v>57.110570364978727</v>
          </cell>
          <cell r="E9">
            <v>2055.2674102865994</v>
          </cell>
        </row>
        <row r="10">
          <cell r="B10"/>
          <cell r="C10"/>
          <cell r="D10"/>
          <cell r="E10">
            <v>0</v>
          </cell>
        </row>
        <row r="11">
          <cell r="B11">
            <v>169.17044562255734</v>
          </cell>
          <cell r="C11">
            <v>8.6410603607178516</v>
          </cell>
          <cell r="D11">
            <v>25.699914268300368</v>
          </cell>
          <cell r="E11">
            <v>924.87600640717187</v>
          </cell>
        </row>
        <row r="12">
          <cell r="B12"/>
          <cell r="C12"/>
          <cell r="D12"/>
          <cell r="E12">
            <v>0</v>
          </cell>
        </row>
        <row r="13">
          <cell r="B13">
            <v>113.1504931987575</v>
          </cell>
          <cell r="C13">
            <v>5.7796161615423776</v>
          </cell>
          <cell r="D13">
            <v>17.189515366720897</v>
          </cell>
          <cell r="E13">
            <v>618.60791279203534</v>
          </cell>
        </row>
        <row r="14">
          <cell r="B14"/>
          <cell r="C14"/>
          <cell r="D14"/>
          <cell r="E14">
            <v>0</v>
          </cell>
        </row>
        <row r="15">
          <cell r="B15"/>
          <cell r="C15"/>
          <cell r="D15"/>
          <cell r="E15">
            <v>0</v>
          </cell>
        </row>
        <row r="16">
          <cell r="B16"/>
          <cell r="C16"/>
          <cell r="D16"/>
          <cell r="E16">
            <v>0</v>
          </cell>
        </row>
        <row r="17">
          <cell r="B17">
            <v>36.997222781859499</v>
          </cell>
          <cell r="C17">
            <v>1.8897818354764984</v>
          </cell>
          <cell r="D17">
            <v>5.6205175210120402</v>
          </cell>
          <cell r="E17">
            <v>202.2684490114035</v>
          </cell>
        </row>
        <row r="18">
          <cell r="B18">
            <v>20.345552423420003</v>
          </cell>
          <cell r="C18">
            <v>1.0392308533322165</v>
          </cell>
          <cell r="D18">
            <v>3.0908410218988251</v>
          </cell>
          <cell r="E18">
            <v>111.23168236787667</v>
          </cell>
        </row>
        <row r="19">
          <cell r="B19">
            <v>1.83051951995</v>
          </cell>
          <cell r="C19">
            <v>9.3501140847329411E-2</v>
          </cell>
          <cell r="D19">
            <v>0.278087549843827</v>
          </cell>
          <cell r="E19">
            <v>10.007679397139229</v>
          </cell>
        </row>
        <row r="20">
          <cell r="B20">
            <v>2.2409092100000002E-3</v>
          </cell>
          <cell r="C20">
            <v>1.1446344351247939E-4</v>
          </cell>
          <cell r="D20">
            <v>3.4043283605540996E-4</v>
          </cell>
          <cell r="E20">
            <v>1.22513312135503E-2</v>
          </cell>
        </row>
        <row r="21">
          <cell r="B21">
            <v>2.1733504447199992</v>
          </cell>
          <cell r="C21">
            <v>0.11101260807528635</v>
          </cell>
          <cell r="D21">
            <v>0.33016949206894269</v>
          </cell>
          <cell r="E21">
            <v>11.881978985387612</v>
          </cell>
        </row>
        <row r="22">
          <cell r="B22">
            <v>3.6202345192699998</v>
          </cell>
          <cell r="C22">
            <v>0.18491802682108194</v>
          </cell>
          <cell r="D22">
            <v>0.54997618782635982</v>
          </cell>
          <cell r="E22">
            <v>19.79227537125648</v>
          </cell>
        </row>
        <row r="23">
          <cell r="B23">
            <v>3.2015911804000017</v>
          </cell>
          <cell r="C23">
            <v>0.16353413587325466</v>
          </cell>
          <cell r="D23">
            <v>0.48637702972069985</v>
          </cell>
          <cell r="E23">
            <v>17.503499823387262</v>
          </cell>
        </row>
        <row r="24">
          <cell r="B24">
            <v>0.67163473124999995</v>
          </cell>
          <cell r="C24">
            <v>3.4306443018034469E-2</v>
          </cell>
          <cell r="D24">
            <v>0.10203292276742908</v>
          </cell>
          <cell r="E24">
            <v>3.6719111646060809</v>
          </cell>
        </row>
        <row r="25">
          <cell r="B25">
            <v>0.83586204267000008</v>
          </cell>
          <cell r="C25">
            <v>4.2695012934229129E-2</v>
          </cell>
          <cell r="D25">
            <v>0.12698188952385811</v>
          </cell>
          <cell r="E25">
            <v>4.5697624374460419</v>
          </cell>
        </row>
        <row r="26">
          <cell r="B26">
            <v>4.3162370109694992</v>
          </cell>
          <cell r="C26">
            <v>0.22046915113155346</v>
          </cell>
          <cell r="D26">
            <v>0.65571099452604409</v>
          </cell>
          <cell r="E26">
            <v>23.597408133090621</v>
          </cell>
        </row>
        <row r="27">
          <cell r="B27"/>
          <cell r="C27"/>
          <cell r="D27"/>
          <cell r="E27">
            <v>0</v>
          </cell>
        </row>
        <row r="28">
          <cell r="B28">
            <v>30.5146213952995</v>
          </cell>
          <cell r="C28">
            <v>1.5586569178255818</v>
          </cell>
          <cell r="D28">
            <v>4.6356983390500215</v>
          </cell>
          <cell r="E28">
            <v>166.82725560751413</v>
          </cell>
        </row>
        <row r="29">
          <cell r="B29">
            <v>21.32198525998</v>
          </cell>
          <cell r="C29">
            <v>1.0891060844806106</v>
          </cell>
          <cell r="D29">
            <v>3.2391780443379217</v>
          </cell>
          <cell r="E29">
            <v>116.56996293502331</v>
          </cell>
        </row>
        <row r="30">
          <cell r="B30">
            <v>0.14050677835</v>
          </cell>
          <cell r="C30">
            <v>7.1769483631983853E-3</v>
          </cell>
          <cell r="D30">
            <v>2.1345407848406037E-2</v>
          </cell>
          <cell r="E30">
            <v>0.76816814872867989</v>
          </cell>
        </row>
        <row r="31">
          <cell r="B31">
            <v>5.2287861299999995E-3</v>
          </cell>
          <cell r="C31">
            <v>2.6708126467564052E-4</v>
          </cell>
          <cell r="D31">
            <v>7.943429762435984E-4</v>
          </cell>
          <cell r="E31">
            <v>2.8586428418243628E-2</v>
          </cell>
        </row>
        <row r="32">
          <cell r="B32">
            <v>0.71799915669000014</v>
          </cell>
          <cell r="C32">
            <v>3.6674692373544954E-2</v>
          </cell>
          <cell r="D32">
            <v>0.10907648025480217</v>
          </cell>
          <cell r="E32">
            <v>3.9253912833260176</v>
          </cell>
        </row>
        <row r="33">
          <cell r="B33">
            <v>5.0154349440200008</v>
          </cell>
          <cell r="C33">
            <v>0.25618349545064723</v>
          </cell>
          <cell r="D33">
            <v>0.76193124399008327</v>
          </cell>
          <cell r="E33">
            <v>27.420010772860866</v>
          </cell>
        </row>
        <row r="34">
          <cell r="B34">
            <v>0.22372944375000001</v>
          </cell>
          <cell r="C34">
            <v>1.1427880448024289E-2</v>
          </cell>
          <cell r="D34">
            <v>3.3988368964270446E-2</v>
          </cell>
          <cell r="E34">
            <v>1.2231568799722239</v>
          </cell>
        </row>
        <row r="35">
          <cell r="B35">
            <v>0.27333351541000001</v>
          </cell>
          <cell r="C35">
            <v>1.3961607753488569E-2</v>
          </cell>
          <cell r="D35">
            <v>4.1524084699540942E-2</v>
          </cell>
          <cell r="E35">
            <v>1.4943485501815423</v>
          </cell>
        </row>
        <row r="36">
          <cell r="B36">
            <v>2.8164035109694994</v>
          </cell>
          <cell r="C36">
            <v>0.14385912769139178</v>
          </cell>
          <cell r="D36">
            <v>0.42786036597875393</v>
          </cell>
          <cell r="E36">
            <v>15.397630609003247</v>
          </cell>
        </row>
        <row r="37">
          <cell r="B37"/>
          <cell r="C37"/>
          <cell r="D37"/>
          <cell r="E37">
            <v>0</v>
          </cell>
        </row>
        <row r="38">
          <cell r="B38">
            <v>44.1022316002325</v>
          </cell>
          <cell r="C38">
            <v>2.2526987139954207</v>
          </cell>
          <cell r="D38">
            <v>4.5415483820060514</v>
          </cell>
          <cell r="E38">
            <v>241.11242177060481</v>
          </cell>
        </row>
        <row r="39">
          <cell r="B39">
            <v>29.154793340719994</v>
          </cell>
          <cell r="C39">
            <v>1.4891982351545214</v>
          </cell>
          <cell r="D39">
            <v>2.2707741910030257</v>
          </cell>
          <cell r="E39">
            <v>159.3929053822628</v>
          </cell>
        </row>
        <row r="40">
          <cell r="B40">
            <v>4.4064703133649994</v>
          </cell>
          <cell r="C40">
            <v>0.22507817967479005</v>
          </cell>
          <cell r="D40">
            <v>0.66941899255830062</v>
          </cell>
          <cell r="E40">
            <v>24.090724894522342</v>
          </cell>
        </row>
        <row r="41">
          <cell r="B41">
            <v>0.45762987998749999</v>
          </cell>
          <cell r="C41">
            <v>2.3375285211832353E-2</v>
          </cell>
          <cell r="D41">
            <v>6.9521887460956749E-2</v>
          </cell>
          <cell r="E41">
            <v>2.5019198492848074</v>
          </cell>
        </row>
        <row r="42">
          <cell r="B42">
            <v>10.08333806616</v>
          </cell>
          <cell r="C42">
            <v>0.5150470139542771</v>
          </cell>
          <cell r="D42">
            <v>1.5318333109837683</v>
          </cell>
          <cell r="E42">
            <v>55.126871644534823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GOVDetalhado"/>
      <sheetName val="AD ESFERA"/>
      <sheetName val="PRINCIPAIS TRIBUTOS"/>
      <sheetName val="Bases de Incidência"/>
      <sheetName val="RD ESFERA"/>
      <sheetName val="RD ESFERA DETALHADA"/>
      <sheetName val="Impostos"/>
      <sheetName val="Contribuições"/>
      <sheetName val="Multas"/>
      <sheetName val="Estados"/>
      <sheetName val="Municipios"/>
      <sheetName val="Transferencias"/>
      <sheetName val="Gráficos"/>
    </sheetNames>
    <sheetDataSet>
      <sheetData sheetId="0">
        <row r="5">
          <cell r="B5">
            <v>2170.585</v>
          </cell>
          <cell r="C5"/>
          <cell r="D5"/>
          <cell r="E5"/>
        </row>
        <row r="6">
          <cell r="B6">
            <v>185150806</v>
          </cell>
          <cell r="C6"/>
          <cell r="D6"/>
          <cell r="E6"/>
        </row>
        <row r="7">
          <cell r="B7">
            <v>754.18429112437548</v>
          </cell>
          <cell r="C7">
            <v>34.745669537215804</v>
          </cell>
          <cell r="D7">
            <v>99.999999999999986</v>
          </cell>
          <cell r="E7">
            <v>4073.3513799792777</v>
          </cell>
        </row>
        <row r="8">
          <cell r="B8"/>
          <cell r="C8"/>
          <cell r="D8"/>
          <cell r="E8"/>
        </row>
        <row r="9">
          <cell r="B9">
            <v>515.78385678532004</v>
          </cell>
          <cell r="C9">
            <v>23.762435324362791</v>
          </cell>
          <cell r="D9">
            <v>68.38963140114781</v>
          </cell>
          <cell r="E9">
            <v>2785.7499944413962</v>
          </cell>
        </row>
        <row r="10">
          <cell r="B10">
            <v>112.57153149588001</v>
          </cell>
          <cell r="C10">
            <v>5.1862300483915629</v>
          </cell>
          <cell r="D10">
            <v>14.926263092546352</v>
          </cell>
          <cell r="E10">
            <v>607.99914365957443</v>
          </cell>
        </row>
        <row r="11">
          <cell r="B11">
            <v>24.061421317649998</v>
          </cell>
          <cell r="C11">
            <v>1.1085224175809747</v>
          </cell>
          <cell r="D11">
            <v>3.1903901474503038</v>
          </cell>
          <cell r="E11">
            <v>129.95580109788989</v>
          </cell>
        </row>
        <row r="12">
          <cell r="B12">
            <v>5.9653248037899997</v>
          </cell>
          <cell r="C12">
            <v>0.27482567159498472</v>
          </cell>
          <cell r="D12">
            <v>0.79096381003860394</v>
          </cell>
          <cell r="E12">
            <v>32.218735271344158</v>
          </cell>
        </row>
        <row r="13">
          <cell r="B13">
            <v>8.9411286647900017</v>
          </cell>
          <cell r="C13">
            <v>0.41192253078271535</v>
          </cell>
          <cell r="D13">
            <v>1.1855363165228647</v>
          </cell>
          <cell r="E13">
            <v>48.291059909239614</v>
          </cell>
        </row>
        <row r="14">
          <cell r="B14">
            <v>0.27007667561999998</v>
          </cell>
          <cell r="C14">
            <v>1.244257541722623E-2</v>
          </cell>
          <cell r="D14">
            <v>3.5810435035362E-2</v>
          </cell>
          <cell r="E14">
            <v>1.4586848496895013</v>
          </cell>
        </row>
        <row r="15">
          <cell r="B15">
            <v>3.2479439180299998</v>
          </cell>
          <cell r="C15">
            <v>0.14963449567881468</v>
          </cell>
          <cell r="D15">
            <v>0.43065653266097637</v>
          </cell>
          <cell r="E15">
            <v>17.542153816116791</v>
          </cell>
        </row>
        <row r="16">
          <cell r="B16">
            <v>106.65170452274</v>
          </cell>
          <cell r="C16">
            <v>4.9135004859399656</v>
          </cell>
          <cell r="D16">
            <v>14.141332003049056</v>
          </cell>
          <cell r="E16">
            <v>576.02614229365008</v>
          </cell>
        </row>
        <row r="17">
          <cell r="B17">
            <v>86.532235198110016</v>
          </cell>
          <cell r="C17">
            <v>3.9865858834420216</v>
          </cell>
          <cell r="D17">
            <v>11.473619407943836</v>
          </cell>
          <cell r="E17">
            <v>467.36083448705062</v>
          </cell>
        </row>
        <row r="18">
          <cell r="B18">
            <v>28.995769701339999</v>
          </cell>
          <cell r="C18">
            <v>1.3358504597304413</v>
          </cell>
          <cell r="D18">
            <v>3.8446530964085257</v>
          </cell>
          <cell r="E18">
            <v>156.60622995797274</v>
          </cell>
        </row>
        <row r="19">
          <cell r="B19">
            <v>24.948634396940001</v>
          </cell>
          <cell r="C19">
            <v>1.1493967938108851</v>
          </cell>
          <cell r="D19">
            <v>3.3080289115734995</v>
          </cell>
          <cell r="E19">
            <v>134.74764131969266</v>
          </cell>
        </row>
        <row r="20">
          <cell r="B20">
            <v>21.296733059440001</v>
          </cell>
          <cell r="C20">
            <v>0.98115176597276776</v>
          </cell>
          <cell r="D20">
            <v>2.8238102158942833</v>
          </cell>
          <cell r="E20">
            <v>115.02371239712564</v>
          </cell>
        </row>
        <row r="21">
          <cell r="B21">
            <v>5.8239793374800009</v>
          </cell>
          <cell r="C21">
            <v>0.26831381113755048</v>
          </cell>
          <cell r="D21">
            <v>0.77222230773294431</v>
          </cell>
          <cell r="E21">
            <v>31.455328028547715</v>
          </cell>
        </row>
        <row r="22">
          <cell r="B22">
            <v>5.7858874770300002</v>
          </cell>
          <cell r="C22">
            <v>0.26655889896180063</v>
          </cell>
          <cell r="D22">
            <v>0.76717157134154967</v>
          </cell>
          <cell r="E22">
            <v>31.249593788049726</v>
          </cell>
        </row>
        <row r="23">
          <cell r="B23">
            <v>32.24787701727</v>
          </cell>
          <cell r="C23">
            <v>1.4856767653545011</v>
          </cell>
          <cell r="D23">
            <v>4.2758616689288571</v>
          </cell>
          <cell r="E23">
            <v>174.1708702973186</v>
          </cell>
        </row>
        <row r="24">
          <cell r="B24">
            <v>25.980349672019997</v>
          </cell>
          <cell r="C24">
            <v>1.196928462696462</v>
          </cell>
          <cell r="D24">
            <v>3.4448277400855423</v>
          </cell>
          <cell r="E24">
            <v>140.31993828868343</v>
          </cell>
        </row>
        <row r="25">
          <cell r="B25">
            <v>5.7616498074200004</v>
          </cell>
          <cell r="C25">
            <v>0.26544225669208993</v>
          </cell>
          <cell r="D25">
            <v>0.76395781180091205</v>
          </cell>
          <cell r="E25">
            <v>31.118686069451947</v>
          </cell>
        </row>
        <row r="26">
          <cell r="B26">
            <v>4.9419799999999992</v>
          </cell>
          <cell r="C26">
            <v>0.22767963475284309</v>
          </cell>
          <cell r="D26">
            <v>0.65527485233512994</v>
          </cell>
          <cell r="E26">
            <v>26.691647240250195</v>
          </cell>
        </row>
        <row r="27">
          <cell r="B27">
            <v>11.75962971977</v>
          </cell>
          <cell r="C27">
            <v>0.54177236642518034</v>
          </cell>
          <cell r="D27">
            <v>1.559251479799209</v>
          </cell>
          <cell r="E27">
            <v>63.513791669748393</v>
          </cell>
        </row>
        <row r="28">
          <cell r="B28"/>
          <cell r="C28"/>
          <cell r="D28"/>
          <cell r="E28"/>
        </row>
        <row r="29">
          <cell r="B29">
            <v>196.79825842423548</v>
          </cell>
          <cell r="C29">
            <v>9.0665999453712018</v>
          </cell>
          <cell r="D29">
            <v>26.094186890426847</v>
          </cell>
          <cell r="E29">
            <v>1062.9079217955739</v>
          </cell>
        </row>
        <row r="30">
          <cell r="B30">
            <v>152.3675467411</v>
          </cell>
          <cell r="C30">
            <v>7.0196535376914522</v>
          </cell>
          <cell r="D30">
            <v>20.202959480095089</v>
          </cell>
          <cell r="E30">
            <v>822.93752877910777</v>
          </cell>
        </row>
        <row r="31">
          <cell r="B31">
            <v>10.38759111385</v>
          </cell>
          <cell r="C31">
            <v>0.4785618215296798</v>
          </cell>
          <cell r="D31">
            <v>1.3773279603004804</v>
          </cell>
          <cell r="E31">
            <v>56.103407477740063</v>
          </cell>
        </row>
        <row r="32">
          <cell r="B32">
            <v>0.81550388906000004</v>
          </cell>
          <cell r="C32">
            <v>3.7570695875075152E-2</v>
          </cell>
          <cell r="D32">
            <v>0.10813058540959611</v>
          </cell>
          <cell r="E32">
            <v>4.4045386929614558</v>
          </cell>
        </row>
        <row r="33">
          <cell r="B33">
            <v>8.2672770898355008</v>
          </cell>
          <cell r="C33">
            <v>0.38087783200545017</v>
          </cell>
          <cell r="D33">
            <v>1.0961879194686264</v>
          </cell>
          <cell r="E33">
            <v>44.651585744841427</v>
          </cell>
        </row>
        <row r="34">
          <cell r="B34">
            <v>5.33490595501</v>
          </cell>
          <cell r="C34">
            <v>0.24578194150470956</v>
          </cell>
          <cell r="D34">
            <v>0.70737431391688832</v>
          </cell>
          <cell r="E34">
            <v>28.813841377552524</v>
          </cell>
        </row>
        <row r="35">
          <cell r="B35">
            <v>14.579521510949998</v>
          </cell>
          <cell r="C35">
            <v>0.671686274020598</v>
          </cell>
          <cell r="D35">
            <v>1.9331510457761083</v>
          </cell>
          <cell r="E35">
            <v>78.744034800204972</v>
          </cell>
        </row>
        <row r="36">
          <cell r="B36">
            <v>0.6854138864299999</v>
          </cell>
          <cell r="C36">
            <v>3.1577380587721735E-2</v>
          </cell>
          <cell r="D36">
            <v>9.0881485400358911E-2</v>
          </cell>
          <cell r="E36">
            <v>3.7019222397011871</v>
          </cell>
        </row>
        <row r="37">
          <cell r="B37">
            <v>4.360498237999999</v>
          </cell>
          <cell r="C37">
            <v>0.20089046215651538</v>
          </cell>
          <cell r="D37">
            <v>0.5781741000597016</v>
          </cell>
          <cell r="E37">
            <v>23.551062683464629</v>
          </cell>
        </row>
        <row r="38">
          <cell r="B38"/>
          <cell r="C38"/>
          <cell r="D38"/>
          <cell r="E38"/>
        </row>
        <row r="39">
          <cell r="B39">
            <v>41.602175914820009</v>
          </cell>
          <cell r="C39">
            <v>1.916634267481808</v>
          </cell>
          <cell r="D39">
            <v>5.5161817084253224</v>
          </cell>
          <cell r="E39">
            <v>224.69346374230747</v>
          </cell>
        </row>
        <row r="40">
          <cell r="B40">
            <v>14.04991844339</v>
          </cell>
          <cell r="C40">
            <v>0.64728718034032295</v>
          </cell>
          <cell r="D40">
            <v>1.8629290756565184</v>
          </cell>
          <cell r="E40">
            <v>75.883647211290025</v>
          </cell>
        </row>
        <row r="41">
          <cell r="B41">
            <v>9.9101774907400006</v>
          </cell>
          <cell r="C41">
            <v>0.4565671231829207</v>
          </cell>
          <cell r="D41">
            <v>1.3140259757950423</v>
          </cell>
          <cell r="E41">
            <v>53.524895218333533</v>
          </cell>
        </row>
        <row r="42">
          <cell r="B42">
            <v>2.03566481467</v>
          </cell>
          <cell r="C42">
            <v>9.3784155638687264E-2</v>
          </cell>
          <cell r="D42">
            <v>0.26991609857520754</v>
          </cell>
          <cell r="E42">
            <v>10.994631126099446</v>
          </cell>
        </row>
        <row r="43">
          <cell r="B43">
            <v>2.8000978980399998</v>
          </cell>
          <cell r="C43">
            <v>0.12900199246009714</v>
          </cell>
          <cell r="D43">
            <v>0.3712750226957755</v>
          </cell>
          <cell r="E43">
            <v>15.123336260496753</v>
          </cell>
        </row>
        <row r="44">
          <cell r="B44">
            <v>2.8951366215700003</v>
          </cell>
          <cell r="C44">
            <v>0.13338047676409817</v>
          </cell>
          <cell r="D44">
            <v>0.38387654789968984</v>
          </cell>
          <cell r="E44">
            <v>15.636640661288832</v>
          </cell>
        </row>
        <row r="45">
          <cell r="B45">
            <v>3.1856205047500001</v>
          </cell>
          <cell r="C45">
            <v>0.14676322303664679</v>
          </cell>
          <cell r="D45">
            <v>0.42239284777474179</v>
          </cell>
          <cell r="E45">
            <v>17.20554489376622</v>
          </cell>
        </row>
        <row r="46">
          <cell r="B46">
            <v>1.9565987079900005</v>
          </cell>
          <cell r="C46">
            <v>9.0141538248444564E-2</v>
          </cell>
          <cell r="D46">
            <v>0.25943243992433268</v>
          </cell>
          <cell r="E46">
            <v>10.567594871771719</v>
          </cell>
        </row>
        <row r="47">
          <cell r="B47">
            <v>4.7689614336700004</v>
          </cell>
          <cell r="C47">
            <v>0.21970857781059022</v>
          </cell>
          <cell r="D47">
            <v>0.6323337001040148</v>
          </cell>
          <cell r="E47">
            <v>25.757173499260922</v>
          </cell>
        </row>
      </sheetData>
      <sheetData sheetId="1">
        <row r="5">
          <cell r="B5">
            <v>2170.585</v>
          </cell>
          <cell r="C5"/>
          <cell r="D5"/>
        </row>
        <row r="6">
          <cell r="B6">
            <v>185150806</v>
          </cell>
          <cell r="C6"/>
          <cell r="D6"/>
        </row>
        <row r="7">
          <cell r="B7">
            <v>754.1842911243757</v>
          </cell>
          <cell r="C7">
            <v>34.745669537215804</v>
          </cell>
          <cell r="D7">
            <v>99.999999999999986</v>
          </cell>
          <cell r="E7">
            <v>4073.3513799792786</v>
          </cell>
        </row>
        <row r="8">
          <cell r="B8"/>
          <cell r="C8"/>
          <cell r="D8"/>
          <cell r="E8">
            <v>0</v>
          </cell>
        </row>
        <row r="9">
          <cell r="B9">
            <v>515.78385678532015</v>
          </cell>
          <cell r="C9">
            <v>23.762435324362791</v>
          </cell>
          <cell r="D9">
            <v>68.389631401147824</v>
          </cell>
          <cell r="E9">
            <v>2785.7499944413967</v>
          </cell>
        </row>
        <row r="10">
          <cell r="B10">
            <v>151.80948295773001</v>
          </cell>
          <cell r="C10">
            <v>6.9939432437674647</v>
          </cell>
          <cell r="D10">
            <v>20.128963801593489</v>
          </cell>
          <cell r="E10">
            <v>819.92342478773764</v>
          </cell>
        </row>
        <row r="11">
          <cell r="B11">
            <v>184.08686897776005</v>
          </cell>
          <cell r="C11">
            <v>8.4809795045004019</v>
          </cell>
          <cell r="D11">
            <v>24.408738175030685</v>
          </cell>
          <cell r="E11">
            <v>994.25367328814139</v>
          </cell>
        </row>
        <row r="12">
          <cell r="B12">
            <v>106.65170452274</v>
          </cell>
          <cell r="C12">
            <v>4.9135004859399656</v>
          </cell>
          <cell r="D12">
            <v>14.141332003049056</v>
          </cell>
          <cell r="E12">
            <v>576.02614229365008</v>
          </cell>
        </row>
        <row r="13">
          <cell r="B13">
            <v>32.24787701727</v>
          </cell>
          <cell r="C13">
            <v>1.4856767653545011</v>
          </cell>
          <cell r="D13">
            <v>4.2758616689288571</v>
          </cell>
          <cell r="E13">
            <v>174.1708702973186</v>
          </cell>
        </row>
        <row r="14">
          <cell r="B14">
            <v>40.987923309819998</v>
          </cell>
          <cell r="C14">
            <v>1.8883353248004571</v>
          </cell>
          <cell r="D14">
            <v>5.4347357525457278</v>
          </cell>
          <cell r="E14">
            <v>221.37588377454861</v>
          </cell>
        </row>
        <row r="15">
          <cell r="B15"/>
          <cell r="C15"/>
          <cell r="D15"/>
          <cell r="E15">
            <v>0</v>
          </cell>
        </row>
        <row r="16">
          <cell r="B16">
            <v>196.79825842423548</v>
          </cell>
          <cell r="C16">
            <v>9.0665999453712018</v>
          </cell>
          <cell r="D16">
            <v>26.094186890426847</v>
          </cell>
          <cell r="E16">
            <v>1062.9079217955739</v>
          </cell>
        </row>
        <row r="17">
          <cell r="B17">
            <v>152.3675467411</v>
          </cell>
          <cell r="C17">
            <v>7.0196535376914522</v>
          </cell>
          <cell r="D17">
            <v>20.202959480095089</v>
          </cell>
          <cell r="E17">
            <v>822.93752877910777</v>
          </cell>
        </row>
        <row r="18">
          <cell r="B18">
            <v>10.38759111385</v>
          </cell>
          <cell r="C18">
            <v>0.4785618215296798</v>
          </cell>
          <cell r="D18">
            <v>1.3773279603004804</v>
          </cell>
          <cell r="E18">
            <v>56.103407477740063</v>
          </cell>
        </row>
        <row r="19">
          <cell r="B19">
            <v>34.043120569285499</v>
          </cell>
          <cell r="C19">
            <v>1.5683845861500698</v>
          </cell>
          <cell r="D19">
            <v>4.5138994500312792</v>
          </cell>
          <cell r="E19">
            <v>183.8669855387262</v>
          </cell>
        </row>
        <row r="20">
          <cell r="B20"/>
          <cell r="C20"/>
          <cell r="D20"/>
          <cell r="E20">
            <v>0</v>
          </cell>
        </row>
        <row r="21">
          <cell r="B21">
            <v>41.602175914820002</v>
          </cell>
          <cell r="C21">
            <v>1.9166342674818075</v>
          </cell>
          <cell r="D21">
            <v>5.5161817084253233</v>
          </cell>
          <cell r="E21">
            <v>224.69346374230744</v>
          </cell>
        </row>
        <row r="22">
          <cell r="B22">
            <v>14.04991844339</v>
          </cell>
          <cell r="C22">
            <v>0.64728718034032295</v>
          </cell>
          <cell r="D22">
            <v>1.8629290756565184</v>
          </cell>
          <cell r="E22">
            <v>75.883647211290025</v>
          </cell>
        </row>
        <row r="23">
          <cell r="B23">
            <v>9.9101774907400006</v>
          </cell>
          <cell r="C23">
            <v>0.4565671231829207</v>
          </cell>
          <cell r="D23">
            <v>1.3140259757950423</v>
          </cell>
          <cell r="E23">
            <v>53.524895218333533</v>
          </cell>
        </row>
        <row r="24">
          <cell r="B24">
            <v>17.642079980689999</v>
          </cell>
          <cell r="C24">
            <v>0.81277996395856411</v>
          </cell>
          <cell r="D24">
            <v>2.3392266569737625</v>
          </cell>
          <cell r="E24">
            <v>95.284921312683878</v>
          </cell>
        </row>
      </sheetData>
      <sheetData sheetId="2">
        <row r="5">
          <cell r="B5">
            <v>2170.585</v>
          </cell>
          <cell r="C5"/>
          <cell r="D5"/>
          <cell r="E5"/>
        </row>
        <row r="6">
          <cell r="B6">
            <v>185150806</v>
          </cell>
          <cell r="C6"/>
          <cell r="D6"/>
          <cell r="E6"/>
        </row>
        <row r="7">
          <cell r="B7">
            <v>754.1842911243757</v>
          </cell>
          <cell r="C7">
            <v>34.745669537215804</v>
          </cell>
          <cell r="D7">
            <v>100.00000000000003</v>
          </cell>
          <cell r="E7">
            <v>4073.3513799792786</v>
          </cell>
        </row>
        <row r="8">
          <cell r="B8"/>
          <cell r="C8"/>
          <cell r="D8"/>
          <cell r="E8">
            <v>0</v>
          </cell>
        </row>
        <row r="9">
          <cell r="B9">
            <v>152.3675467411</v>
          </cell>
          <cell r="C9">
            <v>7.0196535376914522</v>
          </cell>
          <cell r="D9">
            <v>20.202959480095089</v>
          </cell>
          <cell r="E9">
            <v>822.93752877910777</v>
          </cell>
        </row>
        <row r="10">
          <cell r="B10">
            <v>117.35533433016001</v>
          </cell>
          <cell r="C10">
            <v>5.4066223773848989</v>
          </cell>
          <cell r="D10">
            <v>15.560564667185101</v>
          </cell>
          <cell r="E10">
            <v>633.83647560335226</v>
          </cell>
        </row>
        <row r="11">
          <cell r="B11">
            <v>123.63890648375551</v>
          </cell>
          <cell r="C11">
            <v>5.69610987285711</v>
          </cell>
          <cell r="D11">
            <v>16.393726034710753</v>
          </cell>
          <cell r="E11">
            <v>667.77406566491265</v>
          </cell>
        </row>
        <row r="12">
          <cell r="B12">
            <v>86.532235198110016</v>
          </cell>
          <cell r="C12">
            <v>3.9865858834420216</v>
          </cell>
          <cell r="D12">
            <v>11.473619407943836</v>
          </cell>
          <cell r="E12">
            <v>467.36083448705062</v>
          </cell>
        </row>
        <row r="13">
          <cell r="B13">
            <v>32.24787701727</v>
          </cell>
          <cell r="C13">
            <v>1.4856767653545011</v>
          </cell>
          <cell r="D13">
            <v>4.2758616689288571</v>
          </cell>
          <cell r="E13">
            <v>174.1708702973186</v>
          </cell>
        </row>
        <row r="14">
          <cell r="B14">
            <v>28.995769701339999</v>
          </cell>
          <cell r="C14">
            <v>1.3358504597304413</v>
          </cell>
          <cell r="D14">
            <v>3.8446530964085257</v>
          </cell>
          <cell r="E14">
            <v>156.60622995797274</v>
          </cell>
        </row>
        <row r="15">
          <cell r="B15">
            <v>24.061421317649998</v>
          </cell>
          <cell r="C15">
            <v>1.1085224175809747</v>
          </cell>
          <cell r="D15">
            <v>3.1903901474503038</v>
          </cell>
          <cell r="E15">
            <v>129.95580109788989</v>
          </cell>
        </row>
        <row r="16">
          <cell r="B16">
            <v>24.948634396940001</v>
          </cell>
          <cell r="C16">
            <v>1.1493967938108851</v>
          </cell>
          <cell r="D16">
            <v>3.3080289115734995</v>
          </cell>
          <cell r="E16">
            <v>134.74764131969266</v>
          </cell>
        </row>
        <row r="17">
          <cell r="B17">
            <v>21.296733059440001</v>
          </cell>
          <cell r="C17">
            <v>0.98115176597276776</v>
          </cell>
          <cell r="D17">
            <v>2.8238102158942833</v>
          </cell>
          <cell r="E17">
            <v>115.02371239712564</v>
          </cell>
        </row>
        <row r="18">
          <cell r="B18">
            <v>14.04991844339</v>
          </cell>
          <cell r="C18">
            <v>0.64728718034032295</v>
          </cell>
          <cell r="D18">
            <v>1.8629290756565184</v>
          </cell>
          <cell r="E18">
            <v>75.883647211290025</v>
          </cell>
        </row>
        <row r="19">
          <cell r="B19">
            <v>8.9411286647900017</v>
          </cell>
          <cell r="C19">
            <v>0.41192253078271535</v>
          </cell>
          <cell r="D19">
            <v>1.1855363165228647</v>
          </cell>
          <cell r="E19">
            <v>48.291059909239614</v>
          </cell>
        </row>
        <row r="20">
          <cell r="B20">
            <v>10.38759111385</v>
          </cell>
          <cell r="C20">
            <v>0.4785618215296798</v>
          </cell>
          <cell r="D20">
            <v>1.3773279603004804</v>
          </cell>
          <cell r="E20">
            <v>56.103407477740063</v>
          </cell>
        </row>
        <row r="21">
          <cell r="B21">
            <v>9.9101774907400006</v>
          </cell>
          <cell r="C21">
            <v>0.4565671231829207</v>
          </cell>
          <cell r="D21">
            <v>1.3140259757950423</v>
          </cell>
          <cell r="E21">
            <v>53.524895218333533</v>
          </cell>
        </row>
        <row r="22">
          <cell r="B22">
            <v>5.9653248037899997</v>
          </cell>
          <cell r="C22">
            <v>0.27482567159498472</v>
          </cell>
          <cell r="D22">
            <v>0.79096381003860394</v>
          </cell>
          <cell r="E22">
            <v>32.218735271344158</v>
          </cell>
        </row>
        <row r="23">
          <cell r="B23">
            <v>2.03566481467</v>
          </cell>
          <cell r="C23">
            <v>9.3784155638687264E-2</v>
          </cell>
          <cell r="D23">
            <v>0.26991609857520754</v>
          </cell>
          <cell r="E23">
            <v>10.994631126099446</v>
          </cell>
        </row>
        <row r="24">
          <cell r="B24">
            <v>0.81550388906000004</v>
          </cell>
          <cell r="C24">
            <v>3.7570695875075152E-2</v>
          </cell>
          <cell r="D24">
            <v>0.10813058540959611</v>
          </cell>
          <cell r="E24">
            <v>4.4045386929614558</v>
          </cell>
        </row>
        <row r="25">
          <cell r="B25">
            <v>0.27007667561999998</v>
          </cell>
          <cell r="C25">
            <v>1.244257541722623E-2</v>
          </cell>
          <cell r="D25">
            <v>3.5810435035362E-2</v>
          </cell>
          <cell r="E25">
            <v>1.4586848496895013</v>
          </cell>
        </row>
        <row r="26">
          <cell r="B26">
            <v>90.364446982700201</v>
          </cell>
          <cell r="C26">
            <v>4.1631379090291416</v>
          </cell>
          <cell r="D26">
            <v>11.981746112476085</v>
          </cell>
          <cell r="E26">
            <v>488.0586206181581</v>
          </cell>
        </row>
      </sheetData>
      <sheetData sheetId="3">
        <row r="5">
          <cell r="B5">
            <v>2170.585</v>
          </cell>
          <cell r="C5"/>
          <cell r="D5"/>
          <cell r="E5"/>
        </row>
        <row r="6">
          <cell r="B6">
            <v>185150806</v>
          </cell>
          <cell r="C6"/>
          <cell r="D6"/>
          <cell r="E6"/>
        </row>
        <row r="7">
          <cell r="B7">
            <v>754.18429112437548</v>
          </cell>
          <cell r="C7">
            <v>34.745669537215797</v>
          </cell>
          <cell r="D7">
            <v>100.00000000000001</v>
          </cell>
          <cell r="E7">
            <v>4073.3513799792777</v>
          </cell>
        </row>
        <row r="8">
          <cell r="B8"/>
          <cell r="C8"/>
          <cell r="D8"/>
          <cell r="E8">
            <v>0</v>
          </cell>
        </row>
        <row r="9">
          <cell r="B9">
            <v>326.80722568579</v>
          </cell>
          <cell r="C9">
            <v>15.056181890402357</v>
          </cell>
          <cell r="D9">
            <v>43.332542129533024</v>
          </cell>
          <cell r="E9">
            <v>1765.0867028134351</v>
          </cell>
        </row>
        <row r="10">
          <cell r="B10">
            <v>176.07639339091003</v>
          </cell>
          <cell r="C10">
            <v>8.1119326536813823</v>
          </cell>
          <cell r="D10">
            <v>23.346600487847152</v>
          </cell>
          <cell r="E10">
            <v>950.98907314997075</v>
          </cell>
        </row>
        <row r="11">
          <cell r="B11">
            <v>150.27513379881552</v>
          </cell>
          <cell r="C11">
            <v>6.9232549657726157</v>
          </cell>
          <cell r="D11">
            <v>19.925518943755492</v>
          </cell>
          <cell r="E11">
            <v>811.63640086349676</v>
          </cell>
        </row>
        <row r="12">
          <cell r="B12">
            <v>23.419013983940001</v>
          </cell>
          <cell r="C12">
            <v>1.0789263716435893</v>
          </cell>
          <cell r="D12">
            <v>3.1052110551156891</v>
          </cell>
          <cell r="E12">
            <v>126.48615736482401</v>
          </cell>
        </row>
        <row r="13">
          <cell r="B13">
            <v>8.9411286647900017</v>
          </cell>
          <cell r="C13">
            <v>0.41192253078271535</v>
          </cell>
          <cell r="D13">
            <v>1.185536316522865</v>
          </cell>
          <cell r="E13">
            <v>48.291059909239614</v>
          </cell>
        </row>
        <row r="14">
          <cell r="B14">
            <v>11.477986494610001</v>
          </cell>
          <cell r="C14">
            <v>0.5287969139476224</v>
          </cell>
          <cell r="D14">
            <v>1.521907394477555</v>
          </cell>
          <cell r="E14">
            <v>61.992635854958152</v>
          </cell>
        </row>
        <row r="15">
          <cell r="B15">
            <v>34.961094505129999</v>
          </cell>
          <cell r="C15">
            <v>1.6106761313254261</v>
          </cell>
          <cell r="D15">
            <v>4.6356169064471313</v>
          </cell>
          <cell r="E15">
            <v>188.82496522931689</v>
          </cell>
        </row>
        <row r="16">
          <cell r="B16">
            <v>22.226314600390001</v>
          </cell>
          <cell r="C16">
            <v>1.0239780796600917</v>
          </cell>
          <cell r="D16">
            <v>2.9470667663010994</v>
          </cell>
          <cell r="E16">
            <v>120.04438479403649</v>
          </cell>
        </row>
      </sheetData>
      <sheetData sheetId="4">
        <row r="5">
          <cell r="B5">
            <v>2170.585</v>
          </cell>
          <cell r="C5"/>
          <cell r="D5"/>
          <cell r="E5"/>
        </row>
        <row r="6">
          <cell r="B6">
            <v>185150806</v>
          </cell>
          <cell r="C6"/>
          <cell r="D6"/>
          <cell r="E6"/>
        </row>
        <row r="7">
          <cell r="B7">
            <v>754.18429112437559</v>
          </cell>
          <cell r="C7">
            <v>34.745669537215804</v>
          </cell>
          <cell r="D7">
            <v>100.00000000000001</v>
          </cell>
          <cell r="E7">
            <v>4073.3513799792781</v>
          </cell>
        </row>
        <row r="8">
          <cell r="B8"/>
          <cell r="C8"/>
          <cell r="D8"/>
          <cell r="E8">
            <v>0</v>
          </cell>
        </row>
        <row r="9">
          <cell r="B9">
            <v>432.25409783106579</v>
          </cell>
          <cell r="C9">
            <v>19.914175110906314</v>
          </cell>
          <cell r="D9">
            <v>57.314121086590099</v>
          </cell>
          <cell r="E9">
            <v>2334.605542203612</v>
          </cell>
        </row>
        <row r="10">
          <cell r="B10"/>
          <cell r="C10"/>
          <cell r="D10"/>
          <cell r="E10">
            <v>0</v>
          </cell>
        </row>
        <row r="11">
          <cell r="B11">
            <v>192.62118012792681</v>
          </cell>
          <cell r="C11">
            <v>8.8741597370260461</v>
          </cell>
          <cell r="D11">
            <v>25.540333098261371</v>
          </cell>
          <cell r="E11">
            <v>1040.3475107093341</v>
          </cell>
        </row>
        <row r="12">
          <cell r="B12"/>
          <cell r="C12"/>
          <cell r="D12"/>
          <cell r="E12">
            <v>0</v>
          </cell>
        </row>
        <row r="13">
          <cell r="B13">
            <v>129.30901316538302</v>
          </cell>
          <cell r="C13">
            <v>5.9573346892834431</v>
          </cell>
          <cell r="D13">
            <v>17.145545815148534</v>
          </cell>
          <cell r="E13">
            <v>698.39832706633217</v>
          </cell>
        </row>
        <row r="14">
          <cell r="B14"/>
          <cell r="C14"/>
          <cell r="D14"/>
          <cell r="E14">
            <v>0</v>
          </cell>
        </row>
        <row r="15">
          <cell r="B15"/>
          <cell r="C15"/>
          <cell r="D15"/>
          <cell r="E15">
            <v>0</v>
          </cell>
        </row>
        <row r="16">
          <cell r="B16"/>
          <cell r="C16"/>
          <cell r="D16"/>
          <cell r="E16">
            <v>0</v>
          </cell>
        </row>
        <row r="17">
          <cell r="B17">
            <v>45.592487112613838</v>
          </cell>
          <cell r="C17">
            <v>2.1004700167288464</v>
          </cell>
          <cell r="D17">
            <v>6.0452713811689547</v>
          </cell>
          <cell r="E17">
            <v>246.24514522833803</v>
          </cell>
        </row>
        <row r="18">
          <cell r="B18">
            <v>25.463501920090007</v>
          </cell>
          <cell r="C18">
            <v>1.1731170131595863</v>
          </cell>
          <cell r="D18">
            <v>3.376297043011562</v>
          </cell>
          <cell r="E18">
            <v>137.52844219371104</v>
          </cell>
        </row>
        <row r="19">
          <cell r="B19">
            <v>2.0775161679599998</v>
          </cell>
          <cell r="C19">
            <v>9.571226963975149E-2</v>
          </cell>
          <cell r="D19">
            <v>0.27546531960546872</v>
          </cell>
          <cell r="E19">
            <v>11.220670397513688</v>
          </cell>
        </row>
        <row r="20">
          <cell r="B20">
            <v>9.0932405999999996E-4</v>
          </cell>
          <cell r="C20">
            <v>4.1893040816185501E-5</v>
          </cell>
          <cell r="D20">
            <v>1.2057053835533146E-4</v>
          </cell>
          <cell r="E20">
            <v>4.9112616879453388E-3</v>
          </cell>
        </row>
        <row r="21">
          <cell r="B21">
            <v>2.1733504447200001</v>
          </cell>
          <cell r="C21">
            <v>0.10012740550220332</v>
          </cell>
          <cell r="D21">
            <v>0.28817233006535586</v>
          </cell>
          <cell r="E21">
            <v>11.738271583435614</v>
          </cell>
        </row>
        <row r="22">
          <cell r="B22">
            <v>4.2623164093199994</v>
          </cell>
          <cell r="C22">
            <v>0.19636717333437756</v>
          </cell>
          <cell r="D22">
            <v>0.56515581927137792</v>
          </cell>
          <cell r="E22">
            <v>23.020782363323868</v>
          </cell>
        </row>
        <row r="23">
          <cell r="B23">
            <v>3.8410998716133355</v>
          </cell>
          <cell r="C23">
            <v>0.17696150446139339</v>
          </cell>
          <cell r="D23">
            <v>0.50930520786727496</v>
          </cell>
          <cell r="E23">
            <v>20.745790712967977</v>
          </cell>
        </row>
        <row r="24">
          <cell r="B24">
            <v>1.0187690062500001</v>
          </cell>
          <cell r="C24">
            <v>4.6935227427168255E-2</v>
          </cell>
          <cell r="D24">
            <v>0.1350822362968033</v>
          </cell>
          <cell r="E24">
            <v>5.5023741363027074</v>
          </cell>
        </row>
        <row r="25">
          <cell r="B25">
            <v>1.33810223997</v>
          </cell>
          <cell r="C25">
            <v>6.1647078551173989E-2</v>
          </cell>
          <cell r="D25">
            <v>0.17742377502653764</v>
          </cell>
          <cell r="E25">
            <v>7.2270937884548019</v>
          </cell>
        </row>
        <row r="26">
          <cell r="B26">
            <v>5.4169217286305003</v>
          </cell>
          <cell r="C26">
            <v>0.24956045161237639</v>
          </cell>
          <cell r="D26">
            <v>0.71824907948621974</v>
          </cell>
          <cell r="E26">
            <v>29.256808790940397</v>
          </cell>
        </row>
        <row r="27">
          <cell r="B27"/>
          <cell r="C27"/>
          <cell r="D27"/>
          <cell r="E27">
            <v>0</v>
          </cell>
        </row>
        <row r="28">
          <cell r="B28">
            <v>37.937271841640495</v>
          </cell>
          <cell r="C28">
            <v>1.7477901967276335</v>
          </cell>
          <cell r="D28">
            <v>5.0302389333887767</v>
          </cell>
          <cell r="E28">
            <v>204.89930700944663</v>
          </cell>
        </row>
        <row r="29">
          <cell r="B29">
            <v>26.675875945320001</v>
          </cell>
          <cell r="C29">
            <v>1.2289717263005135</v>
          </cell>
          <cell r="D29">
            <v>3.5370500631285058</v>
          </cell>
          <cell r="E29">
            <v>144.0764775570029</v>
          </cell>
        </row>
        <row r="30">
          <cell r="B30">
            <v>0.13422632814000005</v>
          </cell>
          <cell r="C30">
            <v>6.183877993259884E-3</v>
          </cell>
          <cell r="D30">
            <v>1.77975502433084E-2</v>
          </cell>
          <cell r="E30">
            <v>0.72495675843830809</v>
          </cell>
        </row>
        <row r="31">
          <cell r="B31">
            <v>2.1217543799999998E-3</v>
          </cell>
          <cell r="C31">
            <v>9.775034748696778E-5</v>
          </cell>
          <cell r="D31">
            <v>2.8133102279772791E-4</v>
          </cell>
          <cell r="E31">
            <v>1.1459601099441068E-2</v>
          </cell>
        </row>
        <row r="32">
          <cell r="B32">
            <v>0.71779529905999995</v>
          </cell>
          <cell r="C32">
            <v>3.3069209409444911E-2</v>
          </cell>
          <cell r="D32">
            <v>9.5175053035097656E-2</v>
          </cell>
          <cell r="E32">
            <v>3.8768143362011611</v>
          </cell>
        </row>
        <row r="33">
          <cell r="B33">
            <v>6.1765169023099986</v>
          </cell>
          <cell r="C33">
            <v>0.28455540337328411</v>
          </cell>
          <cell r="D33">
            <v>0.81896652781003154</v>
          </cell>
          <cell r="E33">
            <v>33.359384362118298</v>
          </cell>
        </row>
        <row r="34">
          <cell r="B34">
            <v>0.33863056875000008</v>
          </cell>
          <cell r="C34">
            <v>1.5600889564334043E-2</v>
          </cell>
          <cell r="D34">
            <v>4.4900241590175881E-2</v>
          </cell>
          <cell r="E34">
            <v>1.8289446104274591</v>
          </cell>
        </row>
        <row r="35">
          <cell r="B35">
            <v>0.43795171505000013</v>
          </cell>
          <cell r="C35">
            <v>2.0176667352349718E-2</v>
          </cell>
          <cell r="D35">
            <v>5.8069588587834391E-2</v>
          </cell>
          <cell r="E35">
            <v>2.3653783880908414</v>
          </cell>
        </row>
        <row r="36">
          <cell r="B36">
            <v>3.4541533286305</v>
          </cell>
          <cell r="C36">
            <v>0.15913467238696019</v>
          </cell>
          <cell r="D36">
            <v>0.45799857797102556</v>
          </cell>
          <cell r="E36">
            <v>18.655891396068238</v>
          </cell>
        </row>
        <row r="37">
          <cell r="B37"/>
          <cell r="C37"/>
          <cell r="D37"/>
          <cell r="E37">
            <v>0</v>
          </cell>
        </row>
        <row r="38">
          <cell r="B38">
            <v>49.769565408922503</v>
          </cell>
          <cell r="C38">
            <v>2.2929102250740008</v>
          </cell>
          <cell r="D38">
            <v>4.5755830833128677</v>
          </cell>
          <cell r="E38">
            <v>268.80555631457798</v>
          </cell>
        </row>
        <row r="39">
          <cell r="B39">
            <v>32.515400988077502</v>
          </cell>
          <cell r="C39">
            <v>1.4980017363096816</v>
          </cell>
          <cell r="D39">
            <v>2.2877915416564338</v>
          </cell>
          <cell r="E39">
            <v>175.61576798146643</v>
          </cell>
        </row>
        <row r="40">
          <cell r="B40">
            <v>5.1937955569250001</v>
          </cell>
          <cell r="C40">
            <v>0.2392809107648399</v>
          </cell>
          <cell r="D40">
            <v>0.68866398015024022</v>
          </cell>
          <cell r="E40">
            <v>28.051703738870032</v>
          </cell>
        </row>
        <row r="41">
          <cell r="B41">
            <v>0.51937904198999996</v>
          </cell>
          <cell r="C41">
            <v>2.3928067409937873E-2</v>
          </cell>
          <cell r="D41">
            <v>6.8866329901367179E-2</v>
          </cell>
          <cell r="E41">
            <v>2.805167599378422</v>
          </cell>
        </row>
        <row r="42">
          <cell r="B42">
            <v>11.540989821930001</v>
          </cell>
          <cell r="C42">
            <v>0.53169951058954157</v>
          </cell>
          <cell r="D42">
            <v>1.5302612316048263</v>
          </cell>
          <cell r="E42">
            <v>62.332916994863098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GOVDetalhado"/>
      <sheetName val="AD ESFERA"/>
      <sheetName val="PRINCIPAIS TRIBUTOS"/>
      <sheetName val="Bases de Incidência"/>
      <sheetName val="RD ESFERA"/>
      <sheetName val="RD ESFERA DETALHADA"/>
      <sheetName val="Impostos"/>
      <sheetName val="Contribuições"/>
      <sheetName val="Patrimoniais"/>
      <sheetName val="Multas"/>
      <sheetName val="Estados"/>
      <sheetName val="Municipios"/>
      <sheetName val="Transferencias"/>
      <sheetName val="Gráficos"/>
    </sheetNames>
    <sheetDataSet>
      <sheetData sheetId="0">
        <row r="5">
          <cell r="B5">
            <v>2409.4499999999998</v>
          </cell>
          <cell r="C5"/>
          <cell r="D5"/>
          <cell r="E5"/>
        </row>
        <row r="6">
          <cell r="B6">
            <v>187335137</v>
          </cell>
          <cell r="C6"/>
          <cell r="D6"/>
          <cell r="E6"/>
        </row>
        <row r="7">
          <cell r="B7">
            <v>829.53576664493528</v>
          </cell>
          <cell r="C7">
            <v>34.428428340282444</v>
          </cell>
          <cell r="D7">
            <v>100</v>
          </cell>
          <cell r="E7">
            <v>4428.084234112127</v>
          </cell>
        </row>
        <row r="8">
          <cell r="B8"/>
          <cell r="C8"/>
          <cell r="D8"/>
          <cell r="E8"/>
        </row>
        <row r="9">
          <cell r="B9">
            <v>564.59653388898982</v>
          </cell>
          <cell r="C9">
            <v>23.432589756541528</v>
          </cell>
          <cell r="D9">
            <v>68.061746893989323</v>
          </cell>
          <cell r="E9">
            <v>3013.8314836740419</v>
          </cell>
        </row>
        <row r="10">
          <cell r="B10">
            <v>122.18486880626999</v>
          </cell>
          <cell r="C10">
            <v>5.071068866599016</v>
          </cell>
          <cell r="D10">
            <v>14.729306886964954</v>
          </cell>
          <cell r="E10">
            <v>652.22611605568682</v>
          </cell>
        </row>
        <row r="11">
          <cell r="B11">
            <v>26.780064494209995</v>
          </cell>
          <cell r="C11">
            <v>1.1114596482271886</v>
          </cell>
          <cell r="D11">
            <v>3.2283194493857934</v>
          </cell>
          <cell r="E11">
            <v>142.95270456502774</v>
          </cell>
        </row>
        <row r="12">
          <cell r="B12">
            <v>6.7375805047800004</v>
          </cell>
          <cell r="C12">
            <v>0.27963147211106271</v>
          </cell>
          <cell r="D12">
            <v>0.81221097096635197</v>
          </cell>
          <cell r="E12">
            <v>35.965385953090056</v>
          </cell>
        </row>
        <row r="13">
          <cell r="B13">
            <v>9.8571358125100019</v>
          </cell>
          <cell r="C13">
            <v>0.40910314854053842</v>
          </cell>
          <cell r="D13">
            <v>1.1882713451135778</v>
          </cell>
          <cell r="E13">
            <v>52.617656091446435</v>
          </cell>
        </row>
        <row r="14">
          <cell r="B14">
            <v>0.28402331598000002</v>
          </cell>
          <cell r="C14">
            <v>1.1787890015563721E-2</v>
          </cell>
          <cell r="D14">
            <v>3.4238826992202501E-2</v>
          </cell>
          <cell r="E14">
            <v>1.5161240999866459</v>
          </cell>
        </row>
        <row r="15">
          <cell r="B15">
            <v>3.6589161488299999</v>
          </cell>
          <cell r="C15">
            <v>0.15185690297910312</v>
          </cell>
          <cell r="D15">
            <v>0.44107997460176052</v>
          </cell>
          <cell r="E15">
            <v>19.531392815166328</v>
          </cell>
        </row>
        <row r="16">
          <cell r="B16">
            <v>121.05943461399001</v>
          </cell>
          <cell r="C16">
            <v>5.0243596926265335</v>
          </cell>
          <cell r="D16">
            <v>14.593636523186451</v>
          </cell>
          <cell r="E16">
            <v>646.21851806684833</v>
          </cell>
        </row>
        <row r="17">
          <cell r="B17">
            <v>89.096351174710009</v>
          </cell>
          <cell r="C17">
            <v>3.6977879256556481</v>
          </cell>
          <cell r="D17">
            <v>10.740507493132089</v>
          </cell>
          <cell r="E17">
            <v>475.59871896701367</v>
          </cell>
        </row>
        <row r="18">
          <cell r="B18">
            <v>31.935232806380004</v>
          </cell>
          <cell r="C18">
            <v>1.3254158752570091</v>
          </cell>
          <cell r="D18">
            <v>3.849771654276263</v>
          </cell>
          <cell r="E18">
            <v>170.47113167232479</v>
          </cell>
        </row>
        <row r="19">
          <cell r="B19">
            <v>26.547247109490002</v>
          </cell>
          <cell r="C19">
            <v>1.1017969706567889</v>
          </cell>
          <cell r="D19">
            <v>3.2002534642792528</v>
          </cell>
          <cell r="E19">
            <v>141.70991910337676</v>
          </cell>
        </row>
        <row r="20">
          <cell r="B20">
            <v>23.387889583129997</v>
          </cell>
          <cell r="C20">
            <v>0.97067337289132372</v>
          </cell>
          <cell r="D20">
            <v>2.8193949584262681</v>
          </cell>
          <cell r="E20">
            <v>124.84518365142571</v>
          </cell>
        </row>
        <row r="21">
          <cell r="B21">
            <v>6.7455806857700003</v>
          </cell>
          <cell r="C21">
            <v>0.27996350560376854</v>
          </cell>
          <cell r="D21">
            <v>0.81317538760897079</v>
          </cell>
          <cell r="E21">
            <v>36.008091134393013</v>
          </cell>
        </row>
        <row r="22">
          <cell r="B22">
            <v>6.1767139358199987</v>
          </cell>
          <cell r="C22">
            <v>0.25635368801261693</v>
          </cell>
          <cell r="D22">
            <v>0.74459886893144733</v>
          </cell>
          <cell r="E22">
            <v>32.971465122530638</v>
          </cell>
        </row>
        <row r="23">
          <cell r="B23">
            <v>36.505404629329995</v>
          </cell>
          <cell r="C23">
            <v>1.5150928481325612</v>
          </cell>
          <cell r="D23">
            <v>4.4007029108553599</v>
          </cell>
          <cell r="E23">
            <v>194.86683178569962</v>
          </cell>
        </row>
        <row r="24">
          <cell r="B24">
            <v>29.472667532069998</v>
          </cell>
          <cell r="C24">
            <v>1.2232114188744319</v>
          </cell>
          <cell r="D24">
            <v>3.5529110036174156</v>
          </cell>
          <cell r="E24">
            <v>157.32589200321775</v>
          </cell>
        </row>
        <row r="25">
          <cell r="B25">
            <v>6.92595746776</v>
          </cell>
          <cell r="C25">
            <v>0.28744972785324457</v>
          </cell>
          <cell r="D25">
            <v>0.83491969198291427</v>
          </cell>
          <cell r="E25">
            <v>36.970947248192957</v>
          </cell>
        </row>
        <row r="26">
          <cell r="B26">
            <v>5.6062899999999996</v>
          </cell>
          <cell r="C26">
            <v>0.23267924215069827</v>
          </cell>
          <cell r="D26">
            <v>0.67583463250471865</v>
          </cell>
          <cell r="E26">
            <v>29.926526810611083</v>
          </cell>
        </row>
        <row r="27">
          <cell r="B27">
            <v>11.635175267960005</v>
          </cell>
          <cell r="C27">
            <v>0.48289756035443793</v>
          </cell>
          <cell r="D27">
            <v>1.4026128511635576</v>
          </cell>
          <cell r="E27">
            <v>62.108878528004091</v>
          </cell>
        </row>
        <row r="28">
          <cell r="B28"/>
          <cell r="C28"/>
          <cell r="D28"/>
          <cell r="E28"/>
        </row>
        <row r="29">
          <cell r="B29">
            <v>217.05425168865546</v>
          </cell>
          <cell r="C29">
            <v>9.0084563567891198</v>
          </cell>
          <cell r="D29">
            <v>26.165749617588315</v>
          </cell>
          <cell r="E29">
            <v>1158.6414335536822</v>
          </cell>
        </row>
        <row r="30">
          <cell r="B30">
            <v>165.66635759885997</v>
          </cell>
          <cell r="C30">
            <v>6.8756918632409878</v>
          </cell>
          <cell r="D30">
            <v>19.970972230516232</v>
          </cell>
          <cell r="E30">
            <v>884.33147273840029</v>
          </cell>
        </row>
        <row r="31">
          <cell r="B31">
            <v>12.064105158209999</v>
          </cell>
          <cell r="C31">
            <v>0.5006995438050178</v>
          </cell>
          <cell r="D31">
            <v>1.4543200719365459</v>
          </cell>
          <cell r="E31">
            <v>64.398517818950324</v>
          </cell>
        </row>
        <row r="32">
          <cell r="B32">
            <v>0.96697825803000004</v>
          </cell>
          <cell r="C32">
            <v>4.0132738095000939E-2</v>
          </cell>
          <cell r="D32">
            <v>0.1165686034179035</v>
          </cell>
          <cell r="E32">
            <v>5.1617559498728749</v>
          </cell>
        </row>
        <row r="33">
          <cell r="B33">
            <v>10.284240179265499</v>
          </cell>
          <cell r="C33">
            <v>0.42682936683747325</v>
          </cell>
          <cell r="D33">
            <v>1.2397585002103282</v>
          </cell>
          <cell r="E33">
            <v>54.897550688878503</v>
          </cell>
        </row>
        <row r="34">
          <cell r="B34">
            <v>6.1494130894899994</v>
          </cell>
          <cell r="C34">
            <v>0.25522061422689823</v>
          </cell>
          <cell r="D34">
            <v>0.7413077695686775</v>
          </cell>
          <cell r="E34">
            <v>32.825732470518865</v>
          </cell>
        </row>
        <row r="35">
          <cell r="B35">
            <v>15.420326062659997</v>
          </cell>
          <cell r="C35">
            <v>0.6399936111004586</v>
          </cell>
          <cell r="D35">
            <v>1.8589103306573076</v>
          </cell>
          <cell r="E35">
            <v>82.314115278117839</v>
          </cell>
        </row>
        <row r="36">
          <cell r="B36">
            <v>0.41328211130000003</v>
          </cell>
          <cell r="C36">
            <v>1.715254980597232E-2</v>
          </cell>
          <cell r="D36">
            <v>4.9820891143913325E-2</v>
          </cell>
          <cell r="E36">
            <v>2.2061110260377901</v>
          </cell>
        </row>
        <row r="37">
          <cell r="B37">
            <v>6.0895492308400003</v>
          </cell>
          <cell r="C37">
            <v>0.25273606967731227</v>
          </cell>
          <cell r="D37">
            <v>0.73409122013740713</v>
          </cell>
          <cell r="E37">
            <v>32.50617758290587</v>
          </cell>
        </row>
        <row r="38">
          <cell r="B38"/>
          <cell r="C38"/>
          <cell r="D38"/>
          <cell r="E38"/>
        </row>
        <row r="39">
          <cell r="B39">
            <v>47.884981067289992</v>
          </cell>
          <cell r="C39">
            <v>1.987382226951794</v>
          </cell>
          <cell r="D39">
            <v>5.7725034884223536</v>
          </cell>
          <cell r="E39">
            <v>255.6113168844027</v>
          </cell>
        </row>
        <row r="40">
          <cell r="B40">
            <v>16.916468680179996</v>
          </cell>
          <cell r="C40">
            <v>0.70208838864388123</v>
          </cell>
          <cell r="D40">
            <v>2.0392693552682846</v>
          </cell>
          <cell r="E40">
            <v>90.300564811714935</v>
          </cell>
        </row>
        <row r="41">
          <cell r="B41">
            <v>10.870440675319999</v>
          </cell>
          <cell r="C41">
            <v>0.4511585911855403</v>
          </cell>
          <cell r="D41">
            <v>1.3104245907666636</v>
          </cell>
          <cell r="E41">
            <v>58.026704703666987</v>
          </cell>
        </row>
        <row r="42">
          <cell r="B42">
            <v>2.46148491818</v>
          </cell>
          <cell r="C42">
            <v>0.1021596180945859</v>
          </cell>
          <cell r="D42">
            <v>0.29673041442631187</v>
          </cell>
          <cell r="E42">
            <v>13.13947269902709</v>
          </cell>
        </row>
        <row r="43">
          <cell r="B43">
            <v>3.2860689492099997</v>
          </cell>
          <cell r="C43">
            <v>0.13638253332544772</v>
          </cell>
          <cell r="D43">
            <v>0.39613348590146202</v>
          </cell>
          <cell r="E43">
            <v>17.541124435241422</v>
          </cell>
        </row>
        <row r="44">
          <cell r="B44">
            <v>3.0078593762299999</v>
          </cell>
          <cell r="C44">
            <v>0.12483593252526511</v>
          </cell>
          <cell r="D44">
            <v>0.36259550186670236</v>
          </cell>
          <cell r="E44">
            <v>16.05603425175919</v>
          </cell>
        </row>
        <row r="45">
          <cell r="B45">
            <v>3.4779493336899994</v>
          </cell>
          <cell r="C45">
            <v>0.14434619243769323</v>
          </cell>
          <cell r="D45">
            <v>0.41926454211330705</v>
          </cell>
          <cell r="E45">
            <v>18.565387088541748</v>
          </cell>
        </row>
        <row r="46">
          <cell r="B46">
            <v>2.2682381863400001</v>
          </cell>
          <cell r="C46">
            <v>9.4139251129510895E-2</v>
          </cell>
          <cell r="D46">
            <v>0.27343464592417871</v>
          </cell>
          <cell r="E46">
            <v>12.107916446768874</v>
          </cell>
        </row>
        <row r="47">
          <cell r="B47">
            <v>5.5964709481400003</v>
          </cell>
          <cell r="C47">
            <v>0.23227171960986953</v>
          </cell>
          <cell r="D47">
            <v>0.67465095215544202</v>
          </cell>
          <cell r="E47">
            <v>29.874112447682467</v>
          </cell>
        </row>
        <row r="48">
          <cell r="B48"/>
          <cell r="C48"/>
          <cell r="D48"/>
          <cell r="E48"/>
        </row>
      </sheetData>
      <sheetData sheetId="1">
        <row r="5">
          <cell r="B5">
            <v>2409.4499999999998</v>
          </cell>
          <cell r="C5"/>
          <cell r="D5"/>
          <cell r="E5"/>
        </row>
        <row r="6">
          <cell r="B6">
            <v>187335137</v>
          </cell>
          <cell r="C6"/>
          <cell r="D6"/>
          <cell r="E6"/>
        </row>
        <row r="7">
          <cell r="B7">
            <v>829.53576664493539</v>
          </cell>
          <cell r="C7">
            <v>34.428428340282451</v>
          </cell>
          <cell r="D7">
            <v>99.999999999999986</v>
          </cell>
          <cell r="E7">
            <v>4428.084234112127</v>
          </cell>
        </row>
        <row r="8">
          <cell r="B8"/>
          <cell r="C8"/>
          <cell r="D8"/>
          <cell r="E8">
            <v>0</v>
          </cell>
        </row>
        <row r="9">
          <cell r="B9">
            <v>564.59653388898994</v>
          </cell>
          <cell r="C9">
            <v>23.432589756541535</v>
          </cell>
          <cell r="D9">
            <v>68.061746893989337</v>
          </cell>
          <cell r="E9">
            <v>3013.8314836740424</v>
          </cell>
        </row>
        <row r="10">
          <cell r="B10">
            <v>165.84367293374996</v>
          </cell>
          <cell r="C10">
            <v>6.8830510254933683</v>
          </cell>
          <cell r="D10">
            <v>19.992347479422872</v>
          </cell>
          <cell r="E10">
            <v>885.27798676523753</v>
          </cell>
        </row>
        <row r="11">
          <cell r="B11">
            <v>196.42126276306004</v>
          </cell>
          <cell r="C11">
            <v>8.1521203080811002</v>
          </cell>
          <cell r="D11">
            <v>23.678456151141926</v>
          </cell>
          <cell r="E11">
            <v>1048.5019837098687</v>
          </cell>
        </row>
        <row r="12">
          <cell r="B12">
            <v>121.05943461399001</v>
          </cell>
          <cell r="C12">
            <v>5.0243596926265335</v>
          </cell>
          <cell r="D12">
            <v>14.593636523186449</v>
          </cell>
          <cell r="E12">
            <v>646.21851806684833</v>
          </cell>
        </row>
        <row r="13">
          <cell r="B13">
            <v>36.505404629329995</v>
          </cell>
          <cell r="C13">
            <v>1.5150928481325612</v>
          </cell>
          <cell r="D13">
            <v>4.400702910855359</v>
          </cell>
          <cell r="E13">
            <v>194.86683178569962</v>
          </cell>
        </row>
        <row r="14">
          <cell r="B14">
            <v>44.766758948860002</v>
          </cell>
          <cell r="C14">
            <v>1.857965882207973</v>
          </cell>
          <cell r="D14">
            <v>5.396603829382733</v>
          </cell>
          <cell r="E14">
            <v>238.96616334638813</v>
          </cell>
        </row>
        <row r="15">
          <cell r="B15"/>
          <cell r="C15"/>
          <cell r="D15"/>
          <cell r="E15">
            <v>0</v>
          </cell>
        </row>
        <row r="16">
          <cell r="B16">
            <v>217.05425168865548</v>
          </cell>
          <cell r="C16">
            <v>9.0084563567891216</v>
          </cell>
          <cell r="D16">
            <v>26.165749617588311</v>
          </cell>
          <cell r="E16">
            <v>1158.6414335536824</v>
          </cell>
        </row>
        <row r="17">
          <cell r="B17">
            <v>165.66635759885997</v>
          </cell>
          <cell r="C17">
            <v>6.8756918632409878</v>
          </cell>
          <cell r="D17">
            <v>19.970972230516228</v>
          </cell>
          <cell r="E17">
            <v>884.33147273840029</v>
          </cell>
        </row>
        <row r="18">
          <cell r="B18">
            <v>12.064105158209999</v>
          </cell>
          <cell r="C18">
            <v>0.5006995438050178</v>
          </cell>
          <cell r="D18">
            <v>1.4543200719365454</v>
          </cell>
          <cell r="E18">
            <v>64.398517818950324</v>
          </cell>
        </row>
        <row r="19">
          <cell r="B19">
            <v>39.323788931585497</v>
          </cell>
          <cell r="C19">
            <v>1.6320649497431154</v>
          </cell>
          <cell r="D19">
            <v>4.7404573151355356</v>
          </cell>
          <cell r="E19">
            <v>209.91144299633174</v>
          </cell>
        </row>
        <row r="20">
          <cell r="B20"/>
          <cell r="C20"/>
          <cell r="D20"/>
          <cell r="E20">
            <v>0</v>
          </cell>
        </row>
        <row r="21">
          <cell r="B21">
            <v>47.884981067289992</v>
          </cell>
          <cell r="C21">
            <v>1.987382226951794</v>
          </cell>
          <cell r="D21">
            <v>5.7725034884223509</v>
          </cell>
          <cell r="E21">
            <v>255.6113168844027</v>
          </cell>
        </row>
        <row r="22">
          <cell r="B22">
            <v>16.916468680179996</v>
          </cell>
          <cell r="C22">
            <v>0.70208838864388123</v>
          </cell>
          <cell r="D22">
            <v>2.0392693552682846</v>
          </cell>
          <cell r="E22">
            <v>90.300564811714935</v>
          </cell>
        </row>
        <row r="23">
          <cell r="B23">
            <v>10.870440675319999</v>
          </cell>
          <cell r="C23">
            <v>0.4511585911855403</v>
          </cell>
          <cell r="D23">
            <v>1.3104245907666634</v>
          </cell>
          <cell r="E23">
            <v>58.026704703666987</v>
          </cell>
        </row>
        <row r="24">
          <cell r="B24">
            <v>20.098071711789999</v>
          </cell>
          <cell r="C24">
            <v>0.8341352471223723</v>
          </cell>
          <cell r="D24">
            <v>2.422809542387403</v>
          </cell>
          <cell r="E24">
            <v>107.28404736902078</v>
          </cell>
        </row>
      </sheetData>
      <sheetData sheetId="2">
        <row r="5">
          <cell r="B5">
            <v>2409.4499999999998</v>
          </cell>
          <cell r="C5"/>
          <cell r="D5"/>
          <cell r="E5"/>
        </row>
        <row r="6">
          <cell r="B6">
            <v>187335137</v>
          </cell>
          <cell r="C6"/>
          <cell r="D6"/>
          <cell r="E6"/>
        </row>
        <row r="7">
          <cell r="B7">
            <v>829.53576664493539</v>
          </cell>
          <cell r="C7">
            <v>34.428428340282444</v>
          </cell>
          <cell r="D7">
            <v>100.00000000000001</v>
          </cell>
          <cell r="E7">
            <v>4428.084234112127</v>
          </cell>
        </row>
        <row r="8">
          <cell r="B8"/>
          <cell r="C8"/>
          <cell r="D8"/>
          <cell r="E8">
            <v>0</v>
          </cell>
        </row>
        <row r="9">
          <cell r="B9">
            <v>165.66635759885997</v>
          </cell>
          <cell r="C9">
            <v>6.8756918632409878</v>
          </cell>
          <cell r="D9">
            <v>19.970972230516232</v>
          </cell>
          <cell r="E9">
            <v>884.33147273840029</v>
          </cell>
        </row>
        <row r="10">
          <cell r="B10">
            <v>133.59168208175001</v>
          </cell>
          <cell r="C10">
            <v>5.5444886626304761</v>
          </cell>
          <cell r="D10">
            <v>16.104390847674082</v>
          </cell>
          <cell r="E10">
            <v>713.11599212565238</v>
          </cell>
        </row>
        <row r="11">
          <cell r="B11">
            <v>135.75517793474549</v>
          </cell>
          <cell r="C11">
            <v>5.634280766761937</v>
          </cell>
          <cell r="D11">
            <v>16.365198873076743</v>
          </cell>
          <cell r="E11">
            <v>724.66479117980668</v>
          </cell>
        </row>
        <row r="12">
          <cell r="B12">
            <v>89.096351174710009</v>
          </cell>
          <cell r="C12">
            <v>3.6977879256556481</v>
          </cell>
          <cell r="D12">
            <v>10.740507493132089</v>
          </cell>
          <cell r="E12">
            <v>475.59871896701367</v>
          </cell>
        </row>
        <row r="13">
          <cell r="B13">
            <v>36.505404629329995</v>
          </cell>
          <cell r="C13">
            <v>1.5150928481325612</v>
          </cell>
          <cell r="D13">
            <v>4.4007029108553599</v>
          </cell>
          <cell r="E13">
            <v>194.86683178569962</v>
          </cell>
        </row>
        <row r="14">
          <cell r="B14">
            <v>31.935232806380004</v>
          </cell>
          <cell r="C14">
            <v>1.3254158752570091</v>
          </cell>
          <cell r="D14">
            <v>3.849771654276263</v>
          </cell>
          <cell r="E14">
            <v>170.47113167232479</v>
          </cell>
        </row>
        <row r="15">
          <cell r="B15">
            <v>26.780064494209995</v>
          </cell>
          <cell r="C15">
            <v>1.1114596482271886</v>
          </cell>
          <cell r="D15">
            <v>3.2283194493857934</v>
          </cell>
          <cell r="E15">
            <v>142.95270456502774</v>
          </cell>
        </row>
        <row r="16">
          <cell r="B16">
            <v>26.547247109490002</v>
          </cell>
          <cell r="C16">
            <v>1.1017969706567889</v>
          </cell>
          <cell r="D16">
            <v>3.2002534642792528</v>
          </cell>
          <cell r="E16">
            <v>141.70991910337676</v>
          </cell>
        </row>
        <row r="17">
          <cell r="B17">
            <v>23.387889583129997</v>
          </cell>
          <cell r="C17">
            <v>0.97067337289132372</v>
          </cell>
          <cell r="D17">
            <v>2.8193949584262681</v>
          </cell>
          <cell r="E17">
            <v>124.84518365142571</v>
          </cell>
        </row>
        <row r="18">
          <cell r="B18">
            <v>16.916468680179996</v>
          </cell>
          <cell r="C18">
            <v>0.70208838864388123</v>
          </cell>
          <cell r="D18">
            <v>2.0392693552682846</v>
          </cell>
          <cell r="E18">
            <v>90.300564811714935</v>
          </cell>
        </row>
        <row r="19">
          <cell r="B19">
            <v>9.8571358125100019</v>
          </cell>
          <cell r="C19">
            <v>0.40910314854053842</v>
          </cell>
          <cell r="D19">
            <v>1.1882713451135778</v>
          </cell>
          <cell r="E19">
            <v>52.617656091446435</v>
          </cell>
        </row>
        <row r="20">
          <cell r="B20">
            <v>12.064105158209999</v>
          </cell>
          <cell r="C20">
            <v>0.5006995438050178</v>
          </cell>
          <cell r="D20">
            <v>1.4543200719365459</v>
          </cell>
          <cell r="E20">
            <v>64.398517818950324</v>
          </cell>
        </row>
        <row r="21">
          <cell r="B21">
            <v>10.870440675319999</v>
          </cell>
          <cell r="C21">
            <v>0.4511585911855403</v>
          </cell>
          <cell r="D21">
            <v>1.3104245907666636</v>
          </cell>
          <cell r="E21">
            <v>58.026704703666987</v>
          </cell>
        </row>
        <row r="22">
          <cell r="B22">
            <v>6.7375805047800004</v>
          </cell>
          <cell r="C22">
            <v>0.27963147211106271</v>
          </cell>
          <cell r="D22">
            <v>0.81221097096635197</v>
          </cell>
          <cell r="E22">
            <v>35.965385953090056</v>
          </cell>
        </row>
        <row r="23">
          <cell r="B23">
            <v>2.46148491818</v>
          </cell>
          <cell r="C23">
            <v>0.1021596180945859</v>
          </cell>
          <cell r="D23">
            <v>0.29673041442631187</v>
          </cell>
          <cell r="E23">
            <v>13.13947269902709</v>
          </cell>
        </row>
        <row r="24">
          <cell r="B24">
            <v>0.96697825803000004</v>
          </cell>
          <cell r="C24">
            <v>4.0132738095000939E-2</v>
          </cell>
          <cell r="D24">
            <v>0.1165686034179035</v>
          </cell>
          <cell r="E24">
            <v>5.1617559498728749</v>
          </cell>
        </row>
        <row r="25">
          <cell r="B25">
            <v>0.28402331598000002</v>
          </cell>
          <cell r="C25">
            <v>1.1787890015563721E-2</v>
          </cell>
          <cell r="D25">
            <v>3.4238826992202501E-2</v>
          </cell>
          <cell r="E25">
            <v>1.5161240999866459</v>
          </cell>
        </row>
        <row r="26">
          <cell r="B26">
            <v>100.11214190913995</v>
          </cell>
          <cell r="C26">
            <v>4.1549790163373368</v>
          </cell>
          <cell r="D26">
            <v>12.068453939490082</v>
          </cell>
          <cell r="E26">
            <v>534.40130619564422</v>
          </cell>
        </row>
      </sheetData>
      <sheetData sheetId="3">
        <row r="5">
          <cell r="B5">
            <v>2409.4499999999998</v>
          </cell>
          <cell r="C5"/>
          <cell r="D5"/>
          <cell r="E5"/>
        </row>
        <row r="6">
          <cell r="B6">
            <v>187335137</v>
          </cell>
          <cell r="C6"/>
          <cell r="D6"/>
          <cell r="E6"/>
        </row>
        <row r="7">
          <cell r="B7">
            <v>829.53576664493551</v>
          </cell>
          <cell r="C7">
            <v>34.428428340282451</v>
          </cell>
          <cell r="D7">
            <v>99.999999999999986</v>
          </cell>
          <cell r="E7">
            <v>4428.0842341121279</v>
          </cell>
        </row>
        <row r="8">
          <cell r="B8"/>
          <cell r="C8"/>
          <cell r="D8"/>
          <cell r="E8">
            <v>0</v>
          </cell>
        </row>
        <row r="9">
          <cell r="B9">
            <v>354.00131936079998</v>
          </cell>
          <cell r="C9">
            <v>14.692204418468947</v>
          </cell>
          <cell r="D9">
            <v>42.674630027414167</v>
          </cell>
          <cell r="E9">
            <v>1889.6685642096068</v>
          </cell>
        </row>
        <row r="10">
          <cell r="B10">
            <v>198.57226631442998</v>
          </cell>
          <cell r="C10">
            <v>8.2413939411247377</v>
          </cell>
          <cell r="D10">
            <v>23.937758237665534</v>
          </cell>
          <cell r="E10">
            <v>1059.9840985219446</v>
          </cell>
        </row>
        <row r="11">
          <cell r="B11">
            <v>163.8359821322255</v>
          </cell>
          <cell r="C11">
            <v>6.7997253369949791</v>
          </cell>
          <cell r="D11">
            <v>19.750321652176797</v>
          </cell>
          <cell r="E11">
            <v>874.56087926647467</v>
          </cell>
        </row>
        <row r="12">
          <cell r="B12">
            <v>26.647032325719998</v>
          </cell>
          <cell r="C12">
            <v>1.1059383811957086</v>
          </cell>
          <cell r="D12">
            <v>3.2122825075396264</v>
          </cell>
          <cell r="E12">
            <v>142.24257527150391</v>
          </cell>
        </row>
        <row r="13">
          <cell r="B13">
            <v>9.8571358125100019</v>
          </cell>
          <cell r="C13">
            <v>0.40910314854053842</v>
          </cell>
          <cell r="D13">
            <v>1.1882713451135773</v>
          </cell>
          <cell r="E13">
            <v>52.617656091446435</v>
          </cell>
        </row>
        <row r="14">
          <cell r="B14">
            <v>12.816188614549999</v>
          </cell>
          <cell r="C14">
            <v>0.53191344973126642</v>
          </cell>
          <cell r="D14">
            <v>1.54498324603714</v>
          </cell>
          <cell r="E14">
            <v>68.413159537444372</v>
          </cell>
        </row>
        <row r="15">
          <cell r="B15">
            <v>38.672813311160006</v>
          </cell>
          <cell r="C15">
            <v>1.605047347368072</v>
          </cell>
          <cell r="D15">
            <v>4.6619826252426142</v>
          </cell>
          <cell r="E15">
            <v>206.43651762541484</v>
          </cell>
        </row>
        <row r="16">
          <cell r="B16">
            <v>25.133028773540005</v>
          </cell>
          <cell r="C16">
            <v>1.0431023168582043</v>
          </cell>
          <cell r="D16">
            <v>3.0297703588105374</v>
          </cell>
          <cell r="E16">
            <v>134.16078358829185</v>
          </cell>
        </row>
      </sheetData>
      <sheetData sheetId="4">
        <row r="5">
          <cell r="B5">
            <v>2409.4499999999998</v>
          </cell>
          <cell r="C5"/>
          <cell r="D5"/>
          <cell r="E5"/>
        </row>
        <row r="6">
          <cell r="B6">
            <v>187335137</v>
          </cell>
          <cell r="C6"/>
          <cell r="D6"/>
          <cell r="E6"/>
        </row>
        <row r="7">
          <cell r="B7">
            <v>829.53576664493539</v>
          </cell>
          <cell r="C7">
            <v>34.428428340282451</v>
          </cell>
          <cell r="D7">
            <v>99.999999999999986</v>
          </cell>
          <cell r="E7">
            <v>4428.084234112127</v>
          </cell>
        </row>
        <row r="8">
          <cell r="B8"/>
          <cell r="C8"/>
          <cell r="D8"/>
          <cell r="E8">
            <v>0</v>
          </cell>
        </row>
        <row r="9">
          <cell r="B9">
            <v>472.06212234192924</v>
          </cell>
          <cell r="C9">
            <v>19.592111159888326</v>
          </cell>
          <cell r="D9">
            <v>56.906783447227184</v>
          </cell>
          <cell r="E9">
            <v>2519.8803059669967</v>
          </cell>
        </row>
        <row r="10">
          <cell r="B10"/>
          <cell r="C10"/>
          <cell r="D10"/>
          <cell r="E10">
            <v>0</v>
          </cell>
        </row>
        <row r="11">
          <cell r="B11">
            <v>212.53525421906915</v>
          </cell>
          <cell r="C11">
            <v>8.8209032857734826</v>
          </cell>
          <cell r="D11">
            <v>25.620987396199901</v>
          </cell>
          <cell r="E11">
            <v>1134.5189035149831</v>
          </cell>
        </row>
        <row r="12">
          <cell r="B12"/>
          <cell r="C12"/>
          <cell r="D12"/>
          <cell r="E12">
            <v>0</v>
          </cell>
        </row>
        <row r="13">
          <cell r="B13">
            <v>144.93839008393701</v>
          </cell>
          <cell r="C13">
            <v>6.0154138946206404</v>
          </cell>
          <cell r="D13">
            <v>17.472229156572908</v>
          </cell>
          <cell r="E13">
            <v>773.68502463014727</v>
          </cell>
        </row>
        <row r="14">
          <cell r="B14"/>
          <cell r="C14"/>
          <cell r="D14"/>
          <cell r="E14">
            <v>0</v>
          </cell>
        </row>
        <row r="15">
          <cell r="B15"/>
          <cell r="C15"/>
          <cell r="D15"/>
          <cell r="E15">
            <v>0</v>
          </cell>
        </row>
        <row r="16">
          <cell r="B16"/>
          <cell r="C16"/>
          <cell r="D16"/>
          <cell r="E16">
            <v>0</v>
          </cell>
        </row>
        <row r="17">
          <cell r="B17">
            <v>50.513967628603673</v>
          </cell>
          <cell r="C17">
            <v>2.0964937072196426</v>
          </cell>
          <cell r="D17">
            <v>6.0894261175630611</v>
          </cell>
          <cell r="E17">
            <v>269.64491785971614</v>
          </cell>
        </row>
        <row r="18">
          <cell r="B18">
            <v>28.180910502020001</v>
          </cell>
          <cell r="C18">
            <v>1.1695993069796013</v>
          </cell>
          <cell r="D18">
            <v>3.3971905293484741</v>
          </cell>
          <cell r="E18">
            <v>150.43045823283009</v>
          </cell>
        </row>
        <row r="19">
          <cell r="B19">
            <v>2.33975871094</v>
          </cell>
          <cell r="C19">
            <v>9.7107585172549762E-2</v>
          </cell>
          <cell r="D19">
            <v>0.28205639889442913</v>
          </cell>
          <cell r="E19">
            <v>12.48969493074863</v>
          </cell>
        </row>
        <row r="20">
          <cell r="B20">
            <v>1.04709193E-3</v>
          </cell>
          <cell r="C20">
            <v>4.3457715661250497E-5</v>
          </cell>
          <cell r="D20">
            <v>1.2622625474426164E-4</v>
          </cell>
          <cell r="E20">
            <v>5.5894048856408602E-3</v>
          </cell>
        </row>
        <row r="21">
          <cell r="B21">
            <v>1.2464804028699998</v>
          </cell>
          <cell r="C21">
            <v>5.1732984825167569E-2</v>
          </cell>
          <cell r="D21">
            <v>0.15026240615415543</v>
          </cell>
          <cell r="E21">
            <v>6.6537459167096875</v>
          </cell>
        </row>
        <row r="22">
          <cell r="B22">
            <v>4.3868471945799987</v>
          </cell>
          <cell r="C22">
            <v>0.18206840542779468</v>
          </cell>
          <cell r="D22">
            <v>0.52883159123115808</v>
          </cell>
          <cell r="E22">
            <v>23.417108316311204</v>
          </cell>
        </row>
        <row r="23">
          <cell r="B23">
            <v>4.6173049785066684</v>
          </cell>
          <cell r="C23">
            <v>0.1916331519021631</v>
          </cell>
          <cell r="D23">
            <v>0.55661312798860962</v>
          </cell>
          <cell r="E23">
            <v>24.647298165461976</v>
          </cell>
        </row>
        <row r="24">
          <cell r="B24">
            <v>1.79702323602</v>
          </cell>
          <cell r="C24">
            <v>7.4582300359833167E-2</v>
          </cell>
          <cell r="D24">
            <v>0.21662998851611617</v>
          </cell>
          <cell r="E24">
            <v>9.5925583678410522</v>
          </cell>
        </row>
        <row r="25">
          <cell r="B25">
            <v>1.34201662904</v>
          </cell>
          <cell r="C25">
            <v>5.5698048477453369E-2</v>
          </cell>
          <cell r="D25">
            <v>0.16177923641168576</v>
          </cell>
          <cell r="E25">
            <v>7.1637208616128429</v>
          </cell>
        </row>
        <row r="26">
          <cell r="B26">
            <v>6.6025788826970002</v>
          </cell>
          <cell r="C26">
            <v>0.27402846635941819</v>
          </cell>
          <cell r="D26">
            <v>0.79593661276368932</v>
          </cell>
          <cell r="E26">
            <v>35.244743663315013</v>
          </cell>
        </row>
        <row r="27">
          <cell r="B27"/>
          <cell r="C27"/>
          <cell r="D27"/>
          <cell r="E27">
            <v>0</v>
          </cell>
        </row>
        <row r="28">
          <cell r="B28">
            <v>42.020443918457005</v>
          </cell>
          <cell r="C28">
            <v>1.7439848894335641</v>
          </cell>
          <cell r="D28">
            <v>5.0655373291990831</v>
          </cell>
          <cell r="E28">
            <v>224.30625984732916</v>
          </cell>
        </row>
        <row r="29">
          <cell r="B29">
            <v>29.502772203999999</v>
          </cell>
          <cell r="C29">
            <v>1.2244608605283365</v>
          </cell>
          <cell r="D29">
            <v>3.556540102342328</v>
          </cell>
          <cell r="E29">
            <v>157.48659155169594</v>
          </cell>
        </row>
        <row r="30">
          <cell r="B30">
            <v>0.15223773402000002</v>
          </cell>
          <cell r="C30">
            <v>6.3183603735292304E-3</v>
          </cell>
          <cell r="D30">
            <v>1.8352160345746979E-2</v>
          </cell>
          <cell r="E30">
            <v>0.81264911888899949</v>
          </cell>
        </row>
        <row r="31">
          <cell r="B31">
            <v>2.4432134600000004E-3</v>
          </cell>
          <cell r="C31">
            <v>1.0140129324119615E-4</v>
          </cell>
          <cell r="D31">
            <v>2.9452780196345218E-4</v>
          </cell>
          <cell r="E31">
            <v>1.3041939163820616E-2</v>
          </cell>
        </row>
        <row r="32">
          <cell r="B32">
            <v>0.41138138758999993</v>
          </cell>
          <cell r="C32">
            <v>1.7073663599161633E-2</v>
          </cell>
          <cell r="D32">
            <v>4.9591760130348023E-2</v>
          </cell>
          <cell r="E32">
            <v>2.1959649117506448</v>
          </cell>
        </row>
        <row r="33">
          <cell r="B33">
            <v>6.7335445329400008</v>
          </cell>
          <cell r="C33">
            <v>0.27946396617236308</v>
          </cell>
          <cell r="D33">
            <v>0.81172443717211618</v>
          </cell>
          <cell r="E33">
            <v>35.94384182685387</v>
          </cell>
        </row>
        <row r="34">
          <cell r="B34">
            <v>0.59628059522999999</v>
          </cell>
          <cell r="C34">
            <v>2.4747581200273924E-2</v>
          </cell>
          <cell r="D34">
            <v>7.1881239990610898E-2</v>
          </cell>
          <cell r="E34">
            <v>3.1829618553085428</v>
          </cell>
        </row>
        <row r="35">
          <cell r="B35">
            <v>0.43930687959000003</v>
          </cell>
          <cell r="C35">
            <v>1.823266220880284E-2</v>
          </cell>
          <cell r="D35">
            <v>5.2958160124521265E-2</v>
          </cell>
          <cell r="E35">
            <v>2.3450319391497816</v>
          </cell>
        </row>
        <row r="36">
          <cell r="B36">
            <v>4.1824773716269998</v>
          </cell>
          <cell r="C36">
            <v>0.17358639405785553</v>
          </cell>
          <cell r="D36">
            <v>0.50419494129144848</v>
          </cell>
          <cell r="E36">
            <v>22.326176704517529</v>
          </cell>
        </row>
        <row r="37">
          <cell r="B37"/>
          <cell r="C37"/>
          <cell r="D37"/>
          <cell r="E37">
            <v>0</v>
          </cell>
        </row>
        <row r="38">
          <cell r="B38">
            <v>55.032965098189997</v>
          </cell>
          <cell r="C38">
            <v>2.284046778235282</v>
          </cell>
          <cell r="D38">
            <v>4.7774251668696213</v>
          </cell>
          <cell r="E38">
            <v>293.7674478984153</v>
          </cell>
        </row>
        <row r="39">
          <cell r="B39">
            <v>35.217739856249999</v>
          </cell>
          <cell r="C39">
            <v>1.4616505781921185</v>
          </cell>
          <cell r="D39">
            <v>2.3887125834348106</v>
          </cell>
          <cell r="E39">
            <v>187.99324259308599</v>
          </cell>
        </row>
        <row r="40">
          <cell r="B40">
            <v>6.0320525791049997</v>
          </cell>
          <cell r="C40">
            <v>0.2503497719025089</v>
          </cell>
          <cell r="D40">
            <v>0.72716003596827272</v>
          </cell>
          <cell r="E40">
            <v>32.199258909475162</v>
          </cell>
        </row>
        <row r="41">
          <cell r="B41">
            <v>0.584939677735</v>
          </cell>
          <cell r="C41">
            <v>2.4276896293137441E-2</v>
          </cell>
          <cell r="D41">
            <v>7.0514099723607282E-2</v>
          </cell>
          <cell r="E41">
            <v>3.1224237326871576</v>
          </cell>
        </row>
        <row r="42">
          <cell r="B42">
            <v>13.198232985100001</v>
          </cell>
          <cell r="C42">
            <v>0.54776953184751709</v>
          </cell>
          <cell r="D42">
            <v>1.5910384477429305</v>
          </cell>
          <cell r="E42">
            <v>70.452522663167031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GOVDetalhado"/>
      <sheetName val="AD ESFERA"/>
      <sheetName val="PRINCIPAIS TRIBUTOS"/>
      <sheetName val="Bases de Incidência"/>
      <sheetName val="RD ESFERA"/>
      <sheetName val="RD ESFERA DETALHADA"/>
      <sheetName val="Impostos"/>
      <sheetName val="Contribuições"/>
      <sheetName val="Patrimoniais"/>
      <sheetName val="Multas"/>
      <sheetName val="Estados"/>
      <sheetName val="Municipios"/>
      <sheetName val="Transferencias"/>
      <sheetName val="Gráficos"/>
    </sheetNames>
    <sheetDataSet>
      <sheetData sheetId="0">
        <row r="5">
          <cell r="B5">
            <v>2720.2629999999999</v>
          </cell>
          <cell r="C5"/>
          <cell r="D5"/>
          <cell r="E5"/>
        </row>
        <row r="6">
          <cell r="B6">
            <v>189462755</v>
          </cell>
          <cell r="C6"/>
          <cell r="D6"/>
          <cell r="E6"/>
        </row>
        <row r="7">
          <cell r="B7">
            <v>940.81947852322844</v>
          </cell>
          <cell r="C7">
            <v>34.585607293237032</v>
          </cell>
          <cell r="D7">
            <v>99.999999999999986</v>
          </cell>
          <cell r="E7">
            <v>4965.7225691837339</v>
          </cell>
        </row>
        <row r="8">
          <cell r="B8"/>
          <cell r="C8"/>
          <cell r="D8"/>
          <cell r="E8"/>
        </row>
        <row r="9">
          <cell r="B9">
            <v>646.59570142053997</v>
          </cell>
          <cell r="C9">
            <v>23.769602476692139</v>
          </cell>
          <cell r="D9">
            <v>68.7268616542122</v>
          </cell>
          <cell r="E9">
            <v>3412.7852802548973</v>
          </cell>
        </row>
        <row r="10">
          <cell r="B10">
            <v>143.96079139776998</v>
          </cell>
          <cell r="C10">
            <v>5.2921644487231561</v>
          </cell>
          <cell r="D10">
            <v>15.301638059592495</v>
          </cell>
          <cell r="E10">
            <v>759.83689457999276</v>
          </cell>
        </row>
        <row r="11">
          <cell r="B11">
            <v>31.24002807738</v>
          </cell>
          <cell r="C11">
            <v>1.1484194019982625</v>
          </cell>
          <cell r="D11">
            <v>3.3205124671117972</v>
          </cell>
          <cell r="E11">
            <v>164.88743699193017</v>
          </cell>
        </row>
        <row r="12">
          <cell r="B12">
            <v>7.8165821498900012</v>
          </cell>
          <cell r="C12">
            <v>0.28734655986902746</v>
          </cell>
          <cell r="D12">
            <v>0.83082698948361688</v>
          </cell>
          <cell r="E12">
            <v>41.25656332765773</v>
          </cell>
        </row>
        <row r="13">
          <cell r="B13">
            <v>12.216069787259999</v>
          </cell>
          <cell r="C13">
            <v>0.44907679100366393</v>
          </cell>
          <cell r="D13">
            <v>1.298449922235362</v>
          </cell>
          <cell r="E13">
            <v>64.477420837990024</v>
          </cell>
        </row>
        <row r="14">
          <cell r="B14">
            <v>0.31279980959000003</v>
          </cell>
          <cell r="C14">
            <v>1.1498881159284968E-2</v>
          </cell>
          <cell r="D14">
            <v>3.3247590715382615E-2</v>
          </cell>
          <cell r="E14">
            <v>1.6509831158635904</v>
          </cell>
        </row>
        <row r="15">
          <cell r="B15">
            <v>4.0543465749300003</v>
          </cell>
          <cell r="C15">
            <v>0.14904244828275798</v>
          </cell>
          <cell r="D15">
            <v>0.43093778003979749</v>
          </cell>
          <cell r="E15">
            <v>21.399174602575584</v>
          </cell>
        </row>
        <row r="16">
          <cell r="B16">
            <v>138.11807317168004</v>
          </cell>
          <cell r="C16">
            <v>5.0773793994066025</v>
          </cell>
          <cell r="D16">
            <v>14.68061369100044</v>
          </cell>
          <cell r="E16">
            <v>728.9985473486862</v>
          </cell>
        </row>
        <row r="17">
          <cell r="B17">
            <v>100.55555147960999</v>
          </cell>
          <cell r="C17">
            <v>3.6965378523918457</v>
          </cell>
          <cell r="D17">
            <v>10.688081377465583</v>
          </cell>
          <cell r="E17">
            <v>530.74046917353223</v>
          </cell>
        </row>
        <row r="18">
          <cell r="B18">
            <v>36.319612692870002</v>
          </cell>
          <cell r="C18">
            <v>1.3351507811145467</v>
          </cell>
          <cell r="D18">
            <v>3.8604231228162527</v>
          </cell>
          <cell r="E18">
            <v>191.69790227567421</v>
          </cell>
        </row>
        <row r="19">
          <cell r="B19">
            <v>33.18320064665</v>
          </cell>
          <cell r="C19">
            <v>1.219852663020083</v>
          </cell>
          <cell r="D19">
            <v>3.5270528942211645</v>
          </cell>
          <cell r="E19">
            <v>175.14366159538849</v>
          </cell>
        </row>
        <row r="20">
          <cell r="B20">
            <v>25.779152216560004</v>
          </cell>
          <cell r="C20">
            <v>0.94767131768362123</v>
          </cell>
          <cell r="D20">
            <v>2.7400742443199242</v>
          </cell>
          <cell r="E20">
            <v>136.06448516258516</v>
          </cell>
        </row>
        <row r="21">
          <cell r="B21">
            <v>7.7937150012000016</v>
          </cell>
          <cell r="C21">
            <v>0.28650593715387085</v>
          </cell>
          <cell r="D21">
            <v>0.82839643301534582</v>
          </cell>
          <cell r="E21">
            <v>41.13586863655604</v>
          </cell>
        </row>
        <row r="22">
          <cell r="B22">
            <v>6.1967214007500004</v>
          </cell>
          <cell r="C22">
            <v>0.22779861361750686</v>
          </cell>
          <cell r="D22">
            <v>0.65865147801539758</v>
          </cell>
          <cell r="E22">
            <v>32.706805096072841</v>
          </cell>
        </row>
        <row r="23">
          <cell r="B23">
            <v>41.630508849160002</v>
          </cell>
          <cell r="C23">
            <v>1.5303854388035276</v>
          </cell>
          <cell r="D23">
            <v>4.4249199553676295</v>
          </cell>
          <cell r="E23">
            <v>219.72924889200522</v>
          </cell>
        </row>
        <row r="24">
          <cell r="B24">
            <v>29.270849660760003</v>
          </cell>
          <cell r="C24">
            <v>1.076030136084636</v>
          </cell>
          <cell r="D24">
            <v>3.111207870260662</v>
          </cell>
          <cell r="E24">
            <v>154.49395138775429</v>
          </cell>
        </row>
        <row r="25">
          <cell r="B25">
            <v>7.0885505478500006</v>
          </cell>
          <cell r="C25">
            <v>0.26058327991999303</v>
          </cell>
          <cell r="D25">
            <v>0.75344428019035603</v>
          </cell>
          <cell r="E25">
            <v>37.413952667636444</v>
          </cell>
        </row>
        <row r="26">
          <cell r="B26">
            <v>6.5915499999999998</v>
          </cell>
          <cell r="C26">
            <v>0.2423129675329187</v>
          </cell>
          <cell r="D26">
            <v>0.70061793473350764</v>
          </cell>
          <cell r="E26">
            <v>34.790742908810756</v>
          </cell>
        </row>
        <row r="27">
          <cell r="B27">
            <v>14.46759795663</v>
          </cell>
          <cell r="C27">
            <v>0.53184555892683905</v>
          </cell>
          <cell r="D27">
            <v>1.5377655636274967</v>
          </cell>
          <cell r="E27">
            <v>76.361171654186066</v>
          </cell>
        </row>
        <row r="28">
          <cell r="B28"/>
          <cell r="C28"/>
          <cell r="D28"/>
          <cell r="E28"/>
        </row>
        <row r="29">
          <cell r="B29">
            <v>238.87843811845846</v>
          </cell>
          <cell r="C29">
            <v>8.7814464306744782</v>
          </cell>
          <cell r="D29">
            <v>25.390464756683997</v>
          </cell>
          <cell r="E29">
            <v>1260.820038843299</v>
          </cell>
        </row>
        <row r="30">
          <cell r="B30">
            <v>183.53723294322998</v>
          </cell>
          <cell r="C30">
            <v>6.7470400083826449</v>
          </cell>
          <cell r="D30">
            <v>19.508230551446701</v>
          </cell>
          <cell r="E30">
            <v>968.72460734158528</v>
          </cell>
        </row>
        <row r="31">
          <cell r="B31">
            <v>14.286212447479999</v>
          </cell>
          <cell r="C31">
            <v>0.5251776187625975</v>
          </cell>
          <cell r="D31">
            <v>1.5184860404787288</v>
          </cell>
          <cell r="E31">
            <v>75.403804021956716</v>
          </cell>
        </row>
        <row r="32">
          <cell r="B32">
            <v>1.2044485206799997</v>
          </cell>
          <cell r="C32">
            <v>4.4276914426288921E-2</v>
          </cell>
          <cell r="D32">
            <v>0.12802121428975732</v>
          </cell>
          <cell r="E32">
            <v>6.3571783313295525</v>
          </cell>
        </row>
        <row r="33">
          <cell r="B33">
            <v>11.301138712038499</v>
          </cell>
          <cell r="C33">
            <v>0.41544287122379342</v>
          </cell>
          <cell r="D33">
            <v>1.2012016088120863</v>
          </cell>
          <cell r="E33">
            <v>59.648339390179878</v>
          </cell>
        </row>
        <row r="34">
          <cell r="B34">
            <v>7.0186839379500006</v>
          </cell>
          <cell r="C34">
            <v>0.25801490289541862</v>
          </cell>
          <cell r="D34">
            <v>0.74601813612181844</v>
          </cell>
          <cell r="E34">
            <v>37.045190955604973</v>
          </cell>
        </row>
        <row r="35">
          <cell r="B35">
            <v>16.572447136329995</v>
          </cell>
          <cell r="C35">
            <v>0.60922223830306099</v>
          </cell>
          <cell r="D35">
            <v>1.7614906488057822</v>
          </cell>
          <cell r="E35">
            <v>87.470738701809722</v>
          </cell>
        </row>
        <row r="36">
          <cell r="B36">
            <v>0.44353370387000007</v>
          </cell>
          <cell r="C36">
            <v>1.6304809640464914E-2</v>
          </cell>
          <cell r="D36">
            <v>4.7143337696005136E-2</v>
          </cell>
          <cell r="E36">
            <v>2.3410073598370302</v>
          </cell>
        </row>
        <row r="37">
          <cell r="B37">
            <v>4.5147407168800004</v>
          </cell>
          <cell r="C37">
            <v>0.165967067040209</v>
          </cell>
          <cell r="D37">
            <v>0.47987321903311692</v>
          </cell>
          <cell r="E37">
            <v>23.829172740995983</v>
          </cell>
        </row>
        <row r="38">
          <cell r="B38"/>
          <cell r="C38"/>
          <cell r="D38"/>
          <cell r="E38"/>
        </row>
        <row r="39">
          <cell r="B39">
            <v>55.345338984230011</v>
          </cell>
          <cell r="C39">
            <v>2.0345583858704104</v>
          </cell>
          <cell r="D39">
            <v>5.8826735891037929</v>
          </cell>
          <cell r="E39">
            <v>292.11725008553799</v>
          </cell>
        </row>
        <row r="40">
          <cell r="B40">
            <v>19.740562864659999</v>
          </cell>
          <cell r="C40">
            <v>0.7256858202556149</v>
          </cell>
          <cell r="D40">
            <v>2.0982306718017858</v>
          </cell>
          <cell r="E40">
            <v>104.1923140231968</v>
          </cell>
        </row>
        <row r="41">
          <cell r="B41">
            <v>11.879156686149997</v>
          </cell>
          <cell r="C41">
            <v>0.43669147748397846</v>
          </cell>
          <cell r="D41">
            <v>1.2626393221360908</v>
          </cell>
          <cell r="E41">
            <v>62.699165786700384</v>
          </cell>
        </row>
        <row r="42">
          <cell r="B42">
            <v>3.1984922962800009</v>
          </cell>
          <cell r="C42">
            <v>0.11758025956607875</v>
          </cell>
          <cell r="D42">
            <v>0.33996875801302096</v>
          </cell>
          <cell r="E42">
            <v>16.881905344826219</v>
          </cell>
        </row>
        <row r="43">
          <cell r="B43">
            <v>4.0324565471800007</v>
          </cell>
          <cell r="C43">
            <v>0.14823774565841616</v>
          </cell>
          <cell r="D43">
            <v>0.42861108206535087</v>
          </cell>
          <cell r="E43">
            <v>21.283637236141747</v>
          </cell>
        </row>
        <row r="44">
          <cell r="B44">
            <v>3.1969888784</v>
          </cell>
          <cell r="C44">
            <v>0.1175249921937695</v>
          </cell>
          <cell r="D44">
            <v>0.33980895925095023</v>
          </cell>
          <cell r="E44">
            <v>16.873970181632796</v>
          </cell>
        </row>
        <row r="45">
          <cell r="B45">
            <v>4.4498505461700013</v>
          </cell>
          <cell r="C45">
            <v>0.16358162965014786</v>
          </cell>
          <cell r="D45">
            <v>0.47297602226037849</v>
          </cell>
          <cell r="E45">
            <v>23.486677084211095</v>
          </cell>
        </row>
        <row r="46">
          <cell r="B46">
            <v>2.54989881832</v>
          </cell>
          <cell r="C46">
            <v>9.3737216523549383E-2</v>
          </cell>
          <cell r="D46">
            <v>0.27102955205843393</v>
          </cell>
          <cell r="E46">
            <v>13.458575635723234</v>
          </cell>
        </row>
        <row r="47">
          <cell r="B47">
            <v>6.2979323470700006</v>
          </cell>
          <cell r="C47">
            <v>0.23151924453885525</v>
          </cell>
          <cell r="D47">
            <v>0.66940922151778193</v>
          </cell>
          <cell r="E47">
            <v>33.241004793105645</v>
          </cell>
        </row>
      </sheetData>
      <sheetData sheetId="1">
        <row r="5">
          <cell r="B5">
            <v>2720.2629999999999</v>
          </cell>
          <cell r="C5"/>
          <cell r="D5"/>
          <cell r="E5"/>
        </row>
        <row r="6">
          <cell r="B6">
            <v>189462755</v>
          </cell>
          <cell r="C6"/>
          <cell r="D6"/>
          <cell r="E6"/>
        </row>
        <row r="7">
          <cell r="B7">
            <v>940.81947852322855</v>
          </cell>
          <cell r="C7">
            <v>34.585607293237032</v>
          </cell>
          <cell r="D7">
            <v>99.999999999999986</v>
          </cell>
          <cell r="E7">
            <v>4965.7225691837348</v>
          </cell>
        </row>
        <row r="8">
          <cell r="B8"/>
          <cell r="C8"/>
          <cell r="D8"/>
          <cell r="E8">
            <v>0</v>
          </cell>
        </row>
        <row r="9">
          <cell r="B9">
            <v>646.59570142054008</v>
          </cell>
          <cell r="C9">
            <v>23.769602476692143</v>
          </cell>
          <cell r="D9">
            <v>68.7268616542122</v>
          </cell>
          <cell r="E9">
            <v>3412.7852802548978</v>
          </cell>
        </row>
        <row r="10">
          <cell r="B10">
            <v>195.54627122188998</v>
          </cell>
          <cell r="C10">
            <v>7.1885060827533946</v>
          </cell>
          <cell r="D10">
            <v>20.784675029138654</v>
          </cell>
          <cell r="E10">
            <v>1032.1092988534342</v>
          </cell>
        </row>
        <row r="11">
          <cell r="B11">
            <v>223.50805398548999</v>
          </cell>
          <cell r="C11">
            <v>8.2164134124343846</v>
          </cell>
          <cell r="D11">
            <v>23.756741764777527</v>
          </cell>
          <cell r="E11">
            <v>1179.6938875162562</v>
          </cell>
        </row>
        <row r="12">
          <cell r="B12">
            <v>138.11807317168004</v>
          </cell>
          <cell r="C12">
            <v>5.0773793994066025</v>
          </cell>
          <cell r="D12">
            <v>14.68061369100044</v>
          </cell>
          <cell r="E12">
            <v>728.9985473486862</v>
          </cell>
        </row>
        <row r="13">
          <cell r="B13">
            <v>41.630508849160002</v>
          </cell>
          <cell r="C13">
            <v>1.5303854388035276</v>
          </cell>
          <cell r="D13">
            <v>4.4249199553676295</v>
          </cell>
          <cell r="E13">
            <v>219.72924889200522</v>
          </cell>
        </row>
        <row r="14">
          <cell r="B14">
            <v>47.792794192320002</v>
          </cell>
          <cell r="C14">
            <v>1.7569181432942331</v>
          </cell>
          <cell r="D14">
            <v>5.0799112139279563</v>
          </cell>
          <cell r="E14">
            <v>252.25429764451593</v>
          </cell>
        </row>
        <row r="15">
          <cell r="B15"/>
          <cell r="C15"/>
          <cell r="D15"/>
          <cell r="E15">
            <v>0</v>
          </cell>
        </row>
        <row r="16">
          <cell r="B16">
            <v>238.87843811845849</v>
          </cell>
          <cell r="C16">
            <v>8.7814464306744782</v>
          </cell>
          <cell r="D16">
            <v>25.390464756683997</v>
          </cell>
          <cell r="E16">
            <v>1260.8200388432992</v>
          </cell>
        </row>
        <row r="17">
          <cell r="B17">
            <v>183.53723294322998</v>
          </cell>
          <cell r="C17">
            <v>6.7470400083826449</v>
          </cell>
          <cell r="D17">
            <v>19.508230551446701</v>
          </cell>
          <cell r="E17">
            <v>968.72460734158528</v>
          </cell>
        </row>
        <row r="18">
          <cell r="B18">
            <v>14.286212447479999</v>
          </cell>
          <cell r="C18">
            <v>0.5251776187625975</v>
          </cell>
          <cell r="D18">
            <v>1.5184860404787288</v>
          </cell>
          <cell r="E18">
            <v>75.403804021956716</v>
          </cell>
        </row>
        <row r="19">
          <cell r="B19">
            <v>41.054992727748498</v>
          </cell>
          <cell r="C19">
            <v>1.5092288035292361</v>
          </cell>
          <cell r="D19">
            <v>4.363748164758567</v>
          </cell>
          <cell r="E19">
            <v>216.69162747975716</v>
          </cell>
        </row>
        <row r="20">
          <cell r="B20"/>
          <cell r="C20"/>
          <cell r="D20"/>
          <cell r="E20">
            <v>0</v>
          </cell>
        </row>
        <row r="21">
          <cell r="B21">
            <v>55.345338984229997</v>
          </cell>
          <cell r="C21">
            <v>2.0345583858704104</v>
          </cell>
          <cell r="D21">
            <v>5.8826735891037929</v>
          </cell>
          <cell r="E21">
            <v>292.11725008553788</v>
          </cell>
        </row>
        <row r="22">
          <cell r="B22">
            <v>19.740562864659999</v>
          </cell>
          <cell r="C22">
            <v>0.7256858202556149</v>
          </cell>
          <cell r="D22">
            <v>2.0982306718017858</v>
          </cell>
          <cell r="E22">
            <v>104.1923140231968</v>
          </cell>
        </row>
        <row r="23">
          <cell r="B23">
            <v>11.879156686149997</v>
          </cell>
          <cell r="C23">
            <v>0.43669147748397846</v>
          </cell>
          <cell r="D23">
            <v>1.2626393221360908</v>
          </cell>
          <cell r="E23">
            <v>62.699165786700384</v>
          </cell>
        </row>
        <row r="24">
          <cell r="B24">
            <v>23.72561943342</v>
          </cell>
          <cell r="C24">
            <v>0.87218108813081685</v>
          </cell>
          <cell r="D24">
            <v>2.5218035951659163</v>
          </cell>
          <cell r="E24">
            <v>125.22577027564073</v>
          </cell>
        </row>
      </sheetData>
      <sheetData sheetId="2">
        <row r="5">
          <cell r="B5">
            <v>2720.2629999999999</v>
          </cell>
          <cell r="C5"/>
          <cell r="D5"/>
          <cell r="E5"/>
        </row>
        <row r="6">
          <cell r="B6">
            <v>189462755</v>
          </cell>
          <cell r="C6"/>
          <cell r="D6"/>
          <cell r="E6"/>
        </row>
        <row r="7">
          <cell r="B7">
            <v>940.81947852322855</v>
          </cell>
          <cell r="C7">
            <v>34.58560729323704</v>
          </cell>
          <cell r="D7">
            <v>99.999999999999972</v>
          </cell>
          <cell r="E7">
            <v>4965.7225691837348</v>
          </cell>
        </row>
        <row r="8">
          <cell r="B8"/>
          <cell r="C8"/>
          <cell r="D8"/>
          <cell r="E8">
            <v>0</v>
          </cell>
        </row>
        <row r="9">
          <cell r="B9">
            <v>183.53723294322998</v>
          </cell>
          <cell r="C9">
            <v>6.7470400083826449</v>
          </cell>
          <cell r="D9">
            <v>19.508230551446694</v>
          </cell>
          <cell r="E9">
            <v>968.72460734158528</v>
          </cell>
        </row>
        <row r="10">
          <cell r="B10">
            <v>151.79817371953004</v>
          </cell>
          <cell r="C10">
            <v>5.5802756468595147</v>
          </cell>
          <cell r="D10">
            <v>16.134675905924301</v>
          </cell>
          <cell r="E10">
            <v>801.2032429251334</v>
          </cell>
        </row>
        <row r="11">
          <cell r="B11">
            <v>159.29438665698848</v>
          </cell>
          <cell r="C11">
            <v>5.8558450656053651</v>
          </cell>
          <cell r="D11">
            <v>16.931450750469928</v>
          </cell>
          <cell r="E11">
            <v>840.7688712063142</v>
          </cell>
        </row>
        <row r="12">
          <cell r="B12">
            <v>100.55555147960999</v>
          </cell>
          <cell r="C12">
            <v>3.6965378523918457</v>
          </cell>
          <cell r="D12">
            <v>10.688081377465581</v>
          </cell>
          <cell r="E12">
            <v>530.74046917353223</v>
          </cell>
        </row>
        <row r="13">
          <cell r="B13">
            <v>41.630508849160002</v>
          </cell>
          <cell r="C13">
            <v>1.5303854388035276</v>
          </cell>
          <cell r="D13">
            <v>4.4249199553676277</v>
          </cell>
          <cell r="E13">
            <v>219.72924889200522</v>
          </cell>
        </row>
        <row r="14">
          <cell r="B14">
            <v>36.319612692870002</v>
          </cell>
          <cell r="C14">
            <v>1.3351507811145467</v>
          </cell>
          <cell r="D14">
            <v>3.8604231228162518</v>
          </cell>
          <cell r="E14">
            <v>191.69790227567421</v>
          </cell>
        </row>
        <row r="15">
          <cell r="B15">
            <v>31.24002807738</v>
          </cell>
          <cell r="C15">
            <v>1.1484194019982625</v>
          </cell>
          <cell r="D15">
            <v>3.3205124671117963</v>
          </cell>
          <cell r="E15">
            <v>164.88743699193017</v>
          </cell>
        </row>
        <row r="16">
          <cell r="B16">
            <v>33.18320064665</v>
          </cell>
          <cell r="C16">
            <v>1.219852663020083</v>
          </cell>
          <cell r="D16">
            <v>3.5270528942211636</v>
          </cell>
          <cell r="E16">
            <v>175.14366159538849</v>
          </cell>
        </row>
        <row r="17">
          <cell r="B17">
            <v>25.779152216560004</v>
          </cell>
          <cell r="C17">
            <v>0.94767131768362123</v>
          </cell>
          <cell r="D17">
            <v>2.7400742443199237</v>
          </cell>
          <cell r="E17">
            <v>136.06448516258516</v>
          </cell>
        </row>
        <row r="18">
          <cell r="B18">
            <v>19.740562864659999</v>
          </cell>
          <cell r="C18">
            <v>0.7256858202556149</v>
          </cell>
          <cell r="D18">
            <v>2.0982306718017858</v>
          </cell>
          <cell r="E18">
            <v>104.1923140231968</v>
          </cell>
        </row>
        <row r="19">
          <cell r="B19">
            <v>12.216069787259999</v>
          </cell>
          <cell r="C19">
            <v>0.44907679100366393</v>
          </cell>
          <cell r="D19">
            <v>1.2984499222353616</v>
          </cell>
          <cell r="E19">
            <v>64.477420837990024</v>
          </cell>
        </row>
        <row r="20">
          <cell r="B20">
            <v>14.286212447479999</v>
          </cell>
          <cell r="C20">
            <v>0.5251776187625975</v>
          </cell>
          <cell r="D20">
            <v>1.5184860404787286</v>
          </cell>
          <cell r="E20">
            <v>75.403804021956716</v>
          </cell>
        </row>
        <row r="21">
          <cell r="B21">
            <v>11.879156686149997</v>
          </cell>
          <cell r="C21">
            <v>0.43669147748397846</v>
          </cell>
          <cell r="D21">
            <v>1.2626393221360908</v>
          </cell>
          <cell r="E21">
            <v>62.699165786700384</v>
          </cell>
        </row>
        <row r="22">
          <cell r="B22">
            <v>7.8165821498900012</v>
          </cell>
          <cell r="C22">
            <v>0.28734655986902746</v>
          </cell>
          <cell r="D22">
            <v>0.83082698948361666</v>
          </cell>
          <cell r="E22">
            <v>41.25656332765773</v>
          </cell>
        </row>
        <row r="23">
          <cell r="B23">
            <v>3.1984922962800009</v>
          </cell>
          <cell r="C23">
            <v>0.11758025956607875</v>
          </cell>
          <cell r="D23">
            <v>0.3399687580130209</v>
          </cell>
          <cell r="E23">
            <v>16.881905344826219</v>
          </cell>
        </row>
        <row r="24">
          <cell r="B24">
            <v>1.2044485206799997</v>
          </cell>
          <cell r="C24">
            <v>4.4276914426288921E-2</v>
          </cell>
          <cell r="D24">
            <v>0.1280212142897573</v>
          </cell>
          <cell r="E24">
            <v>6.3571783313295525</v>
          </cell>
        </row>
        <row r="25">
          <cell r="B25">
            <v>0.31279980959000003</v>
          </cell>
          <cell r="C25">
            <v>1.1498881159284968E-2</v>
          </cell>
          <cell r="D25">
            <v>3.3247590715382608E-2</v>
          </cell>
          <cell r="E25">
            <v>1.6509831158635904</v>
          </cell>
        </row>
        <row r="26">
          <cell r="B26">
            <v>106.82730667926</v>
          </cell>
          <cell r="C26">
            <v>3.9270947948510861</v>
          </cell>
          <cell r="D26">
            <v>11.354708221702964</v>
          </cell>
          <cell r="E26">
            <v>563.84330883006533</v>
          </cell>
        </row>
      </sheetData>
      <sheetData sheetId="3">
        <row r="5">
          <cell r="B5">
            <v>2720.2629999999999</v>
          </cell>
          <cell r="C5"/>
          <cell r="D5"/>
          <cell r="E5"/>
        </row>
        <row r="6">
          <cell r="B6">
            <v>189462755</v>
          </cell>
          <cell r="C6"/>
          <cell r="D6"/>
          <cell r="E6"/>
        </row>
        <row r="7">
          <cell r="B7">
            <v>940.81947852322867</v>
          </cell>
          <cell r="C7">
            <v>34.585607293237032</v>
          </cell>
          <cell r="D7">
            <v>99.999999999999986</v>
          </cell>
          <cell r="E7">
            <v>4965.7225691837357</v>
          </cell>
        </row>
        <row r="8">
          <cell r="B8"/>
          <cell r="C8"/>
          <cell r="D8"/>
          <cell r="E8">
            <v>0</v>
          </cell>
        </row>
        <row r="9">
          <cell r="B9">
            <v>393.11680976439004</v>
          </cell>
          <cell r="C9">
            <v>14.451426562960643</v>
          </cell>
          <cell r="D9">
            <v>41.784510072160892</v>
          </cell>
          <cell r="E9">
            <v>2074.9028470761446</v>
          </cell>
        </row>
        <row r="10">
          <cell r="B10">
            <v>224.21568219180008</v>
          </cell>
          <cell r="C10">
            <v>8.2424266400638508</v>
          </cell>
          <cell r="D10">
            <v>23.831955790684052</v>
          </cell>
          <cell r="E10">
            <v>1183.428807375888</v>
          </cell>
        </row>
        <row r="11">
          <cell r="B11">
            <v>194.36760968992849</v>
          </cell>
          <cell r="C11">
            <v>7.1451771277236249</v>
          </cell>
          <cell r="D11">
            <v>20.659394722037483</v>
          </cell>
          <cell r="E11">
            <v>1025.8882263689688</v>
          </cell>
        </row>
        <row r="12">
          <cell r="B12">
            <v>30.881109760179996</v>
          </cell>
          <cell r="C12">
            <v>1.1352251513982285</v>
          </cell>
          <cell r="D12">
            <v>3.2823629256329805</v>
          </cell>
          <cell r="E12">
            <v>162.99303660067645</v>
          </cell>
        </row>
        <row r="13">
          <cell r="B13">
            <v>12.216069787259999</v>
          </cell>
          <cell r="C13">
            <v>0.44907679100366393</v>
          </cell>
          <cell r="D13">
            <v>1.2984499222353618</v>
          </cell>
          <cell r="E13">
            <v>64.477420837990024</v>
          </cell>
        </row>
        <row r="14">
          <cell r="B14">
            <v>14.270019391280002</v>
          </cell>
          <cell r="C14">
            <v>0.52458234337194609</v>
          </cell>
          <cell r="D14">
            <v>1.516764875412566</v>
          </cell>
          <cell r="E14">
            <v>75.318335739813364</v>
          </cell>
        </row>
        <row r="15">
          <cell r="B15">
            <v>44.136194842760005</v>
          </cell>
          <cell r="C15">
            <v>1.6224973409835741</v>
          </cell>
          <cell r="D15">
            <v>4.6912501122998691</v>
          </cell>
          <cell r="E15">
            <v>232.95446560333193</v>
          </cell>
        </row>
        <row r="16">
          <cell r="B16">
            <v>27.61598309563</v>
          </cell>
          <cell r="C16">
            <v>1.0151953357315084</v>
          </cell>
          <cell r="D16">
            <v>2.9353115795367928</v>
          </cell>
          <cell r="E16">
            <v>145.75942958092213</v>
          </cell>
        </row>
      </sheetData>
      <sheetData sheetId="4">
        <row r="5">
          <cell r="B5">
            <v>2720.2629999999999</v>
          </cell>
          <cell r="C5"/>
          <cell r="D5"/>
          <cell r="E5"/>
        </row>
        <row r="6">
          <cell r="B6">
            <v>189462755</v>
          </cell>
          <cell r="C6"/>
          <cell r="D6"/>
          <cell r="E6"/>
        </row>
        <row r="7">
          <cell r="B7">
            <v>940.81947852322855</v>
          </cell>
          <cell r="C7">
            <v>34.585607293237032</v>
          </cell>
          <cell r="D7">
            <v>100.00000000000003</v>
          </cell>
          <cell r="E7">
            <v>4965.7225691837348</v>
          </cell>
        </row>
        <row r="8">
          <cell r="B8"/>
          <cell r="C8"/>
          <cell r="D8"/>
          <cell r="E8">
            <v>0</v>
          </cell>
        </row>
        <row r="9">
          <cell r="B9">
            <v>541.80206759234011</v>
          </cell>
          <cell r="C9">
            <v>19.917267837423815</v>
          </cell>
          <cell r="D9">
            <v>57.588313163199814</v>
          </cell>
          <cell r="E9">
            <v>2859.6758639572199</v>
          </cell>
        </row>
        <row r="10">
          <cell r="B10"/>
          <cell r="C10"/>
          <cell r="D10"/>
          <cell r="E10">
            <v>0</v>
          </cell>
        </row>
        <row r="11">
          <cell r="B11">
            <v>233.17615745900034</v>
          </cell>
          <cell r="C11">
            <v>8.5718240280075992</v>
          </cell>
          <cell r="D11">
            <v>24.784367541476591</v>
          </cell>
          <cell r="E11">
            <v>1230.7229326365509</v>
          </cell>
        </row>
        <row r="12">
          <cell r="B12"/>
          <cell r="C12"/>
          <cell r="D12"/>
          <cell r="E12">
            <v>0</v>
          </cell>
        </row>
        <row r="13">
          <cell r="B13">
            <v>165.84125347188808</v>
          </cell>
          <cell r="C13">
            <v>6.0965154278056231</v>
          </cell>
          <cell r="D13">
            <v>17.627319295323616</v>
          </cell>
          <cell r="E13">
            <v>875.32377258996416</v>
          </cell>
        </row>
        <row r="14">
          <cell r="B14"/>
          <cell r="C14"/>
          <cell r="D14"/>
          <cell r="E14">
            <v>0</v>
          </cell>
        </row>
        <row r="15">
          <cell r="B15"/>
          <cell r="C15"/>
          <cell r="D15"/>
          <cell r="E15">
            <v>0</v>
          </cell>
        </row>
        <row r="16">
          <cell r="B16"/>
          <cell r="C16"/>
          <cell r="D16"/>
          <cell r="E16">
            <v>0</v>
          </cell>
        </row>
        <row r="17">
          <cell r="B17">
            <v>55.901993480889338</v>
          </cell>
          <cell r="C17">
            <v>2.0550216461014741</v>
          </cell>
          <cell r="D17">
            <v>5.9418405716510838</v>
          </cell>
          <cell r="E17">
            <v>295.05531829139363</v>
          </cell>
        </row>
        <row r="18">
          <cell r="B18">
            <v>32.009695627330004</v>
          </cell>
          <cell r="C18">
            <v>1.1767132673322398</v>
          </cell>
          <cell r="D18">
            <v>3.4023206744799235</v>
          </cell>
          <cell r="E18">
            <v>168.9498056086538</v>
          </cell>
        </row>
        <row r="19">
          <cell r="B19">
            <v>2.6665395407000001</v>
          </cell>
          <cell r="C19">
            <v>9.8025063778759636E-2</v>
          </cell>
          <cell r="D19">
            <v>0.28342733133943765</v>
          </cell>
          <cell r="E19">
            <v>14.07421495955762</v>
          </cell>
        </row>
        <row r="20">
          <cell r="B20">
            <v>1.1869131799999999E-3</v>
          </cell>
          <cell r="C20">
            <v>4.3632295112641679E-5</v>
          </cell>
          <cell r="D20">
            <v>1.26157377381584E-4</v>
          </cell>
          <cell r="E20">
            <v>6.2646253613276122E-3</v>
          </cell>
        </row>
        <row r="21">
          <cell r="B21">
            <v>1.2221373735299996</v>
          </cell>
          <cell r="C21">
            <v>4.4927177024059795E-2</v>
          </cell>
          <cell r="D21">
            <v>0.12990136805504346</v>
          </cell>
          <cell r="E21">
            <v>6.4505415511877242</v>
          </cell>
        </row>
        <row r="22">
          <cell r="B22">
            <v>6.5246134446700008</v>
          </cell>
          <cell r="C22">
            <v>0.23985230268801219</v>
          </cell>
          <cell r="D22">
            <v>0.69350322709213663</v>
          </cell>
          <cell r="E22">
            <v>34.437446265731758</v>
          </cell>
        </row>
        <row r="23">
          <cell r="B23">
            <v>4.7257003652333358</v>
          </cell>
          <cell r="C23">
            <v>0.17372218661332878</v>
          </cell>
          <cell r="D23">
            <v>0.50229618679357102</v>
          </cell>
          <cell r="E23">
            <v>24.942635111757642</v>
          </cell>
        </row>
        <row r="24">
          <cell r="B24">
            <v>1.4548003885299998</v>
          </cell>
          <cell r="C24">
            <v>5.3480137344440584E-2</v>
          </cell>
          <cell r="D24">
            <v>0.15463119352222054</v>
          </cell>
          <cell r="E24">
            <v>7.678556075731084</v>
          </cell>
        </row>
        <row r="25">
          <cell r="B25">
            <v>1.3941737915299999</v>
          </cell>
          <cell r="C25">
            <v>5.1251433833052175E-2</v>
          </cell>
          <cell r="D25">
            <v>0.14818717334789733</v>
          </cell>
          <cell r="E25">
            <v>7.3585639115719603</v>
          </cell>
        </row>
        <row r="26">
          <cell r="B26">
            <v>5.9031460361859995</v>
          </cell>
          <cell r="C26">
            <v>0.21700644519246851</v>
          </cell>
          <cell r="D26">
            <v>0.62744725964347192</v>
          </cell>
          <cell r="E26">
            <v>31.157290181840754</v>
          </cell>
        </row>
        <row r="27">
          <cell r="B27"/>
          <cell r="C27"/>
          <cell r="D27"/>
          <cell r="E27">
            <v>0</v>
          </cell>
        </row>
        <row r="28">
          <cell r="B28">
            <v>48.891640347310606</v>
          </cell>
          <cell r="C28">
            <v>1.7973129931668597</v>
          </cell>
          <cell r="D28">
            <v>5.1967079193613337</v>
          </cell>
          <cell r="E28">
            <v>258.05409800628416</v>
          </cell>
        </row>
        <row r="29">
          <cell r="B29">
            <v>33.934881729929998</v>
          </cell>
          <cell r="C29">
            <v>1.2474853251295923</v>
          </cell>
          <cell r="D29">
            <v>3.6069493143569269</v>
          </cell>
          <cell r="E29">
            <v>179.11109616203984</v>
          </cell>
        </row>
        <row r="30">
          <cell r="B30">
            <v>0.16047145187</v>
          </cell>
          <cell r="C30">
            <v>5.8991153381125283E-3</v>
          </cell>
          <cell r="D30">
            <v>1.705656138432491E-2</v>
          </cell>
          <cell r="E30">
            <v>0.84698151818809986</v>
          </cell>
        </row>
        <row r="31">
          <cell r="B31">
            <v>2.7694628500000004E-3</v>
          </cell>
          <cell r="C31">
            <v>1.0180864313487337E-4</v>
          </cell>
          <cell r="D31">
            <v>2.943670824446715E-4</v>
          </cell>
          <cell r="E31">
            <v>1.4617452649202745E-2</v>
          </cell>
        </row>
        <row r="32">
          <cell r="B32">
            <v>0.40299285024000003</v>
          </cell>
          <cell r="C32">
            <v>1.4814481182150405E-2</v>
          </cell>
          <cell r="D32">
            <v>4.2834237538593896E-2</v>
          </cell>
          <cell r="E32">
            <v>2.1270294007917281</v>
          </cell>
        </row>
        <row r="33">
          <cell r="B33">
            <v>9.451729768469999</v>
          </cell>
          <cell r="C33">
            <v>0.34745646904251537</v>
          </cell>
          <cell r="D33">
            <v>1.0046273471406066</v>
          </cell>
          <cell r="E33">
            <v>49.887006913152931</v>
          </cell>
        </row>
        <row r="34">
          <cell r="B34">
            <v>0.48301661264000001</v>
          </cell>
          <cell r="C34">
            <v>1.775624682760454E-2</v>
          </cell>
          <cell r="D34">
            <v>5.1339988559566646E-2</v>
          </cell>
          <cell r="E34">
            <v>2.5494013989187478</v>
          </cell>
        </row>
        <row r="35">
          <cell r="B35">
            <v>0.45607412995000007</v>
          </cell>
          <cell r="C35">
            <v>1.6765810142254631E-2</v>
          </cell>
          <cell r="D35">
            <v>4.8476263551205774E-2</v>
          </cell>
          <cell r="E35">
            <v>2.4071967598592137</v>
          </cell>
        </row>
        <row r="36">
          <cell r="B36">
            <v>3.9997043413606224</v>
          </cell>
          <cell r="C36">
            <v>0.14703373686149546</v>
          </cell>
          <cell r="D36">
            <v>0.42512983974766538</v>
          </cell>
          <cell r="E36">
            <v>21.110768400684464</v>
          </cell>
        </row>
        <row r="37">
          <cell r="B37"/>
          <cell r="C37"/>
          <cell r="D37"/>
          <cell r="E37">
            <v>0</v>
          </cell>
        </row>
        <row r="38">
          <cell r="B38">
            <v>61.604274140347499</v>
          </cell>
          <cell r="C38">
            <v>2.2646440487683543</v>
          </cell>
          <cell r="D38">
            <v>4.9864546987939224</v>
          </cell>
          <cell r="E38">
            <v>325.15242449814212</v>
          </cell>
        </row>
        <row r="39">
          <cell r="B39">
            <v>38.147505593352498</v>
          </cell>
          <cell r="C39">
            <v>1.4023462287783388</v>
          </cell>
          <cell r="D39">
            <v>2.4932273493969612</v>
          </cell>
          <cell r="E39">
            <v>201.34567130807582</v>
          </cell>
        </row>
        <row r="40">
          <cell r="B40">
            <v>7.1431062237399994</v>
          </cell>
          <cell r="C40">
            <v>0.26258880938129875</v>
          </cell>
          <cell r="D40">
            <v>0.75924302023936441</v>
          </cell>
          <cell r="E40">
            <v>37.701902010978358</v>
          </cell>
        </row>
        <row r="41">
          <cell r="B41">
            <v>0.66663488517500002</v>
          </cell>
          <cell r="C41">
            <v>2.4506265944689909E-2</v>
          </cell>
          <cell r="D41">
            <v>7.0856832834859412E-2</v>
          </cell>
          <cell r="E41">
            <v>3.5185537398894051</v>
          </cell>
        </row>
        <row r="42">
          <cell r="B42">
            <v>15.64702743808</v>
          </cell>
          <cell r="C42">
            <v>0.57520274466402699</v>
          </cell>
          <cell r="D42">
            <v>1.6631274963227372</v>
          </cell>
          <cell r="E42">
            <v>82.586297439198532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GOVDetalhado"/>
      <sheetName val="AD ESFERA"/>
      <sheetName val="PRINCIPAIS TRIBUTOS"/>
      <sheetName val="Bases de Incidência"/>
      <sheetName val="RD ESFERA"/>
      <sheetName val="RD ESFERA DETALHADA"/>
      <sheetName val="Impostos"/>
      <sheetName val="Contribuições"/>
      <sheetName val="Patrimoniais"/>
      <sheetName val="Multas"/>
      <sheetName val="Estados"/>
      <sheetName val="Municipios"/>
      <sheetName val="Transferencias"/>
      <sheetName val="Gráficos"/>
    </sheetNames>
    <sheetDataSet>
      <sheetData sheetId="0">
        <row r="5">
          <cell r="B5">
            <v>3109.8029999999999</v>
          </cell>
          <cell r="C5"/>
          <cell r="D5"/>
          <cell r="E5"/>
        </row>
        <row r="6">
          <cell r="B6">
            <v>191532439</v>
          </cell>
          <cell r="C6"/>
          <cell r="D6"/>
          <cell r="E6"/>
        </row>
        <row r="7">
          <cell r="B7">
            <v>1080.8858871867769</v>
          </cell>
          <cell r="C7">
            <v>34.757374894383247</v>
          </cell>
          <cell r="D7">
            <v>100.00000000000001</v>
          </cell>
          <cell r="E7">
            <v>5643.3567746024319</v>
          </cell>
        </row>
        <row r="8">
          <cell r="B8"/>
          <cell r="C8"/>
          <cell r="D8"/>
          <cell r="E8"/>
        </row>
        <row r="9">
          <cell r="B9">
            <v>738.74106788094002</v>
          </cell>
          <cell r="C9">
            <v>23.755236839148335</v>
          </cell>
          <cell r="D9">
            <v>68.345888926689796</v>
          </cell>
          <cell r="E9">
            <v>3857.0023529066011</v>
          </cell>
        </row>
        <row r="10">
          <cell r="B10">
            <v>174.29936897449002</v>
          </cell>
          <cell r="C10">
            <v>5.6048363505498591</v>
          </cell>
          <cell r="D10">
            <v>16.125603177976465</v>
          </cell>
          <cell r="E10">
            <v>910.02531938983986</v>
          </cell>
        </row>
        <row r="11">
          <cell r="B11">
            <v>36.695285377910004</v>
          </cell>
          <cell r="C11">
            <v>1.1799874583023429</v>
          </cell>
          <cell r="D11">
            <v>3.3949268662778893</v>
          </cell>
          <cell r="E11">
            <v>191.58783530089127</v>
          </cell>
        </row>
        <row r="12">
          <cell r="B12">
            <v>20.167891471099999</v>
          </cell>
          <cell r="C12">
            <v>0.64852633659109593</v>
          </cell>
          <cell r="D12">
            <v>1.8658668514574646</v>
          </cell>
          <cell r="E12">
            <v>105.29752336678592</v>
          </cell>
        </row>
        <row r="13">
          <cell r="B13">
            <v>17.101490331640001</v>
          </cell>
          <cell r="C13">
            <v>0.54992198321372776</v>
          </cell>
          <cell r="D13">
            <v>1.5821735239924422</v>
          </cell>
          <cell r="E13">
            <v>89.287696752193511</v>
          </cell>
        </row>
        <row r="14">
          <cell r="B14">
            <v>0.39541171955999999</v>
          </cell>
          <cell r="C14">
            <v>1.2715008621446439E-2</v>
          </cell>
          <cell r="D14">
            <v>3.6582189132762066E-2</v>
          </cell>
          <cell r="E14">
            <v>2.0644634487216029</v>
          </cell>
        </row>
        <row r="15">
          <cell r="B15">
            <v>4.9633387053299991</v>
          </cell>
          <cell r="C15">
            <v>0.15960299431603864</v>
          </cell>
          <cell r="D15">
            <v>0.45919173931006596</v>
          </cell>
          <cell r="E15">
            <v>25.913828128769346</v>
          </cell>
        </row>
        <row r="16">
          <cell r="B16">
            <v>158.09568003677003</v>
          </cell>
          <cell r="C16">
            <v>5.0837844081046306</v>
          </cell>
          <cell r="D16">
            <v>14.626491280059717</v>
          </cell>
          <cell r="E16">
            <v>825.42508653988386</v>
          </cell>
        </row>
        <row r="17">
          <cell r="B17">
            <v>118.43104904162</v>
          </cell>
          <cell r="C17">
            <v>3.8083135504602703</v>
          </cell>
          <cell r="D17">
            <v>10.95685034336609</v>
          </cell>
          <cell r="E17">
            <v>618.33415613540012</v>
          </cell>
        </row>
        <row r="18">
          <cell r="B18">
            <v>0.97129909222999977</v>
          </cell>
          <cell r="C18">
            <v>3.1233460519203299E-2</v>
          </cell>
          <cell r="D18">
            <v>8.9861390896498888E-2</v>
          </cell>
          <cell r="E18">
            <v>5.0711988909095433</v>
          </cell>
        </row>
        <row r="19">
          <cell r="B19">
            <v>41.663704322950011</v>
          </cell>
          <cell r="C19">
            <v>1.3397538147255634</v>
          </cell>
          <cell r="D19">
            <v>3.8545886126229467</v>
          </cell>
          <cell r="E19">
            <v>217.52818760351093</v>
          </cell>
        </row>
        <row r="20">
          <cell r="B20">
            <v>30.326771021260004</v>
          </cell>
          <cell r="C20">
            <v>0.97519910493558615</v>
          </cell>
          <cell r="D20">
            <v>2.8057329067540637</v>
          </cell>
          <cell r="E20">
            <v>158.33751807055518</v>
          </cell>
        </row>
        <row r="21">
          <cell r="B21">
            <v>8.9044344127100015</v>
          </cell>
          <cell r="C21">
            <v>0.28633435663641721</v>
          </cell>
          <cell r="D21">
            <v>0.82380892546257434</v>
          </cell>
          <cell r="E21">
            <v>46.490476804871683</v>
          </cell>
        </row>
        <row r="22">
          <cell r="B22">
            <v>6.6254466228600002</v>
          </cell>
          <cell r="C22">
            <v>0.21305036437549263</v>
          </cell>
          <cell r="D22">
            <v>0.61296448602026432</v>
          </cell>
          <cell r="E22">
            <v>34.591772847731555</v>
          </cell>
        </row>
        <row r="23">
          <cell r="B23">
            <v>48.714379836640006</v>
          </cell>
          <cell r="C23">
            <v>1.5664779999453344</v>
          </cell>
          <cell r="D23">
            <v>4.5068938741932305</v>
          </cell>
          <cell r="E23">
            <v>254.34010077342569</v>
          </cell>
        </row>
        <row r="24">
          <cell r="B24">
            <v>36.100370902220007</v>
          </cell>
          <cell r="C24">
            <v>1.1608571636923628</v>
          </cell>
          <cell r="D24">
            <v>3.3398873396504865</v>
          </cell>
          <cell r="E24">
            <v>188.48175844625467</v>
          </cell>
        </row>
        <row r="25">
          <cell r="B25">
            <v>8.7763622793400007</v>
          </cell>
          <cell r="C25">
            <v>0.28221602073636176</v>
          </cell>
          <cell r="D25">
            <v>0.81196011377132959</v>
          </cell>
          <cell r="E25">
            <v>45.821806087583944</v>
          </cell>
        </row>
        <row r="26">
          <cell r="B26">
            <v>7.8263800000000003</v>
          </cell>
          <cell r="C26">
            <v>0.25166803170490221</v>
          </cell>
          <cell r="D26">
            <v>0.72407088414945708</v>
          </cell>
          <cell r="E26">
            <v>40.861903293572112</v>
          </cell>
        </row>
        <row r="27">
          <cell r="B27">
            <v>18.682403732309993</v>
          </cell>
          <cell r="C27">
            <v>0.60075843171770027</v>
          </cell>
          <cell r="D27">
            <v>1.7284344215960399</v>
          </cell>
          <cell r="E27">
            <v>97.541721025700483</v>
          </cell>
        </row>
        <row r="28">
          <cell r="B28"/>
          <cell r="C28"/>
          <cell r="D28"/>
          <cell r="E28"/>
        </row>
        <row r="29">
          <cell r="B29">
            <v>278.976772997647</v>
          </cell>
          <cell r="C29">
            <v>8.9708824963397049</v>
          </cell>
          <cell r="D29">
            <v>25.810011612210076</v>
          </cell>
          <cell r="E29">
            <v>1456.5510388433315</v>
          </cell>
        </row>
        <row r="30">
          <cell r="B30">
            <v>217.29792170537999</v>
          </cell>
          <cell r="C30">
            <v>6.9875140549218075</v>
          </cell>
          <cell r="D30">
            <v>20.103687566033596</v>
          </cell>
          <cell r="E30">
            <v>1134.5228142026635</v>
          </cell>
        </row>
        <row r="31">
          <cell r="B31">
            <v>16.629265263440001</v>
          </cell>
          <cell r="C31">
            <v>0.53473693553707424</v>
          </cell>
          <cell r="D31">
            <v>1.5384848169977507</v>
          </cell>
          <cell r="E31">
            <v>86.822187146272384</v>
          </cell>
        </row>
        <row r="32">
          <cell r="B32">
            <v>1.4858492142999999</v>
          </cell>
          <cell r="C32">
            <v>4.7779528616442905E-2</v>
          </cell>
          <cell r="D32">
            <v>0.13746587238429225</v>
          </cell>
          <cell r="E32">
            <v>7.75768962196529</v>
          </cell>
        </row>
        <row r="33">
          <cell r="B33">
            <v>12.936655320267004</v>
          </cell>
          <cell r="C33">
            <v>0.41599597531634652</v>
          </cell>
          <cell r="D33">
            <v>1.1968567148135547</v>
          </cell>
          <cell r="E33">
            <v>67.54289449771484</v>
          </cell>
        </row>
        <row r="34">
          <cell r="B34">
            <v>8.14509781866</v>
          </cell>
          <cell r="C34">
            <v>0.26191684227779061</v>
          </cell>
          <cell r="D34">
            <v>0.75355760633153013</v>
          </cell>
          <cell r="E34">
            <v>42.525944227442331</v>
          </cell>
        </row>
        <row r="35">
          <cell r="B35">
            <v>16.28600636481</v>
          </cell>
          <cell r="C35">
            <v>0.52369897272624666</v>
          </cell>
          <cell r="D35">
            <v>1.5067276349770473</v>
          </cell>
          <cell r="E35">
            <v>85.030016063284194</v>
          </cell>
        </row>
        <row r="36">
          <cell r="B36">
            <v>0.51816196412999993</v>
          </cell>
          <cell r="C36">
            <v>1.6662211854898846E-2</v>
          </cell>
          <cell r="D36">
            <v>4.7938637211613587E-2</v>
          </cell>
          <cell r="E36">
            <v>2.7053483307336776</v>
          </cell>
        </row>
        <row r="37">
          <cell r="B37">
            <v>5.677815346660001</v>
          </cell>
          <cell r="C37">
            <v>0.18257797508909732</v>
          </cell>
          <cell r="D37">
            <v>0.52529276346068843</v>
          </cell>
          <cell r="E37">
            <v>29.644144753255091</v>
          </cell>
        </row>
        <row r="38">
          <cell r="B38"/>
          <cell r="C38"/>
          <cell r="D38"/>
          <cell r="E38"/>
        </row>
        <row r="39">
          <cell r="B39">
            <v>63.168046308189986</v>
          </cell>
          <cell r="C39">
            <v>2.0312555588952099</v>
          </cell>
          <cell r="D39">
            <v>5.8440994611001491</v>
          </cell>
          <cell r="E39">
            <v>329.8033828524994</v>
          </cell>
        </row>
        <row r="40">
          <cell r="B40">
            <v>23.82135202213</v>
          </cell>
          <cell r="C40">
            <v>0.7660083941693413</v>
          </cell>
          <cell r="D40">
            <v>2.2038729809054924</v>
          </cell>
          <cell r="E40">
            <v>124.37241517156266</v>
          </cell>
        </row>
        <row r="41">
          <cell r="B41">
            <v>12.857911024079998</v>
          </cell>
          <cell r="C41">
            <v>0.41346384398240016</v>
          </cell>
          <cell r="D41">
            <v>1.1895715520484127</v>
          </cell>
          <cell r="E41">
            <v>67.131766771267394</v>
          </cell>
        </row>
        <row r="42">
          <cell r="B42">
            <v>4.0237765531100003</v>
          </cell>
          <cell r="C42">
            <v>0.12939007882846598</v>
          </cell>
          <cell r="D42">
            <v>0.37226654550765648</v>
          </cell>
          <cell r="E42">
            <v>21.008329315484779</v>
          </cell>
        </row>
        <row r="43">
          <cell r="B43">
            <v>4.9486812540599994</v>
          </cell>
          <cell r="C43">
            <v>0.15913166377612986</v>
          </cell>
          <cell r="D43">
            <v>0.45783568022522136</v>
          </cell>
          <cell r="E43">
            <v>25.837300876537157</v>
          </cell>
        </row>
        <row r="44">
          <cell r="B44">
            <v>3.4916127326799997</v>
          </cell>
          <cell r="C44">
            <v>0.11227761799316549</v>
          </cell>
          <cell r="D44">
            <v>0.32303250269717415</v>
          </cell>
          <cell r="E44">
            <v>18.22987662512876</v>
          </cell>
        </row>
        <row r="45">
          <cell r="B45">
            <v>4.5661628141300001</v>
          </cell>
          <cell r="C45">
            <v>0.14683125632491834</v>
          </cell>
          <cell r="D45">
            <v>0.4224463348313629</v>
          </cell>
          <cell r="E45">
            <v>23.840153855765394</v>
          </cell>
        </row>
        <row r="46">
          <cell r="B46">
            <v>2.6587321371200008</v>
          </cell>
          <cell r="C46">
            <v>8.549519494064417E-2</v>
          </cell>
          <cell r="D46">
            <v>0.24597713492586029</v>
          </cell>
          <cell r="E46">
            <v>13.881367307811503</v>
          </cell>
        </row>
        <row r="47">
          <cell r="B47">
            <v>6.7998177708800007</v>
          </cell>
          <cell r="C47">
            <v>0.21865750888014454</v>
          </cell>
          <cell r="D47">
            <v>0.62909672995896859</v>
          </cell>
          <cell r="E47">
            <v>35.502172928941825</v>
          </cell>
        </row>
      </sheetData>
      <sheetData sheetId="1">
        <row r="5">
          <cell r="B5">
            <v>3109.8029999999999</v>
          </cell>
          <cell r="C5"/>
          <cell r="D5"/>
          <cell r="E5"/>
        </row>
        <row r="6">
          <cell r="B6">
            <v>191532439</v>
          </cell>
          <cell r="C6"/>
          <cell r="D6"/>
          <cell r="E6"/>
        </row>
        <row r="7">
          <cell r="B7">
            <v>1080.8858871867772</v>
          </cell>
          <cell r="C7">
            <v>34.757374894383254</v>
          </cell>
          <cell r="D7">
            <v>100</v>
          </cell>
          <cell r="E7">
            <v>5643.3567746024319</v>
          </cell>
        </row>
        <row r="8">
          <cell r="B8"/>
          <cell r="C8"/>
          <cell r="D8"/>
          <cell r="E8">
            <v>0</v>
          </cell>
        </row>
        <row r="9">
          <cell r="B9">
            <v>738.74106788094014</v>
          </cell>
          <cell r="C9">
            <v>23.755236839148338</v>
          </cell>
          <cell r="D9">
            <v>68.345888926689781</v>
          </cell>
          <cell r="E9">
            <v>3857.002352906602</v>
          </cell>
        </row>
        <row r="10">
          <cell r="B10">
            <v>248.65944787470005</v>
          </cell>
          <cell r="C10">
            <v>7.9959871372784725</v>
          </cell>
          <cell r="D10">
            <v>23.005152608837022</v>
          </cell>
          <cell r="E10">
            <v>1298.2628382584323</v>
          </cell>
        </row>
        <row r="11">
          <cell r="B11">
            <v>223.52544679297003</v>
          </cell>
          <cell r="C11">
            <v>7.1877687040937968</v>
          </cell>
          <cell r="D11">
            <v>20.679837663043223</v>
          </cell>
          <cell r="E11">
            <v>1167.0370197341351</v>
          </cell>
        </row>
        <row r="12">
          <cell r="B12">
            <v>158.09568003677003</v>
          </cell>
          <cell r="C12">
            <v>5.0837844081046306</v>
          </cell>
          <cell r="D12">
            <v>14.626491280059714</v>
          </cell>
          <cell r="E12">
            <v>825.42508653988386</v>
          </cell>
        </row>
        <row r="13">
          <cell r="B13">
            <v>48.714379836640006</v>
          </cell>
          <cell r="C13">
            <v>1.5664779999453344</v>
          </cell>
          <cell r="D13">
            <v>4.5068938741932296</v>
          </cell>
          <cell r="E13">
            <v>254.34010077342569</v>
          </cell>
        </row>
        <row r="14">
          <cell r="B14">
            <v>59.746113339860003</v>
          </cell>
          <cell r="C14">
            <v>1.9212185897261018</v>
          </cell>
          <cell r="D14">
            <v>5.5275135005565916</v>
          </cell>
          <cell r="E14">
            <v>311.93730760072447</v>
          </cell>
        </row>
        <row r="15">
          <cell r="B15"/>
          <cell r="C15"/>
          <cell r="D15"/>
          <cell r="E15">
            <v>0</v>
          </cell>
        </row>
        <row r="16">
          <cell r="B16">
            <v>278.976772997647</v>
          </cell>
          <cell r="C16">
            <v>8.9708824963397049</v>
          </cell>
          <cell r="D16">
            <v>25.810011612210069</v>
          </cell>
          <cell r="E16">
            <v>1456.5510388433315</v>
          </cell>
        </row>
        <row r="17">
          <cell r="B17">
            <v>217.29792170537999</v>
          </cell>
          <cell r="C17">
            <v>6.9875140549218075</v>
          </cell>
          <cell r="D17">
            <v>20.103687566033592</v>
          </cell>
          <cell r="E17">
            <v>1134.5228142026635</v>
          </cell>
        </row>
        <row r="18">
          <cell r="B18">
            <v>16.629265263440001</v>
          </cell>
          <cell r="C18">
            <v>0.53473693553707424</v>
          </cell>
          <cell r="D18">
            <v>1.5384848169977503</v>
          </cell>
          <cell r="E18">
            <v>86.822187146272384</v>
          </cell>
        </row>
        <row r="19">
          <cell r="B19">
            <v>45.049586028827008</v>
          </cell>
          <cell r="C19">
            <v>1.448631505880823</v>
          </cell>
          <cell r="D19">
            <v>4.1678392291787256</v>
          </cell>
          <cell r="E19">
            <v>235.20603749439545</v>
          </cell>
        </row>
        <row r="20">
          <cell r="B20"/>
          <cell r="C20"/>
          <cell r="D20"/>
          <cell r="E20">
            <v>0</v>
          </cell>
        </row>
        <row r="21">
          <cell r="B21">
            <v>63.16804630819</v>
          </cell>
          <cell r="C21">
            <v>2.0312555588952099</v>
          </cell>
          <cell r="D21">
            <v>5.8440994611001482</v>
          </cell>
          <cell r="E21">
            <v>329.80338285249945</v>
          </cell>
        </row>
        <row r="22">
          <cell r="B22">
            <v>23.82135202213</v>
          </cell>
          <cell r="C22">
            <v>0.7660083941693413</v>
          </cell>
          <cell r="D22">
            <v>2.203872980905492</v>
          </cell>
          <cell r="E22">
            <v>124.37241517156266</v>
          </cell>
        </row>
        <row r="23">
          <cell r="B23">
            <v>12.857911024079998</v>
          </cell>
          <cell r="C23">
            <v>0.41346384398240016</v>
          </cell>
          <cell r="D23">
            <v>1.1895715520484125</v>
          </cell>
          <cell r="E23">
            <v>67.131766771267394</v>
          </cell>
        </row>
        <row r="24">
          <cell r="B24">
            <v>26.48878326198</v>
          </cell>
          <cell r="C24">
            <v>0.8517833207434683</v>
          </cell>
          <cell r="D24">
            <v>2.4506549281462431</v>
          </cell>
          <cell r="E24">
            <v>138.29920090966939</v>
          </cell>
        </row>
      </sheetData>
      <sheetData sheetId="2">
        <row r="5">
          <cell r="B5">
            <v>3109.8029999999999</v>
          </cell>
          <cell r="C5"/>
          <cell r="D5"/>
          <cell r="E5"/>
        </row>
        <row r="6">
          <cell r="B6">
            <v>191532439</v>
          </cell>
          <cell r="C6"/>
          <cell r="D6"/>
          <cell r="E6"/>
        </row>
        <row r="7">
          <cell r="B7">
            <v>1080.8858871867772</v>
          </cell>
          <cell r="C7">
            <v>34.757374894383254</v>
          </cell>
          <cell r="D7">
            <v>100</v>
          </cell>
          <cell r="E7">
            <v>5643.3567746024319</v>
          </cell>
        </row>
        <row r="8">
          <cell r="B8"/>
          <cell r="C8"/>
          <cell r="D8"/>
          <cell r="E8">
            <v>0</v>
          </cell>
        </row>
        <row r="9">
          <cell r="B9">
            <v>217.29792170537999</v>
          </cell>
          <cell r="C9">
            <v>6.9875140549218075</v>
          </cell>
          <cell r="D9">
            <v>20.103687566033592</v>
          </cell>
          <cell r="E9">
            <v>1134.5228142026635</v>
          </cell>
        </row>
        <row r="10">
          <cell r="B10">
            <v>174.69842231611003</v>
          </cell>
          <cell r="C10">
            <v>5.6176684605458949</v>
          </cell>
          <cell r="D10">
            <v>16.1625222779805</v>
          </cell>
          <cell r="E10">
            <v>912.10879592103981</v>
          </cell>
        </row>
        <row r="11">
          <cell r="B11">
            <v>192.18470554881702</v>
          </cell>
          <cell r="C11">
            <v>6.1799639896423351</v>
          </cell>
          <cell r="D11">
            <v>17.780295573015238</v>
          </cell>
          <cell r="E11">
            <v>1003.4055147640918</v>
          </cell>
        </row>
        <row r="12">
          <cell r="B12">
            <v>118.43104904162</v>
          </cell>
          <cell r="C12">
            <v>3.8083135504602703</v>
          </cell>
          <cell r="D12">
            <v>10.956850343366089</v>
          </cell>
          <cell r="E12">
            <v>618.33415613540012</v>
          </cell>
        </row>
        <row r="13">
          <cell r="B13">
            <v>48.714379836640006</v>
          </cell>
          <cell r="C13">
            <v>1.5664779999453344</v>
          </cell>
          <cell r="D13">
            <v>4.5068938741932296</v>
          </cell>
          <cell r="E13">
            <v>254.34010077342569</v>
          </cell>
        </row>
        <row r="14">
          <cell r="B14">
            <v>0.97129909222999977</v>
          </cell>
          <cell r="C14">
            <v>3.1233460519203299E-2</v>
          </cell>
          <cell r="D14">
            <v>8.9861390896498888E-2</v>
          </cell>
          <cell r="E14">
            <v>5.0711988909095433</v>
          </cell>
        </row>
        <row r="15">
          <cell r="B15">
            <v>36.695285377910004</v>
          </cell>
          <cell r="C15">
            <v>1.1799874583023429</v>
          </cell>
          <cell r="D15">
            <v>3.3949268662778884</v>
          </cell>
          <cell r="E15">
            <v>191.58783530089127</v>
          </cell>
        </row>
        <row r="16">
          <cell r="B16">
            <v>41.663704322950011</v>
          </cell>
          <cell r="C16">
            <v>1.3397538147255634</v>
          </cell>
          <cell r="D16">
            <v>3.8545886126229454</v>
          </cell>
          <cell r="E16">
            <v>217.52818760351093</v>
          </cell>
        </row>
        <row r="17">
          <cell r="B17">
            <v>30.326771021260004</v>
          </cell>
          <cell r="C17">
            <v>0.97519910493558615</v>
          </cell>
          <cell r="D17">
            <v>2.8057329067540628</v>
          </cell>
          <cell r="E17">
            <v>158.33751807055518</v>
          </cell>
        </row>
        <row r="18">
          <cell r="B18">
            <v>23.82135202213</v>
          </cell>
          <cell r="C18">
            <v>0.7660083941693413</v>
          </cell>
          <cell r="D18">
            <v>2.203872980905492</v>
          </cell>
          <cell r="E18">
            <v>124.37241517156266</v>
          </cell>
        </row>
        <row r="19">
          <cell r="B19">
            <v>17.101490331640001</v>
          </cell>
          <cell r="C19">
            <v>0.54992198321372776</v>
          </cell>
          <cell r="D19">
            <v>1.5821735239924417</v>
          </cell>
          <cell r="E19">
            <v>89.287696752193511</v>
          </cell>
        </row>
        <row r="20">
          <cell r="B20">
            <v>16.629265263440001</v>
          </cell>
          <cell r="C20">
            <v>0.53473693553707424</v>
          </cell>
          <cell r="D20">
            <v>1.5384848169977503</v>
          </cell>
          <cell r="E20">
            <v>86.822187146272384</v>
          </cell>
        </row>
        <row r="21">
          <cell r="B21">
            <v>12.857911024079998</v>
          </cell>
          <cell r="C21">
            <v>0.41346384398240016</v>
          </cell>
          <cell r="D21">
            <v>1.1895715520484125</v>
          </cell>
          <cell r="E21">
            <v>67.131766771267394</v>
          </cell>
        </row>
        <row r="22">
          <cell r="B22">
            <v>20.167891471099999</v>
          </cell>
          <cell r="C22">
            <v>0.64852633659109593</v>
          </cell>
          <cell r="D22">
            <v>1.8658668514574643</v>
          </cell>
          <cell r="E22">
            <v>105.29752336678592</v>
          </cell>
        </row>
        <row r="23">
          <cell r="B23">
            <v>4.0237765531100003</v>
          </cell>
          <cell r="C23">
            <v>0.12939007882846598</v>
          </cell>
          <cell r="D23">
            <v>0.37226654550765642</v>
          </cell>
          <cell r="E23">
            <v>21.008329315484779</v>
          </cell>
        </row>
        <row r="24">
          <cell r="B24">
            <v>1.4858492142999999</v>
          </cell>
          <cell r="C24">
            <v>4.7779528616442905E-2</v>
          </cell>
          <cell r="D24">
            <v>0.13746587238429223</v>
          </cell>
          <cell r="E24">
            <v>7.75768962196529</v>
          </cell>
        </row>
        <row r="25">
          <cell r="B25">
            <v>0.39541171955999999</v>
          </cell>
          <cell r="C25">
            <v>1.2715008621446439E-2</v>
          </cell>
          <cell r="D25">
            <v>3.6582189132762059E-2</v>
          </cell>
          <cell r="E25">
            <v>2.0644634487216029</v>
          </cell>
        </row>
        <row r="26">
          <cell r="B26">
            <v>123.41940132450031</v>
          </cell>
          <cell r="C26">
            <v>3.9687208908249274</v>
          </cell>
          <cell r="D26">
            <v>11.418356256433702</v>
          </cell>
          <cell r="E26">
            <v>644.37858134569217</v>
          </cell>
        </row>
      </sheetData>
      <sheetData sheetId="3">
        <row r="5">
          <cell r="B5">
            <v>3109.8029999999999</v>
          </cell>
          <cell r="C5"/>
          <cell r="D5"/>
          <cell r="E5"/>
        </row>
        <row r="6">
          <cell r="B6">
            <v>191532439</v>
          </cell>
          <cell r="C6"/>
          <cell r="D6"/>
          <cell r="E6"/>
        </row>
        <row r="7">
          <cell r="B7">
            <v>1080.8858871867772</v>
          </cell>
          <cell r="C7">
            <v>34.757374894383247</v>
          </cell>
          <cell r="D7">
            <v>99.999999999999986</v>
          </cell>
          <cell r="E7">
            <v>5643.3567746024319</v>
          </cell>
        </row>
        <row r="8">
          <cell r="B8"/>
          <cell r="C8"/>
          <cell r="D8"/>
          <cell r="E8">
            <v>0</v>
          </cell>
        </row>
        <row r="9">
          <cell r="B9">
            <v>465.84964417177002</v>
          </cell>
          <cell r="C9">
            <v>14.980037133277255</v>
          </cell>
          <cell r="D9">
            <v>43.098873775125085</v>
          </cell>
          <cell r="E9">
            <v>2432.2232129658728</v>
          </cell>
        </row>
        <row r="10">
          <cell r="B10">
            <v>254.97262991374004</v>
          </cell>
          <cell r="C10">
            <v>8.1989962037383091</v>
          </cell>
          <cell r="D10">
            <v>23.58922740469464</v>
          </cell>
          <cell r="E10">
            <v>1331.2242628192087</v>
          </cell>
        </row>
        <row r="11">
          <cell r="B11">
            <v>235.88242028826704</v>
          </cell>
          <cell r="C11">
            <v>7.5851242116708697</v>
          </cell>
          <cell r="D11">
            <v>21.823064125871646</v>
          </cell>
          <cell r="E11">
            <v>1231.5533677732105</v>
          </cell>
        </row>
        <row r="12">
          <cell r="B12">
            <v>35.392213774490003</v>
          </cell>
          <cell r="C12">
            <v>1.1380853955858299</v>
          </cell>
          <cell r="D12">
            <v>3.2743709760708741</v>
          </cell>
          <cell r="E12">
            <v>184.78443630371149</v>
          </cell>
        </row>
        <row r="13">
          <cell r="B13">
            <v>17.101490331640001</v>
          </cell>
          <cell r="C13">
            <v>0.54992198321372776</v>
          </cell>
          <cell r="D13">
            <v>1.5821735239924417</v>
          </cell>
          <cell r="E13">
            <v>89.287696752193511</v>
          </cell>
        </row>
        <row r="14">
          <cell r="B14">
            <v>16.600049256669998</v>
          </cell>
          <cell r="C14">
            <v>0.53379745458699468</v>
          </cell>
          <cell r="D14">
            <v>1.5357818483387697</v>
          </cell>
          <cell r="E14">
            <v>86.66964898134043</v>
          </cell>
        </row>
        <row r="15">
          <cell r="B15">
            <v>21.139190563329997</v>
          </cell>
          <cell r="C15">
            <v>0.67975979711029921</v>
          </cell>
          <cell r="D15">
            <v>1.9557282423539628</v>
          </cell>
          <cell r="E15">
            <v>110.36872225769547</v>
          </cell>
        </row>
        <row r="16">
          <cell r="B16">
            <v>33.94824888686999</v>
          </cell>
          <cell r="C16">
            <v>1.0916527151999658</v>
          </cell>
          <cell r="D16">
            <v>3.1407801035525713</v>
          </cell>
          <cell r="E16">
            <v>177.24542674919934</v>
          </cell>
        </row>
      </sheetData>
      <sheetData sheetId="4">
        <row r="5">
          <cell r="B5">
            <v>3109.8029999999999</v>
          </cell>
          <cell r="C5"/>
          <cell r="D5"/>
          <cell r="E5"/>
        </row>
        <row r="6">
          <cell r="B6">
            <v>191532439</v>
          </cell>
          <cell r="C6"/>
          <cell r="D6"/>
          <cell r="E6"/>
        </row>
        <row r="7">
          <cell r="B7">
            <v>1080.8858871867769</v>
          </cell>
          <cell r="C7">
            <v>34.757374894383247</v>
          </cell>
          <cell r="D7">
            <v>100.00000000000001</v>
          </cell>
          <cell r="E7">
            <v>5643.3567746024319</v>
          </cell>
        </row>
        <row r="8">
          <cell r="B8"/>
          <cell r="C8"/>
          <cell r="D8"/>
          <cell r="E8">
            <v>0</v>
          </cell>
        </row>
        <row r="9">
          <cell r="B9">
            <v>610.29613449106648</v>
          </cell>
          <cell r="C9">
            <v>19.624913040828197</v>
          </cell>
          <cell r="D9">
            <v>56.462587006245869</v>
          </cell>
          <cell r="E9">
            <v>3186.3852289327688</v>
          </cell>
        </row>
        <row r="10">
          <cell r="B10"/>
          <cell r="C10"/>
          <cell r="D10"/>
          <cell r="E10">
            <v>0</v>
          </cell>
        </row>
        <row r="11">
          <cell r="B11">
            <v>276.32318374833216</v>
          </cell>
          <cell r="C11">
            <v>8.8855526780420551</v>
          </cell>
          <cell r="D11">
            <v>25.564510280314494</v>
          </cell>
          <cell r="E11">
            <v>1442.6965227980631</v>
          </cell>
        </row>
        <row r="12">
          <cell r="B12"/>
          <cell r="C12"/>
          <cell r="D12"/>
          <cell r="E12">
            <v>0</v>
          </cell>
        </row>
        <row r="13">
          <cell r="B13">
            <v>194.26656894737846</v>
          </cell>
          <cell r="C13">
            <v>6.2469091755129975</v>
          </cell>
          <cell r="D13">
            <v>17.972902713439648</v>
          </cell>
          <cell r="E13">
            <v>1014.2750228716006</v>
          </cell>
        </row>
        <row r="14">
          <cell r="B14"/>
          <cell r="C14"/>
          <cell r="D14"/>
          <cell r="E14">
            <v>0</v>
          </cell>
        </row>
        <row r="15">
          <cell r="B15"/>
          <cell r="C15"/>
          <cell r="D15"/>
          <cell r="E15">
            <v>0</v>
          </cell>
        </row>
        <row r="16">
          <cell r="B16"/>
          <cell r="C16"/>
          <cell r="D16"/>
          <cell r="E16">
            <v>0</v>
          </cell>
        </row>
        <row r="17">
          <cell r="B17">
            <v>68.404124083195157</v>
          </cell>
          <cell r="C17">
            <v>2.19962885376325</v>
          </cell>
          <cell r="D17">
            <v>6.3285241202686686</v>
          </cell>
          <cell r="E17">
            <v>357.14119467353078</v>
          </cell>
        </row>
        <row r="18">
          <cell r="B18">
            <v>38.350492390729997</v>
          </cell>
          <cell r="C18">
            <v>1.2332129202631164</v>
          </cell>
          <cell r="D18">
            <v>3.5480611640276729</v>
          </cell>
          <cell r="E18">
            <v>200.22975006719355</v>
          </cell>
        </row>
        <row r="19">
          <cell r="B19">
            <v>2.9510368648100003</v>
          </cell>
          <cell r="C19">
            <v>9.4894656182722845E-2</v>
          </cell>
          <cell r="D19">
            <v>0.27302020498118146</v>
          </cell>
          <cell r="E19">
            <v>15.407504233838949</v>
          </cell>
        </row>
        <row r="20">
          <cell r="B20">
            <v>1.3266359799999998E-3</v>
          </cell>
          <cell r="C20">
            <v>4.2659807711292319E-5</v>
          </cell>
          <cell r="D20">
            <v>1.227359886669292E-4</v>
          </cell>
          <cell r="E20">
            <v>6.9264297313104215E-3</v>
          </cell>
        </row>
        <row r="21">
          <cell r="B21">
            <v>1.1976477002100001</v>
          </cell>
          <cell r="C21">
            <v>3.8512011860879942E-2</v>
          </cell>
          <cell r="D21">
            <v>0.11080241812825582</v>
          </cell>
          <cell r="E21">
            <v>6.2529757698642374</v>
          </cell>
        </row>
        <row r="22">
          <cell r="B22">
            <v>7.704293186180001</v>
          </cell>
          <cell r="C22">
            <v>0.24774216200125865</v>
          </cell>
          <cell r="D22">
            <v>0.71277581449712279</v>
          </cell>
          <cell r="E22">
            <v>40.224482215151042</v>
          </cell>
        </row>
        <row r="23">
          <cell r="B23">
            <v>5.8509081862266701</v>
          </cell>
          <cell r="C23">
            <v>0.18814401382424129</v>
          </cell>
          <cell r="D23">
            <v>0.54130674251422006</v>
          </cell>
          <cell r="E23">
            <v>30.547870725055979</v>
          </cell>
        </row>
        <row r="24">
          <cell r="B24">
            <v>2.4399710806199999</v>
          </cell>
          <cell r="C24">
            <v>7.8460631770565531E-2</v>
          </cell>
          <cell r="D24">
            <v>0.22573808295069109</v>
          </cell>
          <cell r="E24">
            <v>12.739205397055482</v>
          </cell>
        </row>
        <row r="25">
          <cell r="B25">
            <v>1.1897751857600001</v>
          </cell>
          <cell r="C25">
            <v>3.8258860312373487E-2</v>
          </cell>
          <cell r="D25">
            <v>0.11007407903683794</v>
          </cell>
          <cell r="E25">
            <v>6.2118729964066297</v>
          </cell>
        </row>
        <row r="26">
          <cell r="B26">
            <v>8.7186728526785</v>
          </cell>
          <cell r="C26">
            <v>0.28036093774038101</v>
          </cell>
          <cell r="D26">
            <v>0.80662287814401956</v>
          </cell>
          <cell r="E26">
            <v>45.520606839233636</v>
          </cell>
        </row>
        <row r="27">
          <cell r="B27"/>
          <cell r="C27"/>
          <cell r="D27"/>
          <cell r="E27">
            <v>0</v>
          </cell>
        </row>
        <row r="28">
          <cell r="B28">
            <v>60.040809306678469</v>
          </cell>
          <cell r="C28">
            <v>1.9306949445568895</v>
          </cell>
          <cell r="D28">
            <v>5.554777800175259</v>
          </cell>
          <cell r="E28">
            <v>313.47592930030231</v>
          </cell>
        </row>
        <row r="29">
          <cell r="B29">
            <v>42.301648168159979</v>
          </cell>
          <cell r="C29">
            <v>1.3602677779962262</v>
          </cell>
          <cell r="D29">
            <v>3.913609074706168</v>
          </cell>
          <cell r="E29">
            <v>220.8589228488861</v>
          </cell>
        </row>
        <row r="30">
          <cell r="B30">
            <v>0.16846351314999999</v>
          </cell>
          <cell r="C30">
            <v>5.4171763661556693E-3</v>
          </cell>
          <cell r="D30">
            <v>1.5585689030361954E-2</v>
          </cell>
          <cell r="E30">
            <v>0.87955603776339952</v>
          </cell>
        </row>
        <row r="31">
          <cell r="B31">
            <v>3.0954831199999995E-3</v>
          </cell>
          <cell r="C31">
            <v>9.9539524529367298E-5</v>
          </cell>
          <cell r="D31">
            <v>2.8638389645891461E-4</v>
          </cell>
          <cell r="E31">
            <v>1.6161665022184569E-2</v>
          </cell>
        </row>
        <row r="32">
          <cell r="B32">
            <v>0.39491757907000008</v>
          </cell>
          <cell r="C32">
            <v>1.2699118853187809E-2</v>
          </cell>
          <cell r="D32">
            <v>3.6536472883169246E-2</v>
          </cell>
          <cell r="E32">
            <v>2.0618835176531118</v>
          </cell>
        </row>
        <row r="33">
          <cell r="B33">
            <v>10.356124866949999</v>
          </cell>
          <cell r="C33">
            <v>0.33301546326085607</v>
          </cell>
          <cell r="D33">
            <v>0.95811454194335899</v>
          </cell>
          <cell r="E33">
            <v>54.069821911211598</v>
          </cell>
        </row>
        <row r="34">
          <cell r="B34">
            <v>0.81093030687000001</v>
          </cell>
          <cell r="C34">
            <v>2.6076581277656496E-2</v>
          </cell>
          <cell r="D34">
            <v>7.5024599403421696E-2</v>
          </cell>
          <cell r="E34">
            <v>4.2339058130513338</v>
          </cell>
        </row>
        <row r="35">
          <cell r="B35">
            <v>0.38910436263999998</v>
          </cell>
          <cell r="C35">
            <v>1.2512186869714897E-2</v>
          </cell>
          <cell r="D35">
            <v>3.5998653257720142E-2</v>
          </cell>
          <cell r="E35">
            <v>2.0315324373851888</v>
          </cell>
        </row>
        <row r="36">
          <cell r="B36">
            <v>5.6165250267185005</v>
          </cell>
          <cell r="C36">
            <v>0.18060710040856287</v>
          </cell>
          <cell r="D36">
            <v>0.51962238505459968</v>
          </cell>
          <cell r="E36">
            <v>29.324145069329482</v>
          </cell>
        </row>
        <row r="37">
          <cell r="B37"/>
          <cell r="C37"/>
          <cell r="D37"/>
          <cell r="E37">
            <v>0</v>
          </cell>
        </row>
        <row r="38">
          <cell r="B38">
            <v>71.057713332510005</v>
          </cell>
          <cell r="C38">
            <v>2.284958672060899</v>
          </cell>
          <cell r="D38">
            <v>4.8663534347410513</v>
          </cell>
          <cell r="E38">
            <v>370.99571071879899</v>
          </cell>
        </row>
        <row r="39">
          <cell r="B39">
            <v>44.757849584137503</v>
          </cell>
          <cell r="C39">
            <v>1.4392503185615779</v>
          </cell>
          <cell r="D39">
            <v>2.4331767173705257</v>
          </cell>
          <cell r="E39">
            <v>233.68286760102035</v>
          </cell>
        </row>
        <row r="40">
          <cell r="B40">
            <v>8.3146326317200003</v>
          </cell>
          <cell r="C40">
            <v>0.26736846776853712</v>
          </cell>
          <cell r="D40">
            <v>0.76924240849887537</v>
          </cell>
          <cell r="E40">
            <v>43.411093573136192</v>
          </cell>
        </row>
        <row r="41">
          <cell r="B41">
            <v>0.73775921620250007</v>
          </cell>
          <cell r="C41">
            <v>2.3723664045680711E-2</v>
          </cell>
          <cell r="D41">
            <v>6.8255051245295364E-2</v>
          </cell>
          <cell r="E41">
            <v>3.8518760584597374</v>
          </cell>
        </row>
        <row r="42">
          <cell r="B42">
            <v>17.247471900450002</v>
          </cell>
          <cell r="C42">
            <v>0.55461622168510361</v>
          </cell>
          <cell r="D42">
            <v>1.5956792576263548</v>
          </cell>
          <cell r="E42">
            <v>90.049873486182676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GOVDetalhado"/>
      <sheetName val="AD ESFERA"/>
      <sheetName val="PRINCIPAIS TRIBUTOS"/>
      <sheetName val="Bases de Incidência"/>
      <sheetName val="RD ESFERA"/>
      <sheetName val="RD ESFERA DETALHADA"/>
      <sheetName val="Impostos"/>
      <sheetName val="Contribuições"/>
      <sheetName val="Patrimoniais"/>
      <sheetName val="Multas"/>
      <sheetName val="Estados"/>
      <sheetName val="Municipios"/>
      <sheetName val="Transferencias"/>
      <sheetName val="Gráficos"/>
    </sheetNames>
    <sheetDataSet>
      <sheetData sheetId="0">
        <row r="5">
          <cell r="B5">
            <v>3333.0390000000002</v>
          </cell>
          <cell r="C5"/>
          <cell r="D5"/>
          <cell r="E5"/>
        </row>
        <row r="6">
          <cell r="B6">
            <v>193543969</v>
          </cell>
          <cell r="C6"/>
          <cell r="D6"/>
          <cell r="E6"/>
        </row>
        <row r="7">
          <cell r="B7">
            <v>1105.3740756788607</v>
          </cell>
          <cell r="C7">
            <v>33.164150664869538</v>
          </cell>
          <cell r="D7">
            <v>99.999999999999986</v>
          </cell>
          <cell r="E7">
            <v>5711.2297602973131</v>
          </cell>
        </row>
        <row r="8">
          <cell r="B8"/>
          <cell r="C8"/>
          <cell r="D8"/>
          <cell r="E8"/>
        </row>
        <row r="9">
          <cell r="B9">
            <v>745.83668001186982</v>
          </cell>
          <cell r="C9">
            <v>22.377076296193053</v>
          </cell>
          <cell r="D9">
            <v>67.473690257645799</v>
          </cell>
          <cell r="E9">
            <v>3853.577478365497</v>
          </cell>
        </row>
        <row r="10">
          <cell r="B10">
            <v>172.60141726969999</v>
          </cell>
          <cell r="C10">
            <v>5.1784997796215402</v>
          </cell>
          <cell r="D10">
            <v>15.61475169966308</v>
          </cell>
          <cell r="E10">
            <v>891.79434606768848</v>
          </cell>
        </row>
        <row r="11">
          <cell r="B11">
            <v>27.598789248500001</v>
          </cell>
          <cell r="C11">
            <v>0.82803679310383105</v>
          </cell>
          <cell r="D11">
            <v>2.4967827503599009</v>
          </cell>
          <cell r="E11">
            <v>142.59699948852449</v>
          </cell>
        </row>
        <row r="12">
          <cell r="B12">
            <v>19.193097568059997</v>
          </cell>
          <cell r="C12">
            <v>0.57584377404704823</v>
          </cell>
          <cell r="D12">
            <v>1.7363441019975643</v>
          </cell>
          <cell r="E12">
            <v>99.166601094452076</v>
          </cell>
        </row>
        <row r="13">
          <cell r="B13">
            <v>15.806918437590005</v>
          </cell>
          <cell r="C13">
            <v>0.4742494293523119</v>
          </cell>
          <cell r="D13">
            <v>1.4300062562876958</v>
          </cell>
          <cell r="E13">
            <v>81.670942883216398</v>
          </cell>
        </row>
        <row r="14">
          <cell r="B14">
            <v>0.40889789591999998</v>
          </cell>
          <cell r="C14">
            <v>1.2268020143778695E-2</v>
          </cell>
          <cell r="D14">
            <v>3.6991811633439745E-2</v>
          </cell>
          <cell r="E14">
            <v>2.112687354882135</v>
          </cell>
        </row>
        <row r="15">
          <cell r="B15">
            <v>4.9891651037300013</v>
          </cell>
          <cell r="C15">
            <v>0.149688170577362</v>
          </cell>
          <cell r="D15">
            <v>0.45135535684296968</v>
          </cell>
          <cell r="E15">
            <v>25.777941464711834</v>
          </cell>
        </row>
        <row r="16">
          <cell r="B16">
            <v>178.24284120388998</v>
          </cell>
          <cell r="C16">
            <v>5.3477574430989243</v>
          </cell>
          <cell r="D16">
            <v>16.125115028993495</v>
          </cell>
          <cell r="E16">
            <v>920.94236841805173</v>
          </cell>
        </row>
        <row r="17">
          <cell r="B17">
            <v>114.72393355384001</v>
          </cell>
          <cell r="C17">
            <v>3.4420219371522509</v>
          </cell>
          <cell r="D17">
            <v>10.378742914101977</v>
          </cell>
          <cell r="E17">
            <v>592.75385405494092</v>
          </cell>
        </row>
        <row r="18">
          <cell r="B18">
            <v>-5.5668720549999995E-2</v>
          </cell>
          <cell r="C18">
            <v>-1.6702090959631734E-3</v>
          </cell>
          <cell r="D18">
            <v>-5.0361883614658933E-3</v>
          </cell>
          <cell r="E18">
            <v>-0.28762828848466987</v>
          </cell>
        </row>
        <row r="19">
          <cell r="B19">
            <v>42.808449156000002</v>
          </cell>
          <cell r="C19">
            <v>1.2843668842758815</v>
          </cell>
          <cell r="D19">
            <v>3.8727567524785096</v>
          </cell>
          <cell r="E19">
            <v>221.18203619147647</v>
          </cell>
        </row>
        <row r="20">
          <cell r="B20">
            <v>30.439081343480002</v>
          </cell>
          <cell r="C20">
            <v>0.91325308055141274</v>
          </cell>
          <cell r="D20">
            <v>2.753735772642032</v>
          </cell>
          <cell r="E20">
            <v>157.27217696708496</v>
          </cell>
        </row>
        <row r="21">
          <cell r="B21">
            <v>10.114748539000001</v>
          </cell>
          <cell r="C21">
            <v>0.30346925250499623</v>
          </cell>
          <cell r="D21">
            <v>0.91505208612641564</v>
          </cell>
          <cell r="E21">
            <v>52.260727065073262</v>
          </cell>
        </row>
        <row r="22">
          <cell r="B22">
            <v>8.04942390169</v>
          </cell>
          <cell r="C22">
            <v>0.24150404185759602</v>
          </cell>
          <cell r="D22">
            <v>0.72820813141890262</v>
          </cell>
          <cell r="E22">
            <v>41.589639518501343</v>
          </cell>
        </row>
        <row r="23">
          <cell r="B23">
            <v>54.725947860410002</v>
          </cell>
          <cell r="C23">
            <v>1.6419234176500783</v>
          </cell>
          <cell r="D23">
            <v>4.9508984392274868</v>
          </cell>
          <cell r="E23">
            <v>282.75718506325558</v>
          </cell>
        </row>
        <row r="24">
          <cell r="B24">
            <v>29.404674214619998</v>
          </cell>
          <cell r="C24">
            <v>0.88221812629915208</v>
          </cell>
          <cell r="D24">
            <v>2.6601559473485241</v>
          </cell>
          <cell r="E24">
            <v>151.9276181352879</v>
          </cell>
        </row>
        <row r="25">
          <cell r="B25">
            <v>9.5889328645200003</v>
          </cell>
          <cell r="C25">
            <v>0.28769338926187182</v>
          </cell>
          <cell r="D25">
            <v>0.86748306075759873</v>
          </cell>
          <cell r="E25">
            <v>49.543950731526024</v>
          </cell>
        </row>
        <row r="26">
          <cell r="B26">
            <v>8.5235200000000013</v>
          </cell>
          <cell r="C26">
            <v>0.25572818079836451</v>
          </cell>
          <cell r="D26">
            <v>0.77109823611208861</v>
          </cell>
          <cell r="E26">
            <v>44.039191941961263</v>
          </cell>
        </row>
        <row r="27">
          <cell r="B27">
            <v>18.672510571470006</v>
          </cell>
          <cell r="C27">
            <v>0.56022478499261497</v>
          </cell>
          <cell r="D27">
            <v>1.6892481000155859</v>
          </cell>
          <cell r="E27">
            <v>96.476840213347103</v>
          </cell>
        </row>
        <row r="28">
          <cell r="B28"/>
          <cell r="C28"/>
          <cell r="D28"/>
          <cell r="E28"/>
        </row>
        <row r="29">
          <cell r="B29">
            <v>291.37989606752097</v>
          </cell>
          <cell r="C29">
            <v>8.7421688155320396</v>
          </cell>
          <cell r="D29">
            <v>26.360297611337696</v>
          </cell>
          <cell r="E29">
            <v>1505.4971620816611</v>
          </cell>
        </row>
        <row r="30">
          <cell r="B30">
            <v>225.33715246026</v>
          </cell>
          <cell r="C30">
            <v>6.760711544637191</v>
          </cell>
          <cell r="D30">
            <v>20.38560134693498</v>
          </cell>
          <cell r="E30">
            <v>1164.2685309417211</v>
          </cell>
        </row>
        <row r="31">
          <cell r="B31">
            <v>20.071087781520003</v>
          </cell>
          <cell r="C31">
            <v>0.60218580645230979</v>
          </cell>
          <cell r="D31">
            <v>1.8157733407302343</v>
          </cell>
          <cell r="E31">
            <v>103.70298741532991</v>
          </cell>
        </row>
        <row r="32">
          <cell r="B32">
            <v>1.6730877100399999</v>
          </cell>
          <cell r="C32">
            <v>5.0197063701924879E-2</v>
          </cell>
          <cell r="D32">
            <v>0.15135941278634385</v>
          </cell>
          <cell r="E32">
            <v>8.6444838280649297</v>
          </cell>
        </row>
        <row r="33">
          <cell r="B33">
            <v>12.208578247660997</v>
          </cell>
          <cell r="C33">
            <v>0.36628969080952833</v>
          </cell>
          <cell r="D33">
            <v>1.1044748123085071</v>
          </cell>
          <cell r="E33">
            <v>63.079094175551383</v>
          </cell>
        </row>
        <row r="34">
          <cell r="B34">
            <v>9.564282799479999</v>
          </cell>
          <cell r="C34">
            <v>0.28695382200688319</v>
          </cell>
          <cell r="D34">
            <v>0.86525304056964902</v>
          </cell>
          <cell r="E34">
            <v>49.416589154891206</v>
          </cell>
        </row>
        <row r="35">
          <cell r="B35">
            <v>15.751856558679998</v>
          </cell>
          <cell r="C35">
            <v>0.47259742711321401</v>
          </cell>
          <cell r="D35">
            <v>1.4250249671366735</v>
          </cell>
          <cell r="E35">
            <v>81.386450014776742</v>
          </cell>
        </row>
        <row r="36">
          <cell r="B36">
            <v>0.66908342667999998</v>
          </cell>
          <cell r="C36">
            <v>2.0074275358914189E-2</v>
          </cell>
          <cell r="D36">
            <v>6.053004511337802E-2</v>
          </cell>
          <cell r="E36">
            <v>3.4570099504366367</v>
          </cell>
        </row>
        <row r="37">
          <cell r="B37">
            <v>6.1047670831999996</v>
          </cell>
          <cell r="C37">
            <v>0.18315918545207538</v>
          </cell>
          <cell r="D37">
            <v>0.55228064575793323</v>
          </cell>
          <cell r="E37">
            <v>31.542016600889276</v>
          </cell>
        </row>
        <row r="38">
          <cell r="B38"/>
          <cell r="C38"/>
          <cell r="D38"/>
          <cell r="E38"/>
        </row>
        <row r="39">
          <cell r="B39">
            <v>68.15749959947</v>
          </cell>
          <cell r="C39">
            <v>2.0449055531444427</v>
          </cell>
          <cell r="D39">
            <v>6.166012131016493</v>
          </cell>
          <cell r="E39">
            <v>352.15511985015667</v>
          </cell>
        </row>
        <row r="40">
          <cell r="B40">
            <v>26.190433288040001</v>
          </cell>
          <cell r="C40">
            <v>0.78578238322563887</v>
          </cell>
          <cell r="D40">
            <v>2.3693728543394013</v>
          </cell>
          <cell r="E40">
            <v>135.32032758943782</v>
          </cell>
        </row>
        <row r="41">
          <cell r="B41">
            <v>14.184849605029997</v>
          </cell>
          <cell r="C41">
            <v>0.42558306713572802</v>
          </cell>
          <cell r="D41">
            <v>1.28326237399031</v>
          </cell>
          <cell r="E41">
            <v>73.290062606032421</v>
          </cell>
        </row>
        <row r="42">
          <cell r="B42">
            <v>4.1835575361699995</v>
          </cell>
          <cell r="C42">
            <v>0.12551780930766185</v>
          </cell>
          <cell r="D42">
            <v>0.37847436702373216</v>
          </cell>
          <cell r="E42">
            <v>21.615540684556279</v>
          </cell>
        </row>
        <row r="43">
          <cell r="B43">
            <v>4.8844532002400003</v>
          </cell>
          <cell r="C43">
            <v>0.14654653606633467</v>
          </cell>
          <cell r="D43">
            <v>0.44188237337122571</v>
          </cell>
          <cell r="E43">
            <v>25.236917613485549</v>
          </cell>
        </row>
        <row r="44">
          <cell r="B44">
            <v>3.8626012967699994</v>
          </cell>
          <cell r="C44">
            <v>0.11588827183750322</v>
          </cell>
          <cell r="D44">
            <v>0.34943838305578118</v>
          </cell>
          <cell r="E44">
            <v>19.957228926983507</v>
          </cell>
        </row>
        <row r="45">
          <cell r="B45">
            <v>5.1621577812899986</v>
          </cell>
          <cell r="C45">
            <v>0.1548784092022325</v>
          </cell>
          <cell r="D45">
            <v>0.46700550473102781</v>
          </cell>
          <cell r="E45">
            <v>26.671757368425151</v>
          </cell>
        </row>
        <row r="46">
          <cell r="B46">
            <v>2.88970820204</v>
          </cell>
          <cell r="C46">
            <v>8.6698901574208995E-2</v>
          </cell>
          <cell r="D46">
            <v>0.26142355476043683</v>
          </cell>
          <cell r="E46">
            <v>14.930499859905218</v>
          </cell>
        </row>
        <row r="47">
          <cell r="B47">
            <v>6.7997386898900007</v>
          </cell>
          <cell r="C47">
            <v>0.20401017479513439</v>
          </cell>
          <cell r="D47">
            <v>0.61515271974457764</v>
          </cell>
          <cell r="E47">
            <v>35.132785201330663</v>
          </cell>
        </row>
      </sheetData>
      <sheetData sheetId="1">
        <row r="5">
          <cell r="B5">
            <v>3333.0390000000002</v>
          </cell>
          <cell r="C5"/>
          <cell r="D5"/>
          <cell r="E5"/>
        </row>
        <row r="6">
          <cell r="B6">
            <v>193543969</v>
          </cell>
          <cell r="C6"/>
          <cell r="D6"/>
          <cell r="E6"/>
        </row>
        <row r="7">
          <cell r="B7">
            <v>1105.3740756788609</v>
          </cell>
          <cell r="C7">
            <v>33.164150664869538</v>
          </cell>
          <cell r="D7">
            <v>99.999999999999986</v>
          </cell>
          <cell r="E7">
            <v>5711.229760297314</v>
          </cell>
        </row>
        <row r="8">
          <cell r="B8"/>
          <cell r="C8"/>
          <cell r="D8"/>
          <cell r="E8">
            <v>0</v>
          </cell>
        </row>
        <row r="9">
          <cell r="B9">
            <v>745.83668001186993</v>
          </cell>
          <cell r="C9">
            <v>22.377076296193056</v>
          </cell>
          <cell r="D9">
            <v>67.473690257645799</v>
          </cell>
          <cell r="E9">
            <v>3853.577478365497</v>
          </cell>
        </row>
        <row r="10">
          <cell r="B10">
            <v>235.60912041977002</v>
          </cell>
          <cell r="C10">
            <v>7.0688977962685113</v>
          </cell>
          <cell r="D10">
            <v>21.314876619941682</v>
          </cell>
          <cell r="E10">
            <v>1217.3415768887637</v>
          </cell>
        </row>
        <row r="11">
          <cell r="B11">
            <v>224.19242063798001</v>
          </cell>
          <cell r="C11">
            <v>6.7263665573064095</v>
          </cell>
          <cell r="D11">
            <v>20.282040765276054</v>
          </cell>
          <cell r="E11">
            <v>1158.3539481820796</v>
          </cell>
        </row>
        <row r="12">
          <cell r="B12">
            <v>178.24284120388998</v>
          </cell>
          <cell r="C12">
            <v>5.3477574430989243</v>
          </cell>
          <cell r="D12">
            <v>16.125115028993495</v>
          </cell>
          <cell r="E12">
            <v>920.94236841805173</v>
          </cell>
        </row>
        <row r="13">
          <cell r="B13">
            <v>54.725947860410002</v>
          </cell>
          <cell r="C13">
            <v>1.6419234176500783</v>
          </cell>
          <cell r="D13">
            <v>4.9508984392274868</v>
          </cell>
          <cell r="E13">
            <v>282.75718506325558</v>
          </cell>
        </row>
        <row r="14">
          <cell r="B14">
            <v>53.066349889820003</v>
          </cell>
          <cell r="C14">
            <v>1.592131081869129</v>
          </cell>
          <cell r="D14">
            <v>4.8007594042070796</v>
          </cell>
          <cell r="E14">
            <v>274.18239981334682</v>
          </cell>
        </row>
        <row r="15">
          <cell r="B15"/>
          <cell r="C15"/>
          <cell r="D15"/>
          <cell r="E15">
            <v>0</v>
          </cell>
        </row>
        <row r="16">
          <cell r="B16">
            <v>291.37989606752097</v>
          </cell>
          <cell r="C16">
            <v>8.7421688155320396</v>
          </cell>
          <cell r="D16">
            <v>26.3602976113377</v>
          </cell>
          <cell r="E16">
            <v>1505.4971620816611</v>
          </cell>
        </row>
        <row r="17">
          <cell r="B17">
            <v>225.33715246026</v>
          </cell>
          <cell r="C17">
            <v>6.760711544637191</v>
          </cell>
          <cell r="D17">
            <v>20.38560134693498</v>
          </cell>
          <cell r="E17">
            <v>1164.2685309417211</v>
          </cell>
        </row>
        <row r="18">
          <cell r="B18">
            <v>20.071087781520003</v>
          </cell>
          <cell r="C18">
            <v>0.60218580645230979</v>
          </cell>
          <cell r="D18">
            <v>1.8157733407302343</v>
          </cell>
          <cell r="E18">
            <v>103.70298741532991</v>
          </cell>
        </row>
        <row r="19">
          <cell r="B19">
            <v>45.971655825740989</v>
          </cell>
          <cell r="C19">
            <v>1.3792714644425397</v>
          </cell>
          <cell r="D19">
            <v>4.1589229236724838</v>
          </cell>
          <cell r="E19">
            <v>237.52564372461015</v>
          </cell>
        </row>
        <row r="20">
          <cell r="B20"/>
          <cell r="C20"/>
          <cell r="D20"/>
          <cell r="E20">
            <v>0</v>
          </cell>
        </row>
        <row r="21">
          <cell r="B21">
            <v>68.15749959947</v>
          </cell>
          <cell r="C21">
            <v>2.0449055531444422</v>
          </cell>
          <cell r="D21">
            <v>6.1660121310164921</v>
          </cell>
          <cell r="E21">
            <v>352.15511985015667</v>
          </cell>
        </row>
        <row r="22">
          <cell r="B22">
            <v>26.190433288040001</v>
          </cell>
          <cell r="C22">
            <v>0.78578238322563887</v>
          </cell>
          <cell r="D22">
            <v>2.3693728543394013</v>
          </cell>
          <cell r="E22">
            <v>135.32032758943782</v>
          </cell>
        </row>
        <row r="23">
          <cell r="B23">
            <v>14.184849605029997</v>
          </cell>
          <cell r="C23">
            <v>0.42558306713572802</v>
          </cell>
          <cell r="D23">
            <v>1.28326237399031</v>
          </cell>
          <cell r="E23">
            <v>73.290062606032421</v>
          </cell>
        </row>
        <row r="24">
          <cell r="B24">
            <v>27.7822167064</v>
          </cell>
          <cell r="C24">
            <v>0.83354010278307555</v>
          </cell>
          <cell r="D24">
            <v>2.5133769026867809</v>
          </cell>
          <cell r="E24">
            <v>143.54472965468639</v>
          </cell>
        </row>
      </sheetData>
      <sheetData sheetId="2">
        <row r="5">
          <cell r="B5">
            <v>3333.0390000000002</v>
          </cell>
          <cell r="C5"/>
          <cell r="D5"/>
          <cell r="E5"/>
        </row>
        <row r="6">
          <cell r="B6">
            <v>193543969</v>
          </cell>
          <cell r="C6"/>
          <cell r="D6"/>
          <cell r="E6"/>
        </row>
        <row r="7">
          <cell r="B7">
            <v>1105.3740756788609</v>
          </cell>
          <cell r="C7">
            <v>33.164150664869538</v>
          </cell>
          <cell r="D7">
            <v>99.994963811638513</v>
          </cell>
          <cell r="E7">
            <v>5711.229760297314</v>
          </cell>
        </row>
        <row r="8">
          <cell r="B8"/>
          <cell r="C8"/>
          <cell r="D8"/>
          <cell r="E8">
            <v>0</v>
          </cell>
        </row>
        <row r="9">
          <cell r="B9">
            <v>225.33715246026</v>
          </cell>
          <cell r="C9">
            <v>6.760711544637191</v>
          </cell>
          <cell r="D9">
            <v>20.38560134693498</v>
          </cell>
          <cell r="E9">
            <v>1164.2685309417211</v>
          </cell>
        </row>
        <row r="10">
          <cell r="B10">
            <v>196.35529406840996</v>
          </cell>
          <cell r="C10">
            <v>5.8911790131591601</v>
          </cell>
          <cell r="D10">
            <v>17.763696325863183</v>
          </cell>
          <cell r="E10">
            <v>1014.525511091539</v>
          </cell>
        </row>
        <row r="11">
          <cell r="B11">
            <v>189.69444871760098</v>
          </cell>
          <cell r="C11">
            <v>5.6913360064974032</v>
          </cell>
          <cell r="D11">
            <v>17.161108885342809</v>
          </cell>
          <cell r="E11">
            <v>980.1103578567255</v>
          </cell>
        </row>
        <row r="12">
          <cell r="B12">
            <v>114.72393355384001</v>
          </cell>
          <cell r="C12">
            <v>3.4420219371522509</v>
          </cell>
          <cell r="D12">
            <v>10.378742914101977</v>
          </cell>
          <cell r="E12">
            <v>592.75385405494092</v>
          </cell>
        </row>
        <row r="13">
          <cell r="B13">
            <v>54.725947860410002</v>
          </cell>
          <cell r="C13">
            <v>1.6419234176500783</v>
          </cell>
          <cell r="D13">
            <v>4.9508984392274868</v>
          </cell>
          <cell r="E13">
            <v>282.75718506325558</v>
          </cell>
        </row>
        <row r="14">
          <cell r="B14">
            <v>27.598789248500001</v>
          </cell>
          <cell r="C14">
            <v>0.82803679310383105</v>
          </cell>
          <cell r="D14">
            <v>2.4967827503599009</v>
          </cell>
          <cell r="E14">
            <v>142.59699948852449</v>
          </cell>
        </row>
        <row r="15">
          <cell r="B15">
            <v>42.808449156000002</v>
          </cell>
          <cell r="C15">
            <v>1.2843668842758815</v>
          </cell>
          <cell r="D15">
            <v>3.8727567524785096</v>
          </cell>
          <cell r="E15">
            <v>221.18203619147647</v>
          </cell>
        </row>
        <row r="16">
          <cell r="B16">
            <v>30.439081343480002</v>
          </cell>
          <cell r="C16">
            <v>0.91325308055141274</v>
          </cell>
          <cell r="D16">
            <v>2.753735772642032</v>
          </cell>
          <cell r="E16">
            <v>157.27217696708496</v>
          </cell>
        </row>
        <row r="17">
          <cell r="B17">
            <v>26.190433288040001</v>
          </cell>
          <cell r="C17">
            <v>0.78578238322563887</v>
          </cell>
          <cell r="D17">
            <v>2.3693728543394013</v>
          </cell>
          <cell r="E17">
            <v>135.32032758943782</v>
          </cell>
        </row>
        <row r="18">
          <cell r="B18">
            <v>15.806918437590005</v>
          </cell>
          <cell r="C18">
            <v>0.4742494293523119</v>
          </cell>
          <cell r="D18">
            <v>1.4300062562876958</v>
          </cell>
          <cell r="E18">
            <v>81.670942883216398</v>
          </cell>
        </row>
        <row r="19">
          <cell r="B19">
            <v>20.071087781520003</v>
          </cell>
          <cell r="C19">
            <v>0.60218580645230979</v>
          </cell>
          <cell r="D19">
            <v>1.8157733407302343</v>
          </cell>
          <cell r="E19">
            <v>103.70298741532991</v>
          </cell>
        </row>
        <row r="20">
          <cell r="B20">
            <v>14.184849605029997</v>
          </cell>
          <cell r="C20">
            <v>0.42558306713572802</v>
          </cell>
          <cell r="D20">
            <v>1.28326237399031</v>
          </cell>
          <cell r="E20">
            <v>73.290062606032421</v>
          </cell>
        </row>
        <row r="21">
          <cell r="B21">
            <v>19.193097568059997</v>
          </cell>
          <cell r="C21">
            <v>0.57584377404704823</v>
          </cell>
          <cell r="D21">
            <v>1.7363441019975643</v>
          </cell>
          <cell r="E21">
            <v>99.166601094452076</v>
          </cell>
        </row>
        <row r="22">
          <cell r="B22">
            <v>4.1835575361699995</v>
          </cell>
          <cell r="C22">
            <v>0.12551780930766185</v>
          </cell>
          <cell r="D22">
            <v>0.37847436702373216</v>
          </cell>
          <cell r="E22">
            <v>21.615540684556279</v>
          </cell>
        </row>
        <row r="23">
          <cell r="B23">
            <v>1.6730877100399999</v>
          </cell>
          <cell r="C23">
            <v>5.0197063701924879E-2</v>
          </cell>
          <cell r="D23">
            <v>0.15135941278634385</v>
          </cell>
          <cell r="E23">
            <v>8.6444838280649297</v>
          </cell>
        </row>
        <row r="24">
          <cell r="B24">
            <v>0.40889789591999998</v>
          </cell>
          <cell r="C24">
            <v>1.2268020143778695E-2</v>
          </cell>
          <cell r="D24">
            <v>3.6991811633439745E-2</v>
          </cell>
          <cell r="E24">
            <v>2.112687354882135</v>
          </cell>
        </row>
        <row r="25">
          <cell r="B25">
            <v>-5.5668720549999995E-2</v>
          </cell>
          <cell r="C25">
            <v>-1.6702090959631734E-3</v>
          </cell>
          <cell r="D25">
            <v>-5.0361883614658933E-3</v>
          </cell>
          <cell r="E25">
            <v>-0.28762828848466987</v>
          </cell>
        </row>
        <row r="26">
          <cell r="B26">
            <v>121.97904944799006</v>
          </cell>
          <cell r="C26">
            <v>3.659694634475926</v>
          </cell>
          <cell r="D26">
            <v>11.035092294260396</v>
          </cell>
          <cell r="E26">
            <v>630.23947518607554</v>
          </cell>
        </row>
      </sheetData>
      <sheetData sheetId="3">
        <row r="5">
          <cell r="B5">
            <v>3333.0390000000002</v>
          </cell>
          <cell r="C5"/>
          <cell r="D5"/>
          <cell r="E5"/>
        </row>
        <row r="6">
          <cell r="B6">
            <v>193543969</v>
          </cell>
          <cell r="C6"/>
          <cell r="D6"/>
          <cell r="E6"/>
        </row>
        <row r="7">
          <cell r="B7">
            <v>1105.3737341238211</v>
          </cell>
          <cell r="C7">
            <v>33.164140417313476</v>
          </cell>
          <cell r="D7">
            <v>99.999999999999986</v>
          </cell>
          <cell r="E7">
            <v>5711.2279955559916</v>
          </cell>
        </row>
        <row r="8">
          <cell r="B8"/>
          <cell r="C8"/>
          <cell r="D8"/>
          <cell r="E8">
            <v>0</v>
          </cell>
        </row>
        <row r="9">
          <cell r="B9">
            <v>457.25285573746004</v>
          </cell>
          <cell r="C9">
            <v>13.718797041902601</v>
          </cell>
          <cell r="D9">
            <v>41.366357967597565</v>
          </cell>
          <cell r="E9">
            <v>2362.5270169873393</v>
          </cell>
        </row>
        <row r="10">
          <cell r="B10">
            <v>284.56754985541994</v>
          </cell>
          <cell r="C10">
            <v>8.5377803816702986</v>
          </cell>
          <cell r="D10">
            <v>25.744012280243254</v>
          </cell>
          <cell r="E10">
            <v>1470.2992365286252</v>
          </cell>
        </row>
        <row r="11">
          <cell r="B11">
            <v>234.98328712102096</v>
          </cell>
          <cell r="C11">
            <v>7.0501211393272314</v>
          </cell>
          <cell r="D11">
            <v>21.258265857681284</v>
          </cell>
          <cell r="E11">
            <v>1214.1080310336147</v>
          </cell>
        </row>
        <row r="12">
          <cell r="B12">
            <v>40.521480528680001</v>
          </cell>
          <cell r="C12">
            <v>1.2157517667414031</v>
          </cell>
          <cell r="D12">
            <v>3.6658624388971495</v>
          </cell>
          <cell r="E12">
            <v>209.36576188886568</v>
          </cell>
        </row>
        <row r="13">
          <cell r="B13">
            <v>15.806918437590005</v>
          </cell>
          <cell r="C13">
            <v>0.4742494293523119</v>
          </cell>
          <cell r="D13">
            <v>1.4300066981525865</v>
          </cell>
          <cell r="E13">
            <v>81.670942883216398</v>
          </cell>
        </row>
        <row r="14">
          <cell r="B14">
            <v>18.416049199979998</v>
          </cell>
          <cell r="C14">
            <v>0.55253026442174835</v>
          </cell>
          <cell r="D14">
            <v>1.6660472952686498</v>
          </cell>
          <cell r="E14">
            <v>95.151759546586547</v>
          </cell>
        </row>
        <row r="15">
          <cell r="B15">
            <v>19.137428847509998</v>
          </cell>
          <cell r="C15">
            <v>0.57417356495108507</v>
          </cell>
          <cell r="D15">
            <v>1.7313084486017174</v>
          </cell>
          <cell r="E15">
            <v>98.878972805967408</v>
          </cell>
        </row>
        <row r="16">
          <cell r="B16">
            <v>34.688164396160005</v>
          </cell>
          <cell r="C16">
            <v>1.040736828946796</v>
          </cell>
          <cell r="D16">
            <v>3.1381390135577734</v>
          </cell>
          <cell r="E16">
            <v>179.22627388177619</v>
          </cell>
        </row>
      </sheetData>
      <sheetData sheetId="4">
        <row r="5">
          <cell r="B5">
            <v>3333.0390000000002</v>
          </cell>
          <cell r="C5"/>
          <cell r="D5"/>
          <cell r="E5"/>
        </row>
        <row r="6">
          <cell r="B6">
            <v>193543969</v>
          </cell>
          <cell r="C6"/>
          <cell r="D6"/>
          <cell r="E6"/>
        </row>
        <row r="7">
          <cell r="B7">
            <v>1105.3740756788609</v>
          </cell>
          <cell r="C7">
            <v>33.164150664869531</v>
          </cell>
          <cell r="D7">
            <v>100</v>
          </cell>
          <cell r="E7">
            <v>5711.229760297314</v>
          </cell>
        </row>
        <row r="8">
          <cell r="B8"/>
          <cell r="C8"/>
          <cell r="D8"/>
          <cell r="E8">
            <v>0</v>
          </cell>
        </row>
        <row r="9">
          <cell r="B9">
            <v>618.83248407192991</v>
          </cell>
          <cell r="C9">
            <v>18.566613954170048</v>
          </cell>
          <cell r="D9">
            <v>55.9839874742744</v>
          </cell>
          <cell r="E9">
            <v>3197.3741536318807</v>
          </cell>
        </row>
        <row r="10">
          <cell r="B10"/>
          <cell r="C10"/>
          <cell r="D10"/>
          <cell r="E10">
            <v>0</v>
          </cell>
        </row>
        <row r="11">
          <cell r="B11">
            <v>278.20203575398597</v>
          </cell>
          <cell r="C11">
            <v>8.3467980948913567</v>
          </cell>
          <cell r="D11">
            <v>25.168134650084799</v>
          </cell>
          <cell r="E11">
            <v>1437.4099962473435</v>
          </cell>
        </row>
        <row r="12">
          <cell r="B12"/>
          <cell r="C12"/>
          <cell r="D12"/>
          <cell r="E12">
            <v>0</v>
          </cell>
        </row>
        <row r="13">
          <cell r="B13">
            <v>208.33955585294498</v>
          </cell>
          <cell r="C13">
            <v>6.2507386158081255</v>
          </cell>
          <cell r="D13">
            <v>18.847877875640801</v>
          </cell>
          <cell r="E13">
            <v>1076.4456104180904</v>
          </cell>
        </row>
        <row r="14">
          <cell r="B14"/>
          <cell r="C14"/>
          <cell r="D14"/>
          <cell r="E14">
            <v>0</v>
          </cell>
        </row>
        <row r="15">
          <cell r="B15"/>
          <cell r="C15"/>
          <cell r="D15"/>
          <cell r="E15">
            <v>0</v>
          </cell>
        </row>
        <row r="16">
          <cell r="B16"/>
          <cell r="C16"/>
          <cell r="D16"/>
          <cell r="E16">
            <v>0</v>
          </cell>
        </row>
        <row r="17">
          <cell r="B17">
            <v>65.483329126114995</v>
          </cell>
          <cell r="C17">
            <v>1.9646733544406472</v>
          </cell>
          <cell r="D17">
            <v>5.9240876520374961</v>
          </cell>
          <cell r="E17">
            <v>338.33825700926388</v>
          </cell>
        </row>
        <row r="18">
          <cell r="B18">
            <v>36.206411388019994</v>
          </cell>
          <cell r="C18">
            <v>1.0862882608940367</v>
          </cell>
          <cell r="D18">
            <v>3.2754894641240777</v>
          </cell>
          <cell r="E18">
            <v>187.07072907045736</v>
          </cell>
        </row>
        <row r="19">
          <cell r="B19">
            <v>2.2632126717799999</v>
          </cell>
          <cell r="C19">
            <v>6.7902375933194897E-2</v>
          </cell>
          <cell r="D19">
            <v>0.20474631363052889</v>
          </cell>
          <cell r="E19">
            <v>11.693532397178441</v>
          </cell>
        </row>
        <row r="20">
          <cell r="B20">
            <v>1.5336054999999999E-3</v>
          </cell>
          <cell r="C20">
            <v>4.6012227879721772E-5</v>
          </cell>
          <cell r="D20">
            <v>1.3874086010730281E-4</v>
          </cell>
          <cell r="E20">
            <v>7.9238092921407443E-3</v>
          </cell>
        </row>
        <row r="21">
          <cell r="B21">
            <v>1.1731580264400001</v>
          </cell>
          <cell r="C21">
            <v>3.5197848763245797E-2</v>
          </cell>
          <cell r="D21">
            <v>0.1061322182465253</v>
          </cell>
          <cell r="E21">
            <v>6.0614548337592478</v>
          </cell>
        </row>
        <row r="22">
          <cell r="B22">
            <v>10.68170115489</v>
          </cell>
          <cell r="C22">
            <v>0.32047933297180137</v>
          </cell>
          <cell r="D22">
            <v>0.96634265176970768</v>
          </cell>
          <cell r="E22">
            <v>55.190049114317787</v>
          </cell>
        </row>
        <row r="23">
          <cell r="B23">
            <v>6.3926219096800034</v>
          </cell>
          <cell r="C23">
            <v>0.19179559284124797</v>
          </cell>
          <cell r="D23">
            <v>0.5783220405050663</v>
          </cell>
          <cell r="E23">
            <v>33.029300487684033</v>
          </cell>
        </row>
        <row r="24">
          <cell r="B24">
            <v>1.4624999999999999</v>
          </cell>
          <cell r="C24">
            <v>4.3878874504618755E-2</v>
          </cell>
          <cell r="D24">
            <v>0.13230815089469253</v>
          </cell>
          <cell r="E24">
            <v>7.5564224891967573</v>
          </cell>
        </row>
        <row r="25">
          <cell r="B25">
            <v>0.72523307343999976</v>
          </cell>
          <cell r="C25">
            <v>2.1758913515263389E-2</v>
          </cell>
          <cell r="D25">
            <v>6.560974148001443E-2</v>
          </cell>
          <cell r="E25">
            <v>3.7471230810607166</v>
          </cell>
        </row>
        <row r="26">
          <cell r="B26">
            <v>6.5769572963649994</v>
          </cell>
          <cell r="C26">
            <v>0.19732614278935826</v>
          </cell>
          <cell r="D26">
            <v>0.59499833052677564</v>
          </cell>
          <cell r="E26">
            <v>33.981721726317389</v>
          </cell>
        </row>
        <row r="27">
          <cell r="B27"/>
          <cell r="C27"/>
          <cell r="D27"/>
          <cell r="E27">
            <v>0</v>
          </cell>
        </row>
        <row r="28">
          <cell r="B28">
            <v>61.520866813824988</v>
          </cell>
          <cell r="C28">
            <v>1.8457889875823534</v>
          </cell>
          <cell r="D28">
            <v>5.5656151313339075</v>
          </cell>
          <cell r="E28">
            <v>317.86506772435257</v>
          </cell>
        </row>
        <row r="29">
          <cell r="B29">
            <v>40.001030827120019</v>
          </cell>
          <cell r="C29">
            <v>1.2001368969015969</v>
          </cell>
          <cell r="D29">
            <v>3.6187777248669013</v>
          </cell>
          <cell r="E29">
            <v>206.67671038160853</v>
          </cell>
        </row>
        <row r="30">
          <cell r="B30">
            <v>0.23114479163000012</v>
          </cell>
          <cell r="C30">
            <v>6.9349561055241206E-3</v>
          </cell>
          <cell r="D30">
            <v>2.0911001688549959E-2</v>
          </cell>
          <cell r="E30">
            <v>1.1942753516127393</v>
          </cell>
        </row>
        <row r="31">
          <cell r="B31">
            <v>3.5784118200000003E-3</v>
          </cell>
          <cell r="C31">
            <v>1.0736183464999959E-4</v>
          </cell>
          <cell r="D31">
            <v>3.2372858191036675E-4</v>
          </cell>
          <cell r="E31">
            <v>1.8488883112653332E-2</v>
          </cell>
        </row>
        <row r="32">
          <cell r="B32">
            <v>0.38684224374000004</v>
          </cell>
          <cell r="C32">
            <v>1.1606292147796651E-2</v>
          </cell>
          <cell r="D32">
            <v>3.4996500483551005E-2</v>
          </cell>
          <cell r="E32">
            <v>1.9987305506791586</v>
          </cell>
        </row>
        <row r="33">
          <cell r="B33">
            <v>13.925945354009999</v>
          </cell>
          <cell r="C33">
            <v>0.41781525370720229</v>
          </cell>
          <cell r="D33">
            <v>1.2598400541877588</v>
          </cell>
          <cell r="E33">
            <v>71.952360106917098</v>
          </cell>
        </row>
        <row r="34">
          <cell r="B34">
            <v>0.4875000000000001</v>
          </cell>
          <cell r="C34">
            <v>1.4626291501539587E-2</v>
          </cell>
          <cell r="D34">
            <v>4.4102716964897516E-2</v>
          </cell>
          <cell r="E34">
            <v>2.5188074963989195</v>
          </cell>
        </row>
        <row r="35">
          <cell r="B35">
            <v>0.23718047782000001</v>
          </cell>
          <cell r="C35">
            <v>7.1160426811687476E-3</v>
          </cell>
          <cell r="D35">
            <v>2.1457032785424848E-2</v>
          </cell>
          <cell r="E35">
            <v>1.2254604421179356</v>
          </cell>
        </row>
        <row r="36">
          <cell r="B36">
            <v>1.8674964169499759</v>
          </cell>
          <cell r="C36">
            <v>5.6029839943366279E-2</v>
          </cell>
          <cell r="D36">
            <v>0.16894700699426671</v>
          </cell>
          <cell r="E36">
            <v>9.6489517425881459</v>
          </cell>
        </row>
        <row r="37">
          <cell r="B37">
            <v>4.3801482907349998</v>
          </cell>
          <cell r="C37">
            <v>0.13141605275950866</v>
          </cell>
          <cell r="D37">
            <v>0.39625936478064677</v>
          </cell>
          <cell r="E37">
            <v>22.631282769317394</v>
          </cell>
        </row>
        <row r="38">
          <cell r="B38"/>
          <cell r="C38"/>
          <cell r="D38"/>
          <cell r="E38">
            <v>0</v>
          </cell>
        </row>
        <row r="39">
          <cell r="B39">
            <v>78.661189439650002</v>
          </cell>
          <cell r="C39">
            <v>2.3600440750813299</v>
          </cell>
          <cell r="D39">
            <v>7.1162506132903989</v>
          </cell>
          <cell r="E39">
            <v>406.42542284358137</v>
          </cell>
        </row>
        <row r="40">
          <cell r="B40">
            <v>44.253020953804999</v>
          </cell>
          <cell r="C40">
            <v>1.3277078652186487</v>
          </cell>
          <cell r="D40">
            <v>4.0034429907022373</v>
          </cell>
          <cell r="E40">
            <v>228.64582752152302</v>
          </cell>
        </row>
        <row r="41">
          <cell r="B41">
            <v>10.035543890760001</v>
          </cell>
          <cell r="C41">
            <v>0.3010929032261549</v>
          </cell>
          <cell r="D41">
            <v>0.90788667036511739</v>
          </cell>
          <cell r="E41">
            <v>51.851493707664957</v>
          </cell>
        </row>
        <row r="42">
          <cell r="B42">
            <v>0.56580316794499996</v>
          </cell>
          <cell r="C42">
            <v>1.6975593983298724E-2</v>
          </cell>
          <cell r="D42">
            <v>5.1186578407632223E-2</v>
          </cell>
          <cell r="E42">
            <v>2.9233830992946102</v>
          </cell>
        </row>
        <row r="43">
          <cell r="B43">
            <v>23.806821427140001</v>
          </cell>
          <cell r="C43">
            <v>0.7142677126532273</v>
          </cell>
          <cell r="D43">
            <v>2.1537343738154111</v>
          </cell>
          <cell r="E43">
            <v>123.00471851509876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GOVDetalhado"/>
      <sheetName val="AD ESFERA"/>
      <sheetName val="PRINCIPAIS TRIBUTOS"/>
      <sheetName val="Bases de Incidência"/>
      <sheetName val="RD ESFERA"/>
      <sheetName val="RD ESFERA DETALHADA"/>
      <sheetName val="Impostos"/>
      <sheetName val="Contribuições"/>
      <sheetName val="Patrimoniais"/>
      <sheetName val="Multas"/>
      <sheetName val="Estados"/>
      <sheetName val="Municipios"/>
      <sheetName val="Transferencias"/>
      <sheetName val="Gráficos"/>
    </sheetNames>
    <sheetDataSet>
      <sheetData sheetId="0">
        <row r="5">
          <cell r="B5">
            <v>3885.8470000000002</v>
          </cell>
          <cell r="C5"/>
          <cell r="D5"/>
          <cell r="E5"/>
        </row>
        <row r="6">
          <cell r="B6">
            <v>195497797</v>
          </cell>
          <cell r="C6"/>
          <cell r="D6"/>
          <cell r="E6"/>
        </row>
        <row r="7">
          <cell r="B7">
            <v>1291.3620855079682</v>
          </cell>
          <cell r="C7">
            <v>33.232448048211054</v>
          </cell>
          <cell r="D7">
            <v>100</v>
          </cell>
          <cell r="E7">
            <v>6605.5070968803211</v>
          </cell>
        </row>
        <row r="8">
          <cell r="B8"/>
          <cell r="C8"/>
          <cell r="D8"/>
          <cell r="E8"/>
        </row>
        <row r="9">
          <cell r="B9">
            <v>868.73678569674996</v>
          </cell>
          <cell r="C9">
            <v>22.356433119902807</v>
          </cell>
          <cell r="D9">
            <v>67.272904744994491</v>
          </cell>
          <cell r="E9">
            <v>4443.71649720815</v>
          </cell>
        </row>
        <row r="10">
          <cell r="B10">
            <v>190.54987511116997</v>
          </cell>
          <cell r="C10">
            <v>4.9036895974331962</v>
          </cell>
          <cell r="D10">
            <v>14.755727866690121</v>
          </cell>
          <cell r="E10">
            <v>974.69065143056298</v>
          </cell>
        </row>
        <row r="11">
          <cell r="B11">
            <v>37.255019833280002</v>
          </cell>
          <cell r="C11">
            <v>0.95873614769907312</v>
          </cell>
          <cell r="D11">
            <v>2.8849398825756474</v>
          </cell>
          <cell r="E11">
            <v>190.56490868426511</v>
          </cell>
        </row>
        <row r="12">
          <cell r="B12">
            <v>26.529574587689996</v>
          </cell>
          <cell r="C12">
            <v>0.68272308682482852</v>
          </cell>
          <cell r="D12">
            <v>2.0543869829703394</v>
          </cell>
          <cell r="E12">
            <v>135.70267795749123</v>
          </cell>
        </row>
        <row r="13">
          <cell r="B13">
            <v>21.080739008959995</v>
          </cell>
          <cell r="C13">
            <v>0.54250048982782895</v>
          </cell>
          <cell r="D13">
            <v>1.6324421512396901</v>
          </cell>
          <cell r="E13">
            <v>107.83108215260347</v>
          </cell>
        </row>
        <row r="14">
          <cell r="B14">
            <v>0.47598754659000003</v>
          </cell>
          <cell r="C14">
            <v>1.2249261141522041E-2</v>
          </cell>
          <cell r="D14">
            <v>3.6859340376465093E-2</v>
          </cell>
          <cell r="E14">
            <v>2.4347463444306743</v>
          </cell>
        </row>
        <row r="15">
          <cell r="B15">
            <v>5.9237249301999997</v>
          </cell>
          <cell r="C15">
            <v>0.1524435967293617</v>
          </cell>
          <cell r="D15">
            <v>0.45871913049621971</v>
          </cell>
          <cell r="E15">
            <v>30.300724719675486</v>
          </cell>
        </row>
        <row r="16">
          <cell r="B16">
            <v>210.40369872757987</v>
          </cell>
          <cell r="C16">
            <v>5.4146161371659733</v>
          </cell>
          <cell r="D16">
            <v>16.293160616126951</v>
          </cell>
          <cell r="E16">
            <v>1076.2458808043748</v>
          </cell>
        </row>
        <row r="17">
          <cell r="B17">
            <v>138.63600394068001</v>
          </cell>
          <cell r="C17">
            <v>3.567716483450841</v>
          </cell>
          <cell r="D17">
            <v>10.735641497957282</v>
          </cell>
          <cell r="E17">
            <v>709.14356104319688</v>
          </cell>
        </row>
        <row r="18">
          <cell r="B18">
            <v>-4.5253026639999999E-2</v>
          </cell>
          <cell r="C18">
            <v>-1.1645601754263612E-3</v>
          </cell>
          <cell r="D18">
            <v>-3.5042864544222192E-3</v>
          </cell>
          <cell r="E18">
            <v>-0.23147589044187541</v>
          </cell>
        </row>
        <row r="19">
          <cell r="B19">
            <v>45.1996155227</v>
          </cell>
          <cell r="C19">
            <v>1.1631856715588647</v>
          </cell>
          <cell r="D19">
            <v>3.5001504248841533</v>
          </cell>
          <cell r="E19">
            <v>231.20268471720937</v>
          </cell>
        </row>
        <row r="20">
          <cell r="B20">
            <v>40.007507456120003</v>
          </cell>
          <cell r="C20">
            <v>1.029569806946079</v>
          </cell>
          <cell r="D20">
            <v>3.0980859593986549</v>
          </cell>
          <cell r="E20">
            <v>204.64428791553084</v>
          </cell>
        </row>
        <row r="21">
          <cell r="B21">
            <v>11.338062279309998</v>
          </cell>
          <cell r="C21">
            <v>0.29177840196255789</v>
          </cell>
          <cell r="D21">
            <v>0.87799250160345821</v>
          </cell>
          <cell r="E21">
            <v>57.995857003493484</v>
          </cell>
        </row>
        <row r="22">
          <cell r="B22">
            <v>9.0119378484200006</v>
          </cell>
          <cell r="C22">
            <v>0.23191695011203478</v>
          </cell>
          <cell r="D22">
            <v>0.69786297348780235</v>
          </cell>
          <cell r="E22">
            <v>46.097388240236796</v>
          </cell>
        </row>
        <row r="23">
          <cell r="B23">
            <v>61.797213442769994</v>
          </cell>
          <cell r="C23">
            <v>1.5903151473223212</v>
          </cell>
          <cell r="D23">
            <v>4.7854288225026798</v>
          </cell>
          <cell r="E23">
            <v>316.10184048657078</v>
          </cell>
        </row>
        <row r="24">
          <cell r="B24">
            <v>37.948963505630005</v>
          </cell>
          <cell r="C24">
            <v>0.97659438227058348</v>
          </cell>
          <cell r="D24">
            <v>2.938677225505073</v>
          </cell>
          <cell r="E24">
            <v>194.11453268514327</v>
          </cell>
        </row>
        <row r="25">
          <cell r="B25">
            <v>11.049199077039999</v>
          </cell>
          <cell r="C25">
            <v>0.28434467638689837</v>
          </cell>
          <cell r="D25">
            <v>0.85562362415911464</v>
          </cell>
          <cell r="E25">
            <v>56.518279216414896</v>
          </cell>
        </row>
        <row r="26">
          <cell r="B26">
            <v>9.8872</v>
          </cell>
          <cell r="C26">
            <v>0.25444130970673828</v>
          </cell>
          <cell r="D26">
            <v>0.76564118700378192</v>
          </cell>
          <cell r="E26">
            <v>50.574482944173532</v>
          </cell>
        </row>
        <row r="27">
          <cell r="B27">
            <v>11.687715905249993</v>
          </cell>
          <cell r="C27">
            <v>0.30077653353953443</v>
          </cell>
          <cell r="D27">
            <v>0.90506884447149727</v>
          </cell>
          <cell r="E27">
            <v>59.78438675321744</v>
          </cell>
        </row>
        <row r="28">
          <cell r="B28"/>
          <cell r="C28"/>
          <cell r="D28"/>
          <cell r="E28"/>
        </row>
        <row r="29">
          <cell r="B29">
            <v>342.2934883801783</v>
          </cell>
          <cell r="C29">
            <v>8.8087227412756661</v>
          </cell>
          <cell r="D29">
            <v>26.506391369352794</v>
          </cell>
          <cell r="E29">
            <v>1750.8815630294712</v>
          </cell>
        </row>
        <row r="30">
          <cell r="B30">
            <v>264.74599347458002</v>
          </cell>
          <cell r="C30">
            <v>6.8130833116841707</v>
          </cell>
          <cell r="D30">
            <v>20.501298314828563</v>
          </cell>
          <cell r="E30">
            <v>1354.2147151386059</v>
          </cell>
        </row>
        <row r="31">
          <cell r="B31">
            <v>21.277523129349998</v>
          </cell>
          <cell r="C31">
            <v>0.54756461408156309</v>
          </cell>
          <cell r="D31">
            <v>1.6476806441920826</v>
          </cell>
          <cell r="E31">
            <v>108.83766188603137</v>
          </cell>
        </row>
        <row r="32">
          <cell r="B32">
            <v>2.5081770370299998</v>
          </cell>
          <cell r="C32">
            <v>6.454646920040856E-2</v>
          </cell>
          <cell r="D32">
            <v>0.19422724773922628</v>
          </cell>
          <cell r="E32">
            <v>12.829694633489909</v>
          </cell>
        </row>
        <row r="33">
          <cell r="B33">
            <v>16.538761950138252</v>
          </cell>
          <cell r="C33">
            <v>0.42561536648607751</v>
          </cell>
          <cell r="D33">
            <v>1.2807222804309444</v>
          </cell>
          <cell r="E33">
            <v>84.598201125193512</v>
          </cell>
        </row>
        <row r="34">
          <cell r="B34">
            <v>10.430009214969999</v>
          </cell>
          <cell r="C34">
            <v>0.26841018740495959</v>
          </cell>
          <cell r="D34">
            <v>0.80767503800975171</v>
          </cell>
          <cell r="E34">
            <v>53.351031955464947</v>
          </cell>
        </row>
        <row r="35">
          <cell r="B35">
            <v>17.531526478209997</v>
          </cell>
          <cell r="C35">
            <v>0.45116358102133192</v>
          </cell>
          <cell r="D35">
            <v>1.3575995977389894</v>
          </cell>
          <cell r="E35">
            <v>89.676337775867623</v>
          </cell>
        </row>
        <row r="36">
          <cell r="B36">
            <v>0.68646705582000001</v>
          </cell>
          <cell r="C36">
            <v>1.7665828217631831E-2</v>
          </cell>
          <cell r="D36">
            <v>5.3158371577091225E-2</v>
          </cell>
          <cell r="E36">
            <v>3.511380007110771</v>
          </cell>
        </row>
        <row r="37">
          <cell r="B37">
            <v>8.5750300400800015</v>
          </cell>
          <cell r="C37">
            <v>0.22067338317952306</v>
          </cell>
          <cell r="D37">
            <v>0.66402987483614595</v>
          </cell>
          <cell r="E37">
            <v>43.862540507707109</v>
          </cell>
        </row>
        <row r="38">
          <cell r="B38"/>
          <cell r="C38"/>
          <cell r="D38"/>
          <cell r="E38"/>
        </row>
        <row r="39">
          <cell r="B39">
            <v>80.331811431040009</v>
          </cell>
          <cell r="C39">
            <v>2.067292187032582</v>
          </cell>
          <cell r="D39">
            <v>6.2207038856527079</v>
          </cell>
          <cell r="E39">
            <v>410.90903664269939</v>
          </cell>
        </row>
        <row r="40">
          <cell r="B40">
            <v>31.407240443990002</v>
          </cell>
          <cell r="C40">
            <v>0.80824696505009064</v>
          </cell>
          <cell r="D40">
            <v>2.4321017936371967</v>
          </cell>
          <cell r="E40">
            <v>160.65265658205857</v>
          </cell>
        </row>
        <row r="41">
          <cell r="B41">
            <v>16.364693568250001</v>
          </cell>
          <cell r="C41">
            <v>0.42113581847792769</v>
          </cell>
          <cell r="D41">
            <v>1.2672428400910356</v>
          </cell>
          <cell r="E41">
            <v>83.707815736921063</v>
          </cell>
        </row>
        <row r="42">
          <cell r="B42">
            <v>5.5727660216000006</v>
          </cell>
          <cell r="C42">
            <v>0.14341187446649342</v>
          </cell>
          <cell r="D42">
            <v>0.43154170965209249</v>
          </cell>
          <cell r="E42">
            <v>28.505518257067624</v>
          </cell>
        </row>
        <row r="43">
          <cell r="B43">
            <v>5.5871918317300002</v>
          </cell>
          <cell r="C43">
            <v>0.14378311425359772</v>
          </cell>
          <cell r="D43">
            <v>0.43265880998296707</v>
          </cell>
          <cell r="E43">
            <v>28.579308398702828</v>
          </cell>
        </row>
        <row r="44">
          <cell r="B44">
            <v>4.3375583542600005</v>
          </cell>
          <cell r="C44">
            <v>0.11162452752926197</v>
          </cell>
          <cell r="D44">
            <v>0.33589017386659503</v>
          </cell>
          <cell r="E44">
            <v>22.187249272481573</v>
          </cell>
        </row>
        <row r="45">
          <cell r="B45">
            <v>6.0358280829500011</v>
          </cell>
          <cell r="C45">
            <v>0.15532850580452603</v>
          </cell>
          <cell r="D45">
            <v>0.46740013127888597</v>
          </cell>
          <cell r="E45">
            <v>30.874148842454733</v>
          </cell>
        </row>
        <row r="46">
          <cell r="B46">
            <v>3.2742683304099995</v>
          </cell>
          <cell r="C46">
            <v>8.4261380605309452E-2</v>
          </cell>
          <cell r="D46">
            <v>0.25355153036896222</v>
          </cell>
          <cell r="E46">
            <v>16.748364332770457</v>
          </cell>
        </row>
        <row r="47">
          <cell r="B47">
            <v>7.7522647978499997</v>
          </cell>
          <cell r="C47">
            <v>0.19950000084537553</v>
          </cell>
          <cell r="D47">
            <v>0.60031689677497257</v>
          </cell>
          <cell r="E47">
            <v>39.653975220242508</v>
          </cell>
        </row>
      </sheetData>
      <sheetData sheetId="1">
        <row r="5">
          <cell r="B5">
            <v>3885.8470000000002</v>
          </cell>
          <cell r="C5"/>
          <cell r="D5"/>
          <cell r="E5"/>
        </row>
        <row r="6">
          <cell r="B6">
            <v>195497797</v>
          </cell>
          <cell r="C6"/>
          <cell r="D6"/>
          <cell r="E6"/>
        </row>
        <row r="7">
          <cell r="B7">
            <v>1291.3620855079682</v>
          </cell>
          <cell r="C7">
            <v>33.232448048211062</v>
          </cell>
          <cell r="D7">
            <v>100</v>
          </cell>
          <cell r="E7">
            <v>6605.5070968803211</v>
          </cell>
        </row>
        <row r="8">
          <cell r="B8"/>
          <cell r="C8"/>
          <cell r="D8"/>
          <cell r="E8">
            <v>0</v>
          </cell>
        </row>
        <row r="9">
          <cell r="B9">
            <v>868.73678569674996</v>
          </cell>
          <cell r="C9">
            <v>22.35643311990281</v>
          </cell>
          <cell r="D9">
            <v>67.272904744994506</v>
          </cell>
          <cell r="E9">
            <v>4443.71649720815</v>
          </cell>
        </row>
        <row r="10">
          <cell r="B10">
            <v>275.89119608768999</v>
          </cell>
          <cell r="C10">
            <v>7.0998985829264507</v>
          </cell>
          <cell r="D10">
            <v>21.364356223852266</v>
          </cell>
          <cell r="E10">
            <v>1411.2240665693537</v>
          </cell>
        </row>
        <row r="11">
          <cell r="B11">
            <v>265.08427309762999</v>
          </cell>
          <cell r="C11">
            <v>6.8217887399485866</v>
          </cell>
          <cell r="D11">
            <v>20.527493882039817</v>
          </cell>
          <cell r="E11">
            <v>1355.9450651898137</v>
          </cell>
        </row>
        <row r="12">
          <cell r="B12">
            <v>210.40369872757987</v>
          </cell>
          <cell r="C12">
            <v>5.4146161371659733</v>
          </cell>
          <cell r="D12">
            <v>16.293160616126947</v>
          </cell>
          <cell r="E12">
            <v>1076.2458808043748</v>
          </cell>
        </row>
        <row r="13">
          <cell r="B13">
            <v>61.797213442769994</v>
          </cell>
          <cell r="C13">
            <v>1.5903151473223212</v>
          </cell>
          <cell r="D13">
            <v>4.7854288225026789</v>
          </cell>
          <cell r="E13">
            <v>316.10184048657078</v>
          </cell>
        </row>
        <row r="14">
          <cell r="B14">
            <v>55.560404341080002</v>
          </cell>
          <cell r="C14">
            <v>1.4298145125394797</v>
          </cell>
          <cell r="D14">
            <v>4.3024652004727892</v>
          </cell>
          <cell r="E14">
            <v>284.19964415803622</v>
          </cell>
        </row>
        <row r="15">
          <cell r="B15"/>
          <cell r="C15"/>
          <cell r="D15"/>
          <cell r="E15">
            <v>0</v>
          </cell>
        </row>
        <row r="16">
          <cell r="B16">
            <v>342.2934883801783</v>
          </cell>
          <cell r="C16">
            <v>8.8087227412756661</v>
          </cell>
          <cell r="D16">
            <v>26.506391369352791</v>
          </cell>
          <cell r="E16">
            <v>1750.8815630294712</v>
          </cell>
        </row>
        <row r="17">
          <cell r="B17">
            <v>264.74599347458002</v>
          </cell>
          <cell r="C17">
            <v>6.8130833116841707</v>
          </cell>
          <cell r="D17">
            <v>20.50129831482856</v>
          </cell>
          <cell r="E17">
            <v>1354.2147151386059</v>
          </cell>
        </row>
        <row r="18">
          <cell r="B18">
            <v>21.277523129349998</v>
          </cell>
          <cell r="C18">
            <v>0.54756461408156309</v>
          </cell>
          <cell r="D18">
            <v>1.6476806441920824</v>
          </cell>
          <cell r="E18">
            <v>108.83766188603137</v>
          </cell>
        </row>
        <row r="19">
          <cell r="B19">
            <v>56.269971776248248</v>
          </cell>
          <cell r="C19">
            <v>1.4480748155099323</v>
          </cell>
          <cell r="D19">
            <v>4.3574124103321479</v>
          </cell>
          <cell r="E19">
            <v>287.82918600483384</v>
          </cell>
        </row>
        <row r="20">
          <cell r="B20"/>
          <cell r="C20"/>
          <cell r="D20"/>
          <cell r="E20">
            <v>0</v>
          </cell>
        </row>
        <row r="21">
          <cell r="B21">
            <v>80.331811431039995</v>
          </cell>
          <cell r="C21">
            <v>2.0672921870325824</v>
          </cell>
          <cell r="D21">
            <v>6.2207038856527062</v>
          </cell>
          <cell r="E21">
            <v>410.90903664269933</v>
          </cell>
        </row>
        <row r="22">
          <cell r="B22">
            <v>31.407240443990002</v>
          </cell>
          <cell r="C22">
            <v>0.80824696505009064</v>
          </cell>
          <cell r="D22">
            <v>2.4321017936371963</v>
          </cell>
          <cell r="E22">
            <v>160.65265658205857</v>
          </cell>
        </row>
        <row r="23">
          <cell r="B23">
            <v>16.364693568250001</v>
          </cell>
          <cell r="C23">
            <v>0.42113581847792769</v>
          </cell>
          <cell r="D23">
            <v>1.2672428400910354</v>
          </cell>
          <cell r="E23">
            <v>83.707815736921063</v>
          </cell>
        </row>
        <row r="24">
          <cell r="B24">
            <v>32.559877418799999</v>
          </cell>
          <cell r="C24">
            <v>0.837909403504564</v>
          </cell>
          <cell r="D24">
            <v>2.5213592519244745</v>
          </cell>
          <cell r="E24">
            <v>166.54856432371972</v>
          </cell>
        </row>
      </sheetData>
      <sheetData sheetId="2">
        <row r="5">
          <cell r="B5">
            <v>3885.8470000000002</v>
          </cell>
          <cell r="C5"/>
          <cell r="D5"/>
          <cell r="E5"/>
        </row>
        <row r="6">
          <cell r="B6">
            <v>195497797</v>
          </cell>
          <cell r="C6"/>
          <cell r="D6"/>
          <cell r="E6"/>
        </row>
        <row r="7">
          <cell r="B7">
            <v>1291.3620855079682</v>
          </cell>
          <cell r="C7">
            <v>33.232448048211062</v>
          </cell>
          <cell r="D7">
            <v>99.996495713545571</v>
          </cell>
          <cell r="E7">
            <v>6605.5070968803211</v>
          </cell>
        </row>
        <row r="8">
          <cell r="B8"/>
          <cell r="C8"/>
          <cell r="D8"/>
          <cell r="E8">
            <v>0</v>
          </cell>
        </row>
        <row r="9">
          <cell r="B9">
            <v>264.74599347458002</v>
          </cell>
          <cell r="C9">
            <v>6.8130833116841707</v>
          </cell>
          <cell r="D9">
            <v>20.50129831482856</v>
          </cell>
          <cell r="E9">
            <v>1354.2147151386059</v>
          </cell>
        </row>
        <row r="10">
          <cell r="B10">
            <v>231.34009780461986</v>
          </cell>
          <cell r="C10">
            <v>5.9534021232596093</v>
          </cell>
          <cell r="D10">
            <v>17.914425427289842</v>
          </cell>
          <cell r="E10">
            <v>1183.3386429649634</v>
          </cell>
        </row>
        <row r="11">
          <cell r="B11">
            <v>212.67582889303822</v>
          </cell>
          <cell r="C11">
            <v>5.4730880781728715</v>
          </cell>
          <cell r="D11">
            <v>16.46910895710403</v>
          </cell>
          <cell r="E11">
            <v>1087.8681609544592</v>
          </cell>
        </row>
        <row r="12">
          <cell r="B12">
            <v>138.63600394068001</v>
          </cell>
          <cell r="C12">
            <v>3.567716483450841</v>
          </cell>
          <cell r="D12">
            <v>10.73564149795728</v>
          </cell>
          <cell r="E12">
            <v>709.14356104319688</v>
          </cell>
        </row>
        <row r="13">
          <cell r="B13">
            <v>61.797213442769994</v>
          </cell>
          <cell r="C13">
            <v>1.5903151473223212</v>
          </cell>
          <cell r="D13">
            <v>4.7854288225026789</v>
          </cell>
          <cell r="E13">
            <v>316.10184048657078</v>
          </cell>
        </row>
        <row r="14">
          <cell r="B14">
            <v>37.255019833280002</v>
          </cell>
          <cell r="C14">
            <v>0.95873614769907312</v>
          </cell>
          <cell r="D14">
            <v>2.8849398825756474</v>
          </cell>
          <cell r="E14">
            <v>190.56490868426511</v>
          </cell>
        </row>
        <row r="15">
          <cell r="B15">
            <v>45.1996155227</v>
          </cell>
          <cell r="C15">
            <v>1.1631856715588647</v>
          </cell>
          <cell r="D15">
            <v>3.5001504248841528</v>
          </cell>
          <cell r="E15">
            <v>231.20268471720937</v>
          </cell>
        </row>
        <row r="16">
          <cell r="B16">
            <v>40.007507456120003</v>
          </cell>
          <cell r="C16">
            <v>1.029569806946079</v>
          </cell>
          <cell r="D16">
            <v>3.0980859593986545</v>
          </cell>
          <cell r="E16">
            <v>204.64428791553084</v>
          </cell>
        </row>
        <row r="17">
          <cell r="B17">
            <v>31.407240443990002</v>
          </cell>
          <cell r="C17">
            <v>0.80824696505009064</v>
          </cell>
          <cell r="D17">
            <v>2.4321017936371963</v>
          </cell>
          <cell r="E17">
            <v>160.65265658205857</v>
          </cell>
        </row>
        <row r="18">
          <cell r="B18">
            <v>21.080739008959995</v>
          </cell>
          <cell r="C18">
            <v>0.54250048982782895</v>
          </cell>
          <cell r="D18">
            <v>1.6324421512396898</v>
          </cell>
          <cell r="E18">
            <v>107.83108215260347</v>
          </cell>
        </row>
        <row r="19">
          <cell r="B19">
            <v>21.277523129349998</v>
          </cell>
          <cell r="C19">
            <v>0.54756461408156309</v>
          </cell>
          <cell r="D19">
            <v>1.6476806441920824</v>
          </cell>
          <cell r="E19">
            <v>108.83766188603137</v>
          </cell>
        </row>
        <row r="20">
          <cell r="B20">
            <v>16.364693568250001</v>
          </cell>
          <cell r="C20">
            <v>0.42113581847792769</v>
          </cell>
          <cell r="D20">
            <v>1.2672428400910354</v>
          </cell>
          <cell r="E20">
            <v>83.707815736921063</v>
          </cell>
        </row>
        <row r="21">
          <cell r="B21">
            <v>26.529574587689996</v>
          </cell>
          <cell r="C21">
            <v>0.68272308682482852</v>
          </cell>
          <cell r="D21">
            <v>2.0543869829703389</v>
          </cell>
          <cell r="E21">
            <v>135.70267795749123</v>
          </cell>
        </row>
        <row r="22">
          <cell r="B22">
            <v>5.5727660216000006</v>
          </cell>
          <cell r="C22">
            <v>0.14341187446649342</v>
          </cell>
          <cell r="D22">
            <v>0.43154170965209243</v>
          </cell>
          <cell r="E22">
            <v>28.505518257067624</v>
          </cell>
        </row>
        <row r="23">
          <cell r="B23">
            <v>2.5081770370299998</v>
          </cell>
          <cell r="C23">
            <v>6.454646920040856E-2</v>
          </cell>
          <cell r="D23">
            <v>0.19422724773922626</v>
          </cell>
          <cell r="E23">
            <v>12.829694633489909</v>
          </cell>
        </row>
        <row r="24">
          <cell r="B24">
            <v>0.47598754659000003</v>
          </cell>
          <cell r="C24">
            <v>1.2249261141522041E-2</v>
          </cell>
          <cell r="D24">
            <v>3.6859340376465079E-2</v>
          </cell>
          <cell r="E24">
            <v>2.4347463444306743</v>
          </cell>
        </row>
        <row r="25">
          <cell r="B25">
            <v>-4.5253026639999999E-2</v>
          </cell>
          <cell r="C25">
            <v>-1.1645601754263612E-3</v>
          </cell>
          <cell r="D25">
            <v>-3.5042864544222183E-3</v>
          </cell>
          <cell r="E25">
            <v>-0.23147589044187541</v>
          </cell>
        </row>
        <row r="26">
          <cell r="B26">
            <v>134.48810379672</v>
          </cell>
          <cell r="C26">
            <v>3.4609726990465655</v>
          </cell>
          <cell r="D26">
            <v>10.41443800356102</v>
          </cell>
          <cell r="E26">
            <v>687.9264414254244</v>
          </cell>
        </row>
      </sheetData>
      <sheetData sheetId="3">
        <row r="5">
          <cell r="B5">
            <v>3885.8470000000002</v>
          </cell>
          <cell r="C5"/>
          <cell r="D5"/>
          <cell r="E5"/>
        </row>
        <row r="6">
          <cell r="B6">
            <v>195497797</v>
          </cell>
          <cell r="C6"/>
          <cell r="D6"/>
          <cell r="E6"/>
        </row>
        <row r="7">
          <cell r="B7">
            <v>1291.362085507968</v>
          </cell>
          <cell r="C7">
            <v>33.232448048211069</v>
          </cell>
          <cell r="D7">
            <v>100.00000000000003</v>
          </cell>
          <cell r="E7">
            <v>6605.5070968803193</v>
          </cell>
        </row>
        <row r="8">
          <cell r="B8"/>
          <cell r="C8"/>
          <cell r="D8"/>
          <cell r="E8">
            <v>0</v>
          </cell>
        </row>
        <row r="9">
          <cell r="B9">
            <v>553.96146404051012</v>
          </cell>
          <cell r="C9">
            <v>14.255874305923783</v>
          </cell>
          <cell r="D9">
            <v>42.897454575848478</v>
          </cell>
          <cell r="E9">
            <v>2833.5944063886823</v>
          </cell>
        </row>
        <row r="10">
          <cell r="B10">
            <v>330.51614052036985</v>
          </cell>
          <cell r="C10">
            <v>8.505639581804683</v>
          </cell>
          <cell r="D10">
            <v>25.594381640092724</v>
          </cell>
          <cell r="E10">
            <v>1690.6386956389583</v>
          </cell>
        </row>
        <row r="11">
          <cell r="B11">
            <v>261.02350884064822</v>
          </cell>
          <cell r="C11">
            <v>6.7172873466363496</v>
          </cell>
          <cell r="D11">
            <v>20.213037982911853</v>
          </cell>
          <cell r="E11">
            <v>1335.1736584563571</v>
          </cell>
        </row>
        <row r="12">
          <cell r="B12">
            <v>46.199147302820002</v>
          </cell>
          <cell r="C12">
            <v>1.1889080373679148</v>
          </cell>
          <cell r="D12">
            <v>3.577551782050902</v>
          </cell>
          <cell r="E12">
            <v>236.31543685794065</v>
          </cell>
        </row>
        <row r="13">
          <cell r="B13">
            <v>21.080739008959995</v>
          </cell>
          <cell r="C13">
            <v>0.54250048982782895</v>
          </cell>
          <cell r="D13">
            <v>1.6324421512396898</v>
          </cell>
          <cell r="E13">
            <v>107.83108215260347</v>
          </cell>
        </row>
        <row r="14">
          <cell r="B14">
            <v>20.691292499429998</v>
          </cell>
          <cell r="C14">
            <v>0.53247831166358317</v>
          </cell>
          <cell r="D14">
            <v>1.6022843423725661</v>
          </cell>
          <cell r="E14">
            <v>105.83900594762201</v>
          </cell>
        </row>
        <row r="15">
          <cell r="B15">
            <v>26.484321561049995</v>
          </cell>
          <cell r="C15">
            <v>0.68155852664940209</v>
          </cell>
          <cell r="D15">
            <v>2.050882696515917</v>
          </cell>
          <cell r="E15">
            <v>135.47120206704935</v>
          </cell>
        </row>
        <row r="16">
          <cell r="B16">
            <v>31.405471734179994</v>
          </cell>
          <cell r="C16">
            <v>0.80820144833751806</v>
          </cell>
          <cell r="D16">
            <v>2.431964828967887</v>
          </cell>
          <cell r="E16">
            <v>160.64360937110709</v>
          </cell>
        </row>
      </sheetData>
      <sheetData sheetId="4">
        <row r="5">
          <cell r="B5">
            <v>3885.8470000000002</v>
          </cell>
          <cell r="C5"/>
          <cell r="D5"/>
          <cell r="E5"/>
        </row>
        <row r="6">
          <cell r="B6">
            <v>195497797</v>
          </cell>
          <cell r="C6"/>
          <cell r="D6"/>
          <cell r="E6"/>
        </row>
        <row r="7">
          <cell r="B7">
            <v>1291.3620855079682</v>
          </cell>
          <cell r="C7">
            <v>33.232448048211069</v>
          </cell>
          <cell r="D7">
            <v>99.999999999999986</v>
          </cell>
          <cell r="E7">
            <v>6605.5070968803211</v>
          </cell>
        </row>
        <row r="8">
          <cell r="B8"/>
          <cell r="C8"/>
          <cell r="D8"/>
          <cell r="E8">
            <v>0</v>
          </cell>
        </row>
        <row r="9">
          <cell r="B9">
            <v>729.13971097942226</v>
          </cell>
          <cell r="C9">
            <v>18.763984042074284</v>
          </cell>
          <cell r="D9">
            <v>56.462840218249788</v>
          </cell>
          <cell r="E9">
            <v>3729.6569177166853</v>
          </cell>
        </row>
        <row r="10">
          <cell r="B10"/>
          <cell r="C10"/>
          <cell r="D10"/>
          <cell r="E10">
            <v>0</v>
          </cell>
        </row>
        <row r="11">
          <cell r="B11">
            <v>324.01505552540544</v>
          </cell>
          <cell r="C11">
            <v>8.338337961463882</v>
          </cell>
          <cell r="D11">
            <v>25.090953123186306</v>
          </cell>
          <cell r="E11">
            <v>1657.3846892269862</v>
          </cell>
        </row>
        <row r="12">
          <cell r="B12"/>
          <cell r="C12"/>
          <cell r="D12"/>
          <cell r="E12">
            <v>0</v>
          </cell>
        </row>
        <row r="13">
          <cell r="B13">
            <v>238.20731900314053</v>
          </cell>
          <cell r="C13">
            <v>6.1301260446728989</v>
          </cell>
          <cell r="D13">
            <v>18.446206658563899</v>
          </cell>
          <cell r="E13">
            <v>1218.465489936649</v>
          </cell>
        </row>
        <row r="14">
          <cell r="B14"/>
          <cell r="C14"/>
          <cell r="D14"/>
          <cell r="E14">
            <v>0</v>
          </cell>
        </row>
        <row r="15">
          <cell r="B15"/>
          <cell r="C15"/>
          <cell r="D15"/>
          <cell r="E15">
            <v>0</v>
          </cell>
        </row>
        <row r="16">
          <cell r="B16"/>
          <cell r="C16"/>
          <cell r="D16"/>
          <cell r="E16">
            <v>0</v>
          </cell>
        </row>
        <row r="17">
          <cell r="B17">
            <v>73.775986697102155</v>
          </cell>
          <cell r="C17">
            <v>1.8985818715225322</v>
          </cell>
          <cell r="D17">
            <v>5.7130364539146088</v>
          </cell>
          <cell r="E17">
            <v>377.37502841068925</v>
          </cell>
        </row>
        <row r="18">
          <cell r="B18">
            <v>39.024096594699998</v>
          </cell>
          <cell r="C18">
            <v>1.0042623035518383</v>
          </cell>
          <cell r="D18">
            <v>3.0219329677276021</v>
          </cell>
          <cell r="E18">
            <v>199.61399664621283</v>
          </cell>
        </row>
        <row r="19">
          <cell r="B19">
            <v>2.9484068514999993</v>
          </cell>
          <cell r="C19">
            <v>7.5875526017879724E-2</v>
          </cell>
          <cell r="D19">
            <v>0.2283175946225971</v>
          </cell>
          <cell r="E19">
            <v>15.081534916222095</v>
          </cell>
        </row>
        <row r="20">
          <cell r="B20">
            <v>1.27825432E-3</v>
          </cell>
          <cell r="C20">
            <v>3.2895127368627739E-5</v>
          </cell>
          <cell r="D20">
            <v>9.8984965901115763E-5</v>
          </cell>
          <cell r="E20">
            <v>6.5384589474427688E-3</v>
          </cell>
        </row>
        <row r="21">
          <cell r="B21">
            <v>1.1731580264400001</v>
          </cell>
          <cell r="C21">
            <v>3.0190535716923494E-2</v>
          </cell>
          <cell r="D21">
            <v>9.0846559582746955E-2</v>
          </cell>
          <cell r="E21">
            <v>6.0008759405099594</v>
          </cell>
        </row>
        <row r="22">
          <cell r="B22">
            <v>11.27740696831</v>
          </cell>
          <cell r="C22">
            <v>0.29021747300678591</v>
          </cell>
          <cell r="D22">
            <v>0.87329549898268344</v>
          </cell>
          <cell r="E22">
            <v>57.685596162037569</v>
          </cell>
        </row>
        <row r="23">
          <cell r="B23">
            <v>7.3661327180266696</v>
          </cell>
          <cell r="C23">
            <v>0.18956311759126568</v>
          </cell>
          <cell r="D23">
            <v>0.57041574943940987</v>
          </cell>
          <cell r="E23">
            <v>37.678852810943283</v>
          </cell>
        </row>
        <row r="24">
          <cell r="B24">
            <v>1.4625000000699999</v>
          </cell>
          <cell r="C24">
            <v>3.7636582193534635E-2</v>
          </cell>
          <cell r="D24">
            <v>0.11325251193933829</v>
          </cell>
          <cell r="E24">
            <v>7.4809027135482244</v>
          </cell>
        </row>
        <row r="25">
          <cell r="B25">
            <v>1.3381483517799999</v>
          </cell>
          <cell r="C25">
            <v>3.4436465248889103E-2</v>
          </cell>
          <cell r="D25">
            <v>0.10362301687474645</v>
          </cell>
          <cell r="E25">
            <v>6.8448257336628711</v>
          </cell>
        </row>
        <row r="26">
          <cell r="B26">
            <v>0.8</v>
          </cell>
          <cell r="C26">
            <v>2.0587532139067749E-2</v>
          </cell>
          <cell r="D26">
            <v>6.1950091998040427E-2</v>
          </cell>
          <cell r="E26">
            <v>4.0921177234544492</v>
          </cell>
        </row>
        <row r="27">
          <cell r="B27">
            <v>8.3848589319554989</v>
          </cell>
          <cell r="C27">
            <v>0.21577944092897888</v>
          </cell>
          <cell r="D27">
            <v>0.64930347778154274</v>
          </cell>
          <cell r="E27">
            <v>42.889787305150548</v>
          </cell>
        </row>
        <row r="28">
          <cell r="B28"/>
          <cell r="C28"/>
          <cell r="D28"/>
          <cell r="E28">
            <v>0</v>
          </cell>
        </row>
        <row r="29">
          <cell r="B29">
            <v>65.821088020225503</v>
          </cell>
          <cell r="C29">
            <v>1.6938672063059994</v>
          </cell>
          <cell r="D29">
            <v>5.0970280728301072</v>
          </cell>
          <cell r="E29">
            <v>336.68455108077512</v>
          </cell>
        </row>
        <row r="30">
          <cell r="B30">
            <v>43.068937166680001</v>
          </cell>
          <cell r="C30">
            <v>1.1083539101431426</v>
          </cell>
          <cell r="D30">
            <v>3.335155774667061</v>
          </cell>
          <cell r="E30">
            <v>220.30395138764658</v>
          </cell>
        </row>
        <row r="31">
          <cell r="B31">
            <v>0.36252553345999994</v>
          </cell>
          <cell r="C31">
            <v>9.3293825891755371E-3</v>
          </cell>
          <cell r="D31">
            <v>2.8073112686857103E-2</v>
          </cell>
          <cell r="E31">
            <v>1.8543714508455558</v>
          </cell>
        </row>
        <row r="32">
          <cell r="B32">
            <v>2.9825928300000002E-3</v>
          </cell>
          <cell r="C32">
            <v>7.6755282181722548E-5</v>
          </cell>
          <cell r="D32">
            <v>2.3096487526399475E-4</v>
          </cell>
          <cell r="E32">
            <v>1.5256401226863954E-2</v>
          </cell>
        </row>
        <row r="33">
          <cell r="B33">
            <v>0.38684224327999989</v>
          </cell>
          <cell r="C33">
            <v>9.955158895345078E-3</v>
          </cell>
          <cell r="D33">
            <v>2.9956140699905414E-2</v>
          </cell>
          <cell r="E33">
            <v>1.9787549998837066</v>
          </cell>
        </row>
        <row r="34">
          <cell r="B34">
            <v>15.259450172259998</v>
          </cell>
          <cell r="C34">
            <v>0.39269302605738199</v>
          </cell>
          <cell r="D34">
            <v>1.1816554275137761</v>
          </cell>
          <cell r="E34">
            <v>78.054333125093976</v>
          </cell>
        </row>
        <row r="35">
          <cell r="B35">
            <v>0.48749999993000009</v>
          </cell>
          <cell r="C35">
            <v>1.2545527395443004E-2</v>
          </cell>
          <cell r="D35">
            <v>3.7750837305885264E-2</v>
          </cell>
          <cell r="E35">
            <v>2.4936342373719951</v>
          </cell>
        </row>
        <row r="36">
          <cell r="B36">
            <v>0.43757832493999999</v>
          </cell>
          <cell r="C36">
            <v>1.1260822285077101E-2</v>
          </cell>
          <cell r="D36">
            <v>3.3885021857976788E-2</v>
          </cell>
          <cell r="E36">
            <v>2.2382775236081049</v>
          </cell>
        </row>
        <row r="37">
          <cell r="B37">
            <v>0.51660966488999516</v>
          </cell>
          <cell r="C37">
            <v>1.3294647599094744E-2</v>
          </cell>
          <cell r="D37">
            <v>4.0005020333765046E-2</v>
          </cell>
          <cell r="E37">
            <v>2.642534457255266</v>
          </cell>
        </row>
        <row r="38">
          <cell r="B38">
            <v>5.2986623219554998</v>
          </cell>
          <cell r="C38">
            <v>0.13635797605915775</v>
          </cell>
          <cell r="D38">
            <v>0.41031577288961724</v>
          </cell>
          <cell r="E38">
            <v>27.103437497843004</v>
          </cell>
        </row>
        <row r="39">
          <cell r="B39"/>
          <cell r="C39"/>
          <cell r="D39"/>
          <cell r="E39">
            <v>0</v>
          </cell>
        </row>
        <row r="40">
          <cell r="B40">
            <v>92.054419551875014</v>
          </cell>
          <cell r="C40">
            <v>2.3689666513343166</v>
          </cell>
          <cell r="D40">
            <v>7.1284747000810853</v>
          </cell>
          <cell r="E40">
            <v>470.87190221317439</v>
          </cell>
        </row>
        <row r="41">
          <cell r="B41">
            <v>51.916749695005009</v>
          </cell>
          <cell r="C41">
            <v>1.3360471911273142</v>
          </cell>
          <cell r="D41">
            <v>4.0203092748059968</v>
          </cell>
          <cell r="E41">
            <v>265.56181446384795</v>
          </cell>
        </row>
        <row r="42">
          <cell r="B42">
            <v>10.638761564674999</v>
          </cell>
          <cell r="C42">
            <v>0.27378230704078155</v>
          </cell>
          <cell r="D42">
            <v>0.82384032209604097</v>
          </cell>
          <cell r="E42">
            <v>54.418830943015685</v>
          </cell>
        </row>
        <row r="43">
          <cell r="B43">
            <v>0.73710171287499981</v>
          </cell>
          <cell r="C43">
            <v>1.8968881504469931E-2</v>
          </cell>
          <cell r="D43">
            <v>5.7079398655649274E-2</v>
          </cell>
          <cell r="E43">
            <v>3.7703837290555238</v>
          </cell>
        </row>
        <row r="44">
          <cell r="B44">
            <v>28.761806579319995</v>
          </cell>
          <cell r="C44">
            <v>0.74016827166175081</v>
          </cell>
          <cell r="D44">
            <v>2.2272457045233978</v>
          </cell>
          <cell r="E44">
            <v>147.12087307725517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GOVDetalhado"/>
      <sheetName val="AD ESFERA"/>
      <sheetName val="PRINCIPAIS TRIBUTOS"/>
      <sheetName val="Bases de Incidência"/>
      <sheetName val="RD ESFERA"/>
      <sheetName val="RD ESFERA DETALHADA"/>
      <sheetName val="Impostos"/>
      <sheetName val="Contribuições"/>
      <sheetName val="Patrimoniais"/>
      <sheetName val="Multas"/>
      <sheetName val="Estados"/>
      <sheetName val="Municipios"/>
      <sheetName val="Transferencias"/>
      <sheetName val="Gráficos"/>
    </sheetNames>
    <sheetDataSet>
      <sheetData sheetId="0">
        <row r="5">
          <cell r="B5">
            <v>4376.3819999999996</v>
          </cell>
          <cell r="C5"/>
          <cell r="D5"/>
          <cell r="E5"/>
        </row>
        <row r="6">
          <cell r="B6">
            <v>197397018</v>
          </cell>
          <cell r="C6"/>
          <cell r="D6"/>
          <cell r="E6"/>
        </row>
        <row r="7">
          <cell r="B7">
            <v>1491.6039399458753</v>
          </cell>
          <cell r="C7">
            <v>34.08303799681736</v>
          </cell>
          <cell r="D7">
            <v>100</v>
          </cell>
          <cell r="E7">
            <v>7556.3651115837793</v>
          </cell>
        </row>
        <row r="8">
          <cell r="B8"/>
          <cell r="C8"/>
          <cell r="D8"/>
          <cell r="E8"/>
        </row>
        <row r="9">
          <cell r="B9">
            <v>1017.0070951182497</v>
          </cell>
          <cell r="C9">
            <v>23.238535738385046</v>
          </cell>
          <cell r="D9">
            <v>68.18211375568994</v>
          </cell>
          <cell r="E9">
            <v>5152.0894561753194</v>
          </cell>
        </row>
        <row r="10">
          <cell r="B10">
            <v>231.29945093385999</v>
          </cell>
          <cell r="C10">
            <v>5.2851750814682079</v>
          </cell>
          <cell r="D10">
            <v>15.506760523993584</v>
          </cell>
          <cell r="E10">
            <v>1171.7474421718973</v>
          </cell>
        </row>
        <row r="11">
          <cell r="B11">
            <v>41.140073034149999</v>
          </cell>
          <cell r="C11">
            <v>0.94004757889393564</v>
          </cell>
          <cell r="D11">
            <v>2.7581097054250749</v>
          </cell>
          <cell r="E11">
            <v>208.41283951994654</v>
          </cell>
        </row>
        <row r="12">
          <cell r="B12">
            <v>31.8704784904</v>
          </cell>
          <cell r="C12">
            <v>0.72823803978720325</v>
          </cell>
          <cell r="D12">
            <v>2.1366582399585545</v>
          </cell>
          <cell r="E12">
            <v>161.45369779800828</v>
          </cell>
        </row>
        <row r="13">
          <cell r="B13">
            <v>26.644493091240001</v>
          </cell>
          <cell r="C13">
            <v>0.60882466592815709</v>
          </cell>
          <cell r="D13">
            <v>1.7862981169255172</v>
          </cell>
          <cell r="E13">
            <v>134.97920769623786</v>
          </cell>
        </row>
        <row r="14">
          <cell r="B14">
            <v>0.54624142319000002</v>
          </cell>
          <cell r="C14">
            <v>1.2481575492952857E-2</v>
          </cell>
          <cell r="D14">
            <v>3.662107671891917E-2</v>
          </cell>
          <cell r="E14">
            <v>2.767222264674738</v>
          </cell>
        </row>
        <row r="15">
          <cell r="B15">
            <v>7.1480912228999998</v>
          </cell>
          <cell r="C15">
            <v>0.16333334756655155</v>
          </cell>
          <cell r="D15">
            <v>0.47922179819123939</v>
          </cell>
          <cell r="E15">
            <v>36.211748765627249</v>
          </cell>
        </row>
        <row r="16">
          <cell r="B16">
            <v>242.23413878350001</v>
          </cell>
          <cell r="C16">
            <v>5.5350318775531937</v>
          </cell>
          <cell r="D16">
            <v>16.239843050581491</v>
          </cell>
          <cell r="E16">
            <v>1227.141834450103</v>
          </cell>
        </row>
        <row r="17">
          <cell r="B17">
            <v>158.16676446288002</v>
          </cell>
          <cell r="C17">
            <v>3.6140986884344204</v>
          </cell>
          <cell r="D17">
            <v>10.603804416648249</v>
          </cell>
          <cell r="E17">
            <v>801.26217744018822</v>
          </cell>
        </row>
        <row r="18">
          <cell r="B18">
            <v>-3.5526914399999984E-3</v>
          </cell>
          <cell r="C18">
            <v>-8.1178732569506021E-5</v>
          </cell>
          <cell r="D18">
            <v>-2.3817927432726626E-4</v>
          </cell>
          <cell r="E18">
            <v>-1.7997695588288971E-2</v>
          </cell>
        </row>
        <row r="19">
          <cell r="B19">
            <v>56.964314448210004</v>
          </cell>
          <cell r="C19">
            <v>1.3016303066827808</v>
          </cell>
          <cell r="D19">
            <v>3.8189973170945786</v>
          </cell>
          <cell r="E19">
            <v>288.57738088125529</v>
          </cell>
        </row>
        <row r="20">
          <cell r="B20">
            <v>41.153665609030007</v>
          </cell>
          <cell r="C20">
            <v>0.94035816820903684</v>
          </cell>
          <cell r="D20">
            <v>2.759020977815553</v>
          </cell>
          <cell r="E20">
            <v>208.48169858893212</v>
          </cell>
        </row>
        <row r="21">
          <cell r="B21">
            <v>12.27438691201</v>
          </cell>
          <cell r="C21">
            <v>0.2804688190384203</v>
          </cell>
          <cell r="D21">
            <v>0.82289853112451472</v>
          </cell>
          <cell r="E21">
            <v>62.18121750962824</v>
          </cell>
        </row>
        <row r="22">
          <cell r="B22">
            <v>10.065186438809999</v>
          </cell>
          <cell r="C22">
            <v>0.22998875415377357</v>
          </cell>
          <cell r="D22">
            <v>0.67478947790760224</v>
          </cell>
          <cell r="E22">
            <v>50.989556685248402</v>
          </cell>
        </row>
        <row r="23">
          <cell r="B23">
            <v>72.26093929261998</v>
          </cell>
          <cell r="C23">
            <v>1.651157035483191</v>
          </cell>
          <cell r="D23">
            <v>4.8445124980859235</v>
          </cell>
          <cell r="E23">
            <v>366.06905223168053</v>
          </cell>
        </row>
        <row r="24">
          <cell r="B24">
            <v>45.265742123690003</v>
          </cell>
          <cell r="C24">
            <v>1.0343188077203957</v>
          </cell>
          <cell r="D24">
            <v>3.0347025045624729</v>
          </cell>
          <cell r="E24">
            <v>229.31320129511786</v>
          </cell>
        </row>
        <row r="25">
          <cell r="B25">
            <v>13.115381982620001</v>
          </cell>
          <cell r="C25">
            <v>0.29968549323665078</v>
          </cell>
          <cell r="D25">
            <v>0.87928045987166725</v>
          </cell>
          <cell r="E25">
            <v>66.441641902716086</v>
          </cell>
        </row>
        <row r="26">
          <cell r="B26">
            <v>11.662700000000001</v>
          </cell>
          <cell r="C26">
            <v>0.26649181904139085</v>
          </cell>
          <cell r="D26">
            <v>0.78188986282935102</v>
          </cell>
          <cell r="E26">
            <v>59.08245280584736</v>
          </cell>
        </row>
        <row r="27">
          <cell r="B27">
            <v>15.198599560580007</v>
          </cell>
          <cell r="C27">
            <v>0.34728685842734958</v>
          </cell>
          <cell r="D27">
            <v>1.0189433772299841</v>
          </cell>
          <cell r="E27">
            <v>76.995081863800024</v>
          </cell>
        </row>
        <row r="28">
          <cell r="B28"/>
          <cell r="C28"/>
          <cell r="D28"/>
          <cell r="E28"/>
        </row>
        <row r="29">
          <cell r="B29">
            <v>381.20877272706548</v>
          </cell>
          <cell r="C29">
            <v>8.7105918250981151</v>
          </cell>
          <cell r="D29">
            <v>25.556970085564274</v>
          </cell>
          <cell r="E29">
            <v>1931.1779711234822</v>
          </cell>
        </row>
        <row r="30">
          <cell r="B30">
            <v>294.37887302168997</v>
          </cell>
          <cell r="C30">
            <v>6.7265351384246159</v>
          </cell>
          <cell r="D30">
            <v>19.735726430996948</v>
          </cell>
          <cell r="E30">
            <v>1491.303546549472</v>
          </cell>
        </row>
        <row r="31">
          <cell r="B31">
            <v>23.939386537409995</v>
          </cell>
          <cell r="C31">
            <v>0.54701318434748147</v>
          </cell>
          <cell r="D31">
            <v>1.6049425652682752</v>
          </cell>
          <cell r="E31">
            <v>121.27532006288969</v>
          </cell>
        </row>
        <row r="32">
          <cell r="B32">
            <v>2.7547689264300002</v>
          </cell>
          <cell r="C32">
            <v>6.2946263064558819E-2</v>
          </cell>
          <cell r="D32">
            <v>0.18468501273400767</v>
          </cell>
          <cell r="E32">
            <v>13.955473868556618</v>
          </cell>
        </row>
        <row r="33">
          <cell r="B33">
            <v>19.382035000545503</v>
          </cell>
          <cell r="C33">
            <v>0.44287804402233405</v>
          </cell>
          <cell r="D33">
            <v>1.2994089437205967</v>
          </cell>
          <cell r="E33">
            <v>98.18808408010247</v>
          </cell>
        </row>
        <row r="34">
          <cell r="B34">
            <v>11.845724687740001</v>
          </cell>
          <cell r="C34">
            <v>0.27067391940968594</v>
          </cell>
          <cell r="D34">
            <v>0.79416019028280638</v>
          </cell>
          <cell r="E34">
            <v>60.009643548617333</v>
          </cell>
        </row>
        <row r="35">
          <cell r="B35">
            <v>19.363597954519999</v>
          </cell>
          <cell r="C35">
            <v>0.44245675890541553</v>
          </cell>
          <cell r="D35">
            <v>1.2981728886572015</v>
          </cell>
          <cell r="E35">
            <v>98.094683246532128</v>
          </cell>
        </row>
        <row r="36">
          <cell r="B36">
            <v>0.68648113772000008</v>
          </cell>
          <cell r="C36">
            <v>1.5686042436880515E-2</v>
          </cell>
          <cell r="D36">
            <v>4.6023017192144848E-2</v>
          </cell>
          <cell r="E36">
            <v>3.4776672144054377</v>
          </cell>
        </row>
        <row r="37">
          <cell r="B37">
            <v>8.8579054610099988</v>
          </cell>
          <cell r="C37">
            <v>0.20240247448714485</v>
          </cell>
          <cell r="D37">
            <v>0.59385103671229367</v>
          </cell>
          <cell r="E37">
            <v>44.873552552906339</v>
          </cell>
        </row>
        <row r="38">
          <cell r="B38"/>
          <cell r="C38"/>
          <cell r="D38"/>
          <cell r="E38"/>
        </row>
        <row r="39">
          <cell r="B39">
            <v>93.388072100560009</v>
          </cell>
          <cell r="C39">
            <v>2.1339104333342021</v>
          </cell>
          <cell r="D39">
            <v>6.2609161587457791</v>
          </cell>
          <cell r="E39">
            <v>473.09768428497745</v>
          </cell>
        </row>
        <row r="40">
          <cell r="B40">
            <v>36.656296818840005</v>
          </cell>
          <cell r="C40">
            <v>0.83759362914023527</v>
          </cell>
          <cell r="D40">
            <v>2.4575087150929704</v>
          </cell>
          <cell r="E40">
            <v>185.69833116141604</v>
          </cell>
        </row>
        <row r="41">
          <cell r="B41">
            <v>18.378709162539998</v>
          </cell>
          <cell r="C41">
            <v>0.41995212398140741</v>
          </cell>
          <cell r="D41">
            <v>1.2321440477830119</v>
          </cell>
          <cell r="E41">
            <v>93.105302951131705</v>
          </cell>
        </row>
        <row r="42">
          <cell r="B42">
            <v>6.8709687197200005</v>
          </cell>
          <cell r="C42">
            <v>0.15700111918292325</v>
          </cell>
          <cell r="D42">
            <v>0.46064297201905491</v>
          </cell>
          <cell r="E42">
            <v>34.807864826610505</v>
          </cell>
        </row>
        <row r="43">
          <cell r="B43">
            <v>6.7766989988499988</v>
          </cell>
          <cell r="C43">
            <v>0.15484706314142593</v>
          </cell>
          <cell r="D43">
            <v>0.45432294842931958</v>
          </cell>
          <cell r="E43">
            <v>34.330300769031872</v>
          </cell>
        </row>
        <row r="44">
          <cell r="B44">
            <v>4.8306379443899994</v>
          </cell>
          <cell r="C44">
            <v>0.11037971421119089</v>
          </cell>
          <cell r="D44">
            <v>0.32385526848134266</v>
          </cell>
          <cell r="E44">
            <v>24.471686519550154</v>
          </cell>
        </row>
        <row r="45">
          <cell r="B45">
            <v>7.2115783793899997</v>
          </cell>
          <cell r="C45">
            <v>0.16478402432397354</v>
          </cell>
          <cell r="D45">
            <v>0.48347809939759745</v>
          </cell>
          <cell r="E45">
            <v>36.533370425028401</v>
          </cell>
        </row>
        <row r="46">
          <cell r="B46">
            <v>3.3899537472200003</v>
          </cell>
          <cell r="C46">
            <v>7.746018851233738E-2</v>
          </cell>
          <cell r="D46">
            <v>0.22726902607558205</v>
          </cell>
          <cell r="E46">
            <v>17.173277395811521</v>
          </cell>
        </row>
        <row r="47">
          <cell r="B47">
            <v>9.2732283296099993</v>
          </cell>
          <cell r="C47">
            <v>0.21189257084070814</v>
          </cell>
          <cell r="D47">
            <v>0.6216950814669</v>
          </cell>
          <cell r="E47">
            <v>46.977550236397178</v>
          </cell>
        </row>
      </sheetData>
      <sheetData sheetId="1">
        <row r="5">
          <cell r="B5">
            <v>4376.3819999999996</v>
          </cell>
          <cell r="C5"/>
          <cell r="D5"/>
          <cell r="E5"/>
        </row>
        <row r="6">
          <cell r="B6">
            <v>197397018</v>
          </cell>
          <cell r="C6"/>
          <cell r="D6"/>
          <cell r="E6"/>
        </row>
        <row r="7">
          <cell r="B7">
            <v>1491.6039399458757</v>
          </cell>
          <cell r="C7">
            <v>34.08303799681736</v>
          </cell>
          <cell r="D7">
            <v>100</v>
          </cell>
          <cell r="E7">
            <v>7556.365111583782</v>
          </cell>
        </row>
        <row r="8">
          <cell r="B8"/>
          <cell r="C8"/>
          <cell r="D8"/>
          <cell r="E8">
            <v>0</v>
          </cell>
        </row>
        <row r="9">
          <cell r="B9">
            <v>1017.00709511825</v>
          </cell>
          <cell r="C9">
            <v>23.238535738385043</v>
          </cell>
          <cell r="D9">
            <v>68.182113755689954</v>
          </cell>
          <cell r="E9">
            <v>5152.0894561753212</v>
          </cell>
        </row>
        <row r="10">
          <cell r="B10">
            <v>331.50073697284</v>
          </cell>
          <cell r="C10">
            <v>7.5747669415704575</v>
          </cell>
          <cell r="D10">
            <v>22.22444766302165</v>
          </cell>
          <cell r="E10">
            <v>1679.360409450765</v>
          </cell>
        </row>
        <row r="11">
          <cell r="B11">
            <v>303.39884716211998</v>
          </cell>
          <cell r="C11">
            <v>6.9326408700639028</v>
          </cell>
          <cell r="D11">
            <v>20.340442864017184</v>
          </cell>
          <cell r="E11">
            <v>1536.9981281182272</v>
          </cell>
        </row>
        <row r="12">
          <cell r="B12">
            <v>242.23413878350001</v>
          </cell>
          <cell r="C12">
            <v>5.5350318775531937</v>
          </cell>
          <cell r="D12">
            <v>16.239843050581491</v>
          </cell>
          <cell r="E12">
            <v>1227.141834450103</v>
          </cell>
        </row>
        <row r="13">
          <cell r="B13">
            <v>72.26093929261998</v>
          </cell>
          <cell r="C13">
            <v>1.651157035483191</v>
          </cell>
          <cell r="D13">
            <v>4.8445124980859235</v>
          </cell>
          <cell r="E13">
            <v>366.06905223168053</v>
          </cell>
        </row>
        <row r="14">
          <cell r="B14">
            <v>67.612432907170017</v>
          </cell>
          <cell r="C14">
            <v>1.5449390137142969</v>
          </cell>
          <cell r="D14">
            <v>4.5328676799836964</v>
          </cell>
          <cell r="E14">
            <v>342.52003192454521</v>
          </cell>
        </row>
        <row r="15">
          <cell r="B15"/>
          <cell r="C15"/>
          <cell r="D15"/>
          <cell r="E15">
            <v>0</v>
          </cell>
        </row>
        <row r="16">
          <cell r="B16">
            <v>381.20877272706548</v>
          </cell>
          <cell r="C16">
            <v>8.7105918250981169</v>
          </cell>
          <cell r="D16">
            <v>25.556970085564274</v>
          </cell>
          <cell r="E16">
            <v>1931.1779711234822</v>
          </cell>
        </row>
        <row r="17">
          <cell r="B17">
            <v>294.37887302168997</v>
          </cell>
          <cell r="C17">
            <v>6.7265351384246159</v>
          </cell>
          <cell r="D17">
            <v>19.735726430996948</v>
          </cell>
          <cell r="E17">
            <v>1491.303546549472</v>
          </cell>
        </row>
        <row r="18">
          <cell r="B18">
            <v>23.939386537409995</v>
          </cell>
          <cell r="C18">
            <v>0.54701318434748147</v>
          </cell>
          <cell r="D18">
            <v>1.6049425652682752</v>
          </cell>
          <cell r="E18">
            <v>121.27532006288969</v>
          </cell>
        </row>
        <row r="19">
          <cell r="B19">
            <v>62.890513167965509</v>
          </cell>
          <cell r="C19">
            <v>1.4370435023260197</v>
          </cell>
          <cell r="D19">
            <v>4.2163010892990505</v>
          </cell>
          <cell r="E19">
            <v>318.59910451112034</v>
          </cell>
        </row>
        <row r="20">
          <cell r="B20"/>
          <cell r="C20"/>
          <cell r="D20"/>
          <cell r="E20">
            <v>0</v>
          </cell>
        </row>
        <row r="21">
          <cell r="B21">
            <v>93.388072100560009</v>
          </cell>
          <cell r="C21">
            <v>2.1339104333342021</v>
          </cell>
          <cell r="D21">
            <v>6.2609161587457791</v>
          </cell>
          <cell r="E21">
            <v>473.09768428497745</v>
          </cell>
        </row>
        <row r="22">
          <cell r="B22">
            <v>36.656296818840005</v>
          </cell>
          <cell r="C22">
            <v>0.83759362914023527</v>
          </cell>
          <cell r="D22">
            <v>2.4575087150929704</v>
          </cell>
          <cell r="E22">
            <v>185.69833116141604</v>
          </cell>
        </row>
        <row r="23">
          <cell r="B23">
            <v>18.378709162539998</v>
          </cell>
          <cell r="C23">
            <v>0.41995212398140741</v>
          </cell>
          <cell r="D23">
            <v>1.2321440477830119</v>
          </cell>
          <cell r="E23">
            <v>93.105302951131705</v>
          </cell>
        </row>
        <row r="24">
          <cell r="B24">
            <v>38.353066119179999</v>
          </cell>
          <cell r="C24">
            <v>0.8763646802125592</v>
          </cell>
          <cell r="D24">
            <v>2.5712633958697966</v>
          </cell>
          <cell r="E24">
            <v>194.29405017242965</v>
          </cell>
        </row>
      </sheetData>
      <sheetData sheetId="2">
        <row r="5">
          <cell r="B5">
            <v>4376.3819999999996</v>
          </cell>
          <cell r="C5"/>
          <cell r="D5"/>
          <cell r="E5"/>
        </row>
        <row r="6">
          <cell r="B6">
            <v>197397018</v>
          </cell>
          <cell r="C6"/>
          <cell r="D6"/>
          <cell r="E6"/>
        </row>
        <row r="7">
          <cell r="B7">
            <v>1491.6039399458757</v>
          </cell>
          <cell r="C7">
            <v>34.083037996817367</v>
          </cell>
          <cell r="D7">
            <v>99.999761820725666</v>
          </cell>
          <cell r="E7">
            <v>7556.365111583782</v>
          </cell>
        </row>
        <row r="8">
          <cell r="B8"/>
          <cell r="C8"/>
          <cell r="D8"/>
          <cell r="E8">
            <v>0</v>
          </cell>
        </row>
        <row r="9">
          <cell r="B9">
            <v>294.37887302168997</v>
          </cell>
          <cell r="C9">
            <v>6.7265351384246159</v>
          </cell>
          <cell r="D9">
            <v>19.735726430996941</v>
          </cell>
          <cell r="E9">
            <v>1491.303546549472</v>
          </cell>
        </row>
        <row r="10">
          <cell r="B10">
            <v>267.01222076611998</v>
          </cell>
          <cell r="C10">
            <v>6.1012091898312351</v>
          </cell>
          <cell r="D10">
            <v>17.901013373282506</v>
          </cell>
          <cell r="E10">
            <v>1352.6659291586664</v>
          </cell>
        </row>
        <row r="11">
          <cell r="B11">
            <v>257.4581849332555</v>
          </cell>
          <cell r="C11">
            <v>5.8829001886319681</v>
          </cell>
          <cell r="D11">
            <v>17.260492416143496</v>
          </cell>
          <cell r="E11">
            <v>1304.2658270210318</v>
          </cell>
        </row>
        <row r="12">
          <cell r="B12">
            <v>158.16676446288002</v>
          </cell>
          <cell r="C12">
            <v>3.6140986884344204</v>
          </cell>
          <cell r="D12">
            <v>10.603804416648249</v>
          </cell>
          <cell r="E12">
            <v>801.26217744018822</v>
          </cell>
        </row>
        <row r="13">
          <cell r="B13">
            <v>72.26093929261998</v>
          </cell>
          <cell r="C13">
            <v>1.651157035483191</v>
          </cell>
          <cell r="D13">
            <v>4.8445124980859218</v>
          </cell>
          <cell r="E13">
            <v>366.06905223168053</v>
          </cell>
        </row>
        <row r="14">
          <cell r="B14">
            <v>41.140073034149999</v>
          </cell>
          <cell r="C14">
            <v>0.94004757889393564</v>
          </cell>
          <cell r="D14">
            <v>2.7581097054250741</v>
          </cell>
          <cell r="E14">
            <v>208.41283951994654</v>
          </cell>
        </row>
        <row r="15">
          <cell r="B15">
            <v>56.964314448210004</v>
          </cell>
          <cell r="C15">
            <v>1.3016303066827808</v>
          </cell>
          <cell r="D15">
            <v>3.8189973170945781</v>
          </cell>
          <cell r="E15">
            <v>288.57738088125529</v>
          </cell>
        </row>
        <row r="16">
          <cell r="B16">
            <v>41.153665609030007</v>
          </cell>
          <cell r="C16">
            <v>0.94035816820903684</v>
          </cell>
          <cell r="D16">
            <v>2.7590209778155526</v>
          </cell>
          <cell r="E16">
            <v>208.48169858893212</v>
          </cell>
        </row>
        <row r="17">
          <cell r="B17">
            <v>36.656296818840005</v>
          </cell>
          <cell r="C17">
            <v>0.83759362914023527</v>
          </cell>
          <cell r="D17">
            <v>2.45750871509297</v>
          </cell>
          <cell r="E17">
            <v>185.69833116141604</v>
          </cell>
        </row>
        <row r="18">
          <cell r="B18">
            <v>26.644493091240001</v>
          </cell>
          <cell r="C18">
            <v>0.60882466592815709</v>
          </cell>
          <cell r="D18">
            <v>1.786298116925517</v>
          </cell>
          <cell r="E18">
            <v>134.97920769623786</v>
          </cell>
        </row>
        <row r="19">
          <cell r="B19">
            <v>23.939386537409995</v>
          </cell>
          <cell r="C19">
            <v>0.54701318434748147</v>
          </cell>
          <cell r="D19">
            <v>1.6049425652682747</v>
          </cell>
          <cell r="E19">
            <v>121.27532006288969</v>
          </cell>
        </row>
        <row r="20">
          <cell r="B20">
            <v>18.378709162539998</v>
          </cell>
          <cell r="C20">
            <v>0.41995212398140741</v>
          </cell>
          <cell r="D20">
            <v>1.2321440477830117</v>
          </cell>
          <cell r="E20">
            <v>93.105302951131705</v>
          </cell>
        </row>
        <row r="21">
          <cell r="B21">
            <v>31.8704784904</v>
          </cell>
          <cell r="C21">
            <v>0.72823803978720325</v>
          </cell>
          <cell r="D21">
            <v>2.1366582399585545</v>
          </cell>
          <cell r="E21">
            <v>161.45369779800828</v>
          </cell>
        </row>
        <row r="22">
          <cell r="B22">
            <v>6.8709687197200005</v>
          </cell>
          <cell r="C22">
            <v>0.15700111918292325</v>
          </cell>
          <cell r="D22">
            <v>0.4606429720190548</v>
          </cell>
          <cell r="E22">
            <v>34.807864826610505</v>
          </cell>
        </row>
        <row r="23">
          <cell r="B23">
            <v>2.7547689264300002</v>
          </cell>
          <cell r="C23">
            <v>6.2946263064558819E-2</v>
          </cell>
          <cell r="D23">
            <v>0.18468501273400764</v>
          </cell>
          <cell r="E23">
            <v>13.955473868556618</v>
          </cell>
        </row>
        <row r="24">
          <cell r="B24">
            <v>0.54624142319000002</v>
          </cell>
          <cell r="C24">
            <v>1.2481575492952857E-2</v>
          </cell>
          <cell r="D24">
            <v>3.6621076718919163E-2</v>
          </cell>
          <cell r="E24">
            <v>2.767222264674738</v>
          </cell>
        </row>
        <row r="25">
          <cell r="B25">
            <v>-3.5526914399999984E-3</v>
          </cell>
          <cell r="C25">
            <v>-8.1178732569506021E-5</v>
          </cell>
          <cell r="D25">
            <v>-2.3817927432726624E-4</v>
          </cell>
          <cell r="E25">
            <v>-1.7997695588288971E-2</v>
          </cell>
        </row>
        <row r="26">
          <cell r="B26">
            <v>155.40756120815036</v>
          </cell>
          <cell r="C26">
            <v>3.5510511013012662</v>
          </cell>
          <cell r="D26">
            <v>10.418822118007377</v>
          </cell>
          <cell r="E26">
            <v>787.28423956308382</v>
          </cell>
        </row>
      </sheetData>
      <sheetData sheetId="3">
        <row r="5">
          <cell r="B5">
            <v>4376.3819999999996</v>
          </cell>
          <cell r="C5"/>
          <cell r="D5"/>
          <cell r="E5"/>
        </row>
        <row r="6">
          <cell r="B6">
            <v>197397018</v>
          </cell>
          <cell r="C6"/>
          <cell r="D6"/>
          <cell r="E6"/>
        </row>
        <row r="7">
          <cell r="B7">
            <v>1491.6039399458755</v>
          </cell>
          <cell r="C7">
            <v>34.08303799681736</v>
          </cell>
          <cell r="D7">
            <v>100.00000000000001</v>
          </cell>
          <cell r="E7">
            <v>7556.3651115837802</v>
          </cell>
        </row>
        <row r="8">
          <cell r="B8"/>
          <cell r="C8"/>
          <cell r="D8"/>
          <cell r="E8">
            <v>0</v>
          </cell>
        </row>
        <row r="9">
          <cell r="B9">
            <v>620.83784995522001</v>
          </cell>
          <cell r="C9">
            <v>14.186098241771857</v>
          </cell>
          <cell r="D9">
            <v>41.622164793808992</v>
          </cell>
          <cell r="E9">
            <v>3145.1227391652897</v>
          </cell>
        </row>
        <row r="10">
          <cell r="B10">
            <v>380.84058554271002</v>
          </cell>
          <cell r="C10">
            <v>8.7021787755892888</v>
          </cell>
          <cell r="D10">
            <v>25.532286107834313</v>
          </cell>
          <cell r="E10">
            <v>1929.3127596421443</v>
          </cell>
        </row>
        <row r="11">
          <cell r="B11">
            <v>317.83716904283551</v>
          </cell>
          <cell r="C11">
            <v>7.2625554406090584</v>
          </cell>
          <cell r="D11">
            <v>21.308415761785167</v>
          </cell>
          <cell r="E11">
            <v>1610.1416944547536</v>
          </cell>
        </row>
        <row r="12">
          <cell r="B12">
            <v>52.49007476928999</v>
          </cell>
          <cell r="C12">
            <v>1.1993942660693238</v>
          </cell>
          <cell r="D12">
            <v>3.5190356745232689</v>
          </cell>
          <cell r="E12">
            <v>265.91118397386322</v>
          </cell>
        </row>
        <row r="13">
          <cell r="B13">
            <v>26.644493091240001</v>
          </cell>
          <cell r="C13">
            <v>0.60882466592815709</v>
          </cell>
          <cell r="D13">
            <v>1.7862981169255177</v>
          </cell>
          <cell r="E13">
            <v>134.97920769623786</v>
          </cell>
        </row>
        <row r="14">
          <cell r="B14">
            <v>23.824453855030001</v>
          </cell>
          <cell r="C14">
            <v>0.54438698118742845</v>
          </cell>
          <cell r="D14">
            <v>1.5972372569553885</v>
          </cell>
          <cell r="E14">
            <v>120.69307883379474</v>
          </cell>
        </row>
        <row r="15">
          <cell r="B15">
            <v>31.866925798960001</v>
          </cell>
          <cell r="C15">
            <v>0.72815686105463384</v>
          </cell>
          <cell r="D15">
            <v>2.1364200606842276</v>
          </cell>
          <cell r="E15">
            <v>161.43570010241999</v>
          </cell>
        </row>
        <row r="16">
          <cell r="B16">
            <v>37.262387890590006</v>
          </cell>
          <cell r="C16">
            <v>0.85144276460761437</v>
          </cell>
          <cell r="D16">
            <v>2.4981422274831289</v>
          </cell>
          <cell r="E16">
            <v>188.76874771527704</v>
          </cell>
        </row>
      </sheetData>
      <sheetData sheetId="4">
        <row r="5">
          <cell r="B5">
            <v>4376.3819999999996</v>
          </cell>
          <cell r="C5"/>
          <cell r="D5"/>
          <cell r="E5"/>
        </row>
        <row r="6">
          <cell r="B6">
            <v>197397018</v>
          </cell>
          <cell r="C6"/>
          <cell r="D6"/>
          <cell r="E6"/>
        </row>
        <row r="7">
          <cell r="B7">
            <v>1491.6039399458755</v>
          </cell>
          <cell r="C7">
            <v>34.08303799681736</v>
          </cell>
          <cell r="D7">
            <v>100.00000000000001</v>
          </cell>
          <cell r="E7">
            <v>7556.3651115837802</v>
          </cell>
        </row>
        <row r="8">
          <cell r="B8"/>
          <cell r="C8"/>
          <cell r="D8"/>
          <cell r="E8">
            <v>0</v>
          </cell>
        </row>
        <row r="9">
          <cell r="B9">
            <v>846.07621579573379</v>
          </cell>
          <cell r="C9">
            <v>19.332777984091283</v>
          </cell>
          <cell r="D9">
            <v>56.722578503408528</v>
          </cell>
          <cell r="E9">
            <v>4286.165132422283</v>
          </cell>
        </row>
        <row r="10">
          <cell r="B10"/>
          <cell r="C10"/>
          <cell r="D10"/>
          <cell r="E10">
            <v>0</v>
          </cell>
        </row>
        <row r="11">
          <cell r="B11">
            <v>367.14425487072282</v>
          </cell>
          <cell r="C11">
            <v>8.3892186484343192</v>
          </cell>
          <cell r="D11">
            <v>24.614057729295421</v>
          </cell>
          <cell r="E11">
            <v>1859.9280708015704</v>
          </cell>
        </row>
        <row r="12">
          <cell r="B12"/>
          <cell r="C12"/>
          <cell r="D12"/>
          <cell r="E12">
            <v>0</v>
          </cell>
        </row>
        <row r="13">
          <cell r="B13">
            <v>278.38346927941893</v>
          </cell>
          <cell r="C13">
            <v>6.3610413642917587</v>
          </cell>
          <cell r="D13">
            <v>18.663363767296058</v>
          </cell>
          <cell r="E13">
            <v>1410.2719083599275</v>
          </cell>
        </row>
        <row r="14">
          <cell r="B14"/>
          <cell r="C14"/>
          <cell r="D14"/>
          <cell r="E14">
            <v>0</v>
          </cell>
        </row>
        <row r="15">
          <cell r="B15"/>
          <cell r="C15"/>
          <cell r="D15"/>
          <cell r="E15">
            <v>0</v>
          </cell>
        </row>
        <row r="16">
          <cell r="B16"/>
          <cell r="C16"/>
          <cell r="D16"/>
          <cell r="E16">
            <v>0</v>
          </cell>
        </row>
        <row r="17">
          <cell r="B17">
            <v>88.797392151494819</v>
          </cell>
          <cell r="C17">
            <v>2.0290137412934892</v>
          </cell>
          <cell r="D17">
            <v>5.9531481362751668</v>
          </cell>
          <cell r="E17">
            <v>449.84160881039656</v>
          </cell>
        </row>
        <row r="18">
          <cell r="B18">
            <v>48.07019249576998</v>
          </cell>
          <cell r="C18">
            <v>1.0984002880865973</v>
          </cell>
          <cell r="D18">
            <v>3.222718257067239</v>
          </cell>
          <cell r="E18">
            <v>243.52035802166972</v>
          </cell>
        </row>
        <row r="19">
          <cell r="B19">
            <v>3.52816145234</v>
          </cell>
          <cell r="C19">
            <v>8.0618224193866078E-2</v>
          </cell>
          <cell r="D19">
            <v>0.23653473672562325</v>
          </cell>
          <cell r="E19">
            <v>17.873428322711543</v>
          </cell>
        </row>
        <row r="20">
          <cell r="B20">
            <v>2.0788012800000001E-3</v>
          </cell>
          <cell r="C20">
            <v>4.7500453114010623E-5</v>
          </cell>
          <cell r="D20">
            <v>1.3936684024013987E-4</v>
          </cell>
          <cell r="E20">
            <v>1.0531067293022634E-2</v>
          </cell>
        </row>
        <row r="21">
          <cell r="B21">
            <v>1.1731580264400001</v>
          </cell>
          <cell r="C21">
            <v>2.6806572790949241E-2</v>
          </cell>
          <cell r="D21">
            <v>7.865077283736388E-2</v>
          </cell>
          <cell r="E21">
            <v>5.9431395586735762</v>
          </cell>
        </row>
        <row r="22">
          <cell r="B22">
            <v>14.507745195920002</v>
          </cell>
          <cell r="C22">
            <v>0.33150088808335293</v>
          </cell>
          <cell r="D22">
            <v>0.97262717048377001</v>
          </cell>
          <cell r="E22">
            <v>73.4952601762201</v>
          </cell>
        </row>
        <row r="23">
          <cell r="B23">
            <v>8.7435879884133385</v>
          </cell>
          <cell r="C23">
            <v>0.19979032882443395</v>
          </cell>
          <cell r="D23">
            <v>0.58618697324777846</v>
          </cell>
          <cell r="E23">
            <v>44.294427935144071</v>
          </cell>
        </row>
        <row r="24">
          <cell r="B24">
            <v>1.4624999999999999</v>
          </cell>
          <cell r="C24">
            <v>3.3418015154984188E-2</v>
          </cell>
          <cell r="D24">
            <v>9.8048815830633185E-2</v>
          </cell>
          <cell r="E24">
            <v>7.4089265117470013</v>
          </cell>
        </row>
        <row r="25">
          <cell r="B25">
            <v>1.5897450392999999</v>
          </cell>
          <cell r="C25">
            <v>3.6325554745906548E-2</v>
          </cell>
          <cell r="D25">
            <v>0.1065795682570861</v>
          </cell>
          <cell r="E25">
            <v>8.053541311855076</v>
          </cell>
        </row>
        <row r="26">
          <cell r="B26">
            <v>9.7202231520314992</v>
          </cell>
          <cell r="C26">
            <v>0.22210636896028502</v>
          </cell>
          <cell r="D26">
            <v>0.65166247498543139</v>
          </cell>
          <cell r="E26">
            <v>49.241995905082518</v>
          </cell>
        </row>
        <row r="27">
          <cell r="B27"/>
          <cell r="C27"/>
          <cell r="D27"/>
          <cell r="E27">
            <v>0</v>
          </cell>
        </row>
        <row r="28">
          <cell r="B28">
            <v>82.133487171021471</v>
          </cell>
          <cell r="C28">
            <v>1.8767440130002699</v>
          </cell>
          <cell r="D28">
            <v>5.5063871160062625</v>
          </cell>
          <cell r="E28">
            <v>416.08271494264147</v>
          </cell>
        </row>
        <row r="29">
          <cell r="B29">
            <v>53.097363070559979</v>
          </cell>
          <cell r="C29">
            <v>1.2132707581413136</v>
          </cell>
          <cell r="D29">
            <v>3.5597494514855379</v>
          </cell>
          <cell r="E29">
            <v>268.98766561184823</v>
          </cell>
        </row>
        <row r="30">
          <cell r="B30">
            <v>0.39687323261000007</v>
          </cell>
          <cell r="C30">
            <v>9.0685235569015719E-3</v>
          </cell>
          <cell r="D30">
            <v>2.6607145635751079E-2</v>
          </cell>
          <cell r="E30">
            <v>2.0105330700081807</v>
          </cell>
        </row>
        <row r="31">
          <cell r="B31">
            <v>4.8505359200000002E-3</v>
          </cell>
          <cell r="C31">
            <v>1.1083438145938817E-4</v>
          </cell>
          <cell r="D31">
            <v>3.2518926707688961E-4</v>
          </cell>
          <cell r="E31">
            <v>2.457248832401308E-2</v>
          </cell>
        </row>
        <row r="32">
          <cell r="B32">
            <v>0.3868422397600001</v>
          </cell>
          <cell r="C32">
            <v>8.839316123683905E-3</v>
          </cell>
          <cell r="D32">
            <v>2.5934648561872074E-2</v>
          </cell>
          <cell r="E32">
            <v>1.9597167357411656</v>
          </cell>
        </row>
        <row r="33">
          <cell r="B33">
            <v>20.786472945649997</v>
          </cell>
          <cell r="C33">
            <v>0.4749693455838635</v>
          </cell>
          <cell r="D33">
            <v>1.3935651676010092</v>
          </cell>
          <cell r="E33">
            <v>105.3028721317867</v>
          </cell>
        </row>
        <row r="34">
          <cell r="B34">
            <v>0.48749999999999999</v>
          </cell>
          <cell r="C34">
            <v>1.1139338384994729E-2</v>
          </cell>
          <cell r="D34">
            <v>3.2682938610211071E-2</v>
          </cell>
          <cell r="E34">
            <v>2.4696421705823339</v>
          </cell>
        </row>
        <row r="35">
          <cell r="B35">
            <v>0.5199612198500001</v>
          </cell>
          <cell r="C35">
            <v>1.1881074820479568E-2</v>
          </cell>
          <cell r="D35">
            <v>3.4859201288303616E-2</v>
          </cell>
          <cell r="E35">
            <v>2.6340885243261378</v>
          </cell>
        </row>
        <row r="36">
          <cell r="B36">
            <v>6.453623926671499</v>
          </cell>
          <cell r="C36">
            <v>0.14746482200757383</v>
          </cell>
          <cell r="D36">
            <v>0.43266337355650031</v>
          </cell>
          <cell r="E36">
            <v>32.693624210024787</v>
          </cell>
        </row>
        <row r="37">
          <cell r="B37"/>
          <cell r="C37"/>
          <cell r="D37"/>
          <cell r="E37">
            <v>0</v>
          </cell>
        </row>
        <row r="38">
          <cell r="B38">
            <v>102.86191000783748</v>
          </cell>
          <cell r="C38">
            <v>2.3503869179572874</v>
          </cell>
          <cell r="D38">
            <v>6.8960604925440165</v>
          </cell>
          <cell r="E38">
            <v>521.0915091323086</v>
          </cell>
        </row>
        <row r="39">
          <cell r="B39">
            <v>57.783179291807492</v>
          </cell>
          <cell r="C39">
            <v>1.3203413068559255</v>
          </cell>
          <cell r="D39">
            <v>3.873895592814284</v>
          </cell>
          <cell r="E39">
            <v>292.72569503460022</v>
          </cell>
        </row>
        <row r="40">
          <cell r="B40">
            <v>11.969693268704997</v>
          </cell>
          <cell r="C40">
            <v>0.27350659217374074</v>
          </cell>
          <cell r="D40">
            <v>0.80247128263413758</v>
          </cell>
          <cell r="E40">
            <v>60.637660031444845</v>
          </cell>
        </row>
        <row r="41">
          <cell r="B41">
            <v>0.882040363085</v>
          </cell>
          <cell r="C41">
            <v>2.015455604846652E-2</v>
          </cell>
          <cell r="D41">
            <v>5.9133684181405813E-2</v>
          </cell>
          <cell r="E41">
            <v>4.4683570806778858</v>
          </cell>
        </row>
        <row r="42">
          <cell r="B42">
            <v>32.226997084240004</v>
          </cell>
          <cell r="C42">
            <v>0.73638446287915471</v>
          </cell>
          <cell r="D42">
            <v>2.1605599329141891</v>
          </cell>
          <cell r="E42">
            <v>163.25979698558569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GOVDetalhado"/>
      <sheetName val="AD ESFERA"/>
      <sheetName val="PRINCIPAIS TRIBUTOS"/>
      <sheetName val="Bases de Incidência"/>
      <sheetName val="RD ESFERA"/>
      <sheetName val="RD ESFERA DETALHADA"/>
      <sheetName val="Impostos"/>
      <sheetName val="Contribuições"/>
      <sheetName val="Patrimoniais"/>
      <sheetName val="Multas"/>
      <sheetName val="Estados"/>
      <sheetName val="Municipios"/>
      <sheetName val="Transferencias"/>
      <sheetName val="Gráficos"/>
    </sheetNames>
    <sheetDataSet>
      <sheetData sheetId="0">
        <row r="5">
          <cell r="B5">
            <v>4814.76</v>
          </cell>
          <cell r="C5"/>
          <cell r="D5"/>
          <cell r="E5"/>
        </row>
        <row r="6">
          <cell r="B6">
            <v>199242462</v>
          </cell>
          <cell r="C6"/>
          <cell r="D6"/>
          <cell r="E6"/>
        </row>
        <row r="7">
          <cell r="B7">
            <v>1638.1111399890101</v>
          </cell>
          <cell r="C7">
            <v>34.022695627383513</v>
          </cell>
          <cell r="D7">
            <v>99.999999999999957</v>
          </cell>
          <cell r="E7">
            <v>8221.6969392247829</v>
          </cell>
        </row>
        <row r="8">
          <cell r="B8"/>
          <cell r="C8"/>
          <cell r="D8"/>
          <cell r="E8"/>
        </row>
        <row r="9">
          <cell r="B9">
            <v>1111.1551610718998</v>
          </cell>
          <cell r="C9">
            <v>23.078100696024311</v>
          </cell>
          <cell r="D9">
            <v>67.831487983126351</v>
          </cell>
          <cell r="E9">
            <v>5576.8993713393274</v>
          </cell>
        </row>
        <row r="10">
          <cell r="B10">
            <v>235.64137130084998</v>
          </cell>
          <cell r="C10">
            <v>4.8941457372922006</v>
          </cell>
          <cell r="D10">
            <v>14.384944070548888</v>
          </cell>
          <cell r="E10">
            <v>1182.6865063575151</v>
          </cell>
        </row>
        <row r="11">
          <cell r="B11">
            <v>42.5667751079</v>
          </cell>
          <cell r="C11">
            <v>0.88408924033389003</v>
          </cell>
          <cell r="D11">
            <v>2.5985279062436248</v>
          </cell>
          <cell r="E11">
            <v>213.64308933253395</v>
          </cell>
        </row>
        <row r="12">
          <cell r="B12">
            <v>30.998400117089997</v>
          </cell>
          <cell r="C12">
            <v>0.64382025515477392</v>
          </cell>
          <cell r="D12">
            <v>1.8923258233441935</v>
          </cell>
          <cell r="E12">
            <v>155.58129429804976</v>
          </cell>
        </row>
        <row r="13">
          <cell r="B13">
            <v>31.085492404929997</v>
          </cell>
          <cell r="C13">
            <v>0.64562911557232328</v>
          </cell>
          <cell r="D13">
            <v>1.8976424520950719</v>
          </cell>
          <cell r="E13">
            <v>156.0184114013307</v>
          </cell>
        </row>
        <row r="14">
          <cell r="B14">
            <v>0.60943848990000005</v>
          </cell>
          <cell r="C14">
            <v>1.2657712739575803E-2</v>
          </cell>
          <cell r="D14">
            <v>3.720373270302578E-2</v>
          </cell>
          <cell r="E14">
            <v>3.0587781529220419</v>
          </cell>
        </row>
        <row r="15">
          <cell r="B15">
            <v>6.8505461372100021</v>
          </cell>
          <cell r="C15">
            <v>0.14228219344702545</v>
          </cell>
          <cell r="D15">
            <v>0.41819788474522929</v>
          </cell>
          <cell r="E15">
            <v>34.3829626900013</v>
          </cell>
        </row>
        <row r="16">
          <cell r="B16">
            <v>269.00561462611</v>
          </cell>
          <cell r="C16">
            <v>5.5871032954105706</v>
          </cell>
          <cell r="D16">
            <v>16.421694966796615</v>
          </cell>
          <cell r="E16">
            <v>1350.141992453948</v>
          </cell>
        </row>
        <row r="17">
          <cell r="B17">
            <v>174.62599742731999</v>
          </cell>
          <cell r="C17">
            <v>3.6268889296106139</v>
          </cell>
          <cell r="D17">
            <v>10.660204497998317</v>
          </cell>
          <cell r="E17">
            <v>876.44970692703032</v>
          </cell>
        </row>
        <row r="18">
          <cell r="B18">
            <v>-0.26159925335000001</v>
          </cell>
          <cell r="C18">
            <v>-5.4332771176548774E-3</v>
          </cell>
          <cell r="D18">
            <v>-1.596956683609117E-2</v>
          </cell>
          <cell r="E18">
            <v>-1.3129693877703639</v>
          </cell>
        </row>
        <row r="19">
          <cell r="B19">
            <v>55.608133454889995</v>
          </cell>
          <cell r="C19">
            <v>1.154951305047188</v>
          </cell>
          <cell r="D19">
            <v>3.3946496118244482</v>
          </cell>
          <cell r="E19">
            <v>279.0978032327767</v>
          </cell>
        </row>
        <row r="20">
          <cell r="B20">
            <v>46.352208561249995</v>
          </cell>
          <cell r="C20">
            <v>0.9627106763628922</v>
          </cell>
          <cell r="D20">
            <v>2.8296131702981371</v>
          </cell>
          <cell r="E20">
            <v>232.64221941430333</v>
          </cell>
        </row>
        <row r="21">
          <cell r="B21">
            <v>12.509357820749999</v>
          </cell>
          <cell r="C21">
            <v>0.25981269722166833</v>
          </cell>
          <cell r="D21">
            <v>0.76364524453657767</v>
          </cell>
          <cell r="E21">
            <v>62.784597696599434</v>
          </cell>
        </row>
        <row r="22">
          <cell r="B22">
            <v>7.9935478644200009</v>
          </cell>
          <cell r="C22">
            <v>0.16602173035457635</v>
          </cell>
          <cell r="D22">
            <v>0.48797347562593507</v>
          </cell>
          <cell r="E22">
            <v>40.119700309766301</v>
          </cell>
        </row>
        <row r="23">
          <cell r="B23">
            <v>83.033513518829992</v>
          </cell>
          <cell r="C23">
            <v>1.7245618373258478</v>
          </cell>
          <cell r="D23">
            <v>5.0688571423418214</v>
          </cell>
          <cell r="E23">
            <v>416.7460725255944</v>
          </cell>
        </row>
        <row r="24">
          <cell r="B24">
            <v>47.28406906507</v>
          </cell>
          <cell r="C24">
            <v>0.98206492255211064</v>
          </cell>
          <cell r="D24">
            <v>2.8864994511536755</v>
          </cell>
          <cell r="E24">
            <v>237.31923702624192</v>
          </cell>
        </row>
        <row r="25">
          <cell r="B25">
            <v>14.77450896004</v>
          </cell>
          <cell r="C25">
            <v>0.30685867956118268</v>
          </cell>
          <cell r="D25">
            <v>0.90192347755715263</v>
          </cell>
          <cell r="E25">
            <v>74.153414948466164</v>
          </cell>
        </row>
        <row r="26">
          <cell r="B26">
            <v>13.51892</v>
          </cell>
          <cell r="C26">
            <v>0.28078076581179534</v>
          </cell>
          <cell r="D26">
            <v>0.82527489557825062</v>
          </cell>
          <cell r="E26">
            <v>67.851600829947586</v>
          </cell>
        </row>
        <row r="27">
          <cell r="B27">
            <v>38.95886546869</v>
          </cell>
          <cell r="C27">
            <v>0.80915487934372621</v>
          </cell>
          <cell r="D27">
            <v>2.3782797465714904</v>
          </cell>
          <cell r="E27">
            <v>195.53495313007124</v>
          </cell>
        </row>
        <row r="28">
          <cell r="B28"/>
          <cell r="C28"/>
          <cell r="D28"/>
          <cell r="E28"/>
        </row>
        <row r="29">
          <cell r="B29">
            <v>421.75593081329015</v>
          </cell>
          <cell r="C29">
            <v>8.7596459805533442</v>
          </cell>
          <cell r="D29">
            <v>25.746478399269026</v>
          </cell>
          <cell r="E29">
            <v>2116.7974265108719</v>
          </cell>
        </row>
        <row r="30">
          <cell r="B30">
            <v>323.41528234080005</v>
          </cell>
          <cell r="C30">
            <v>6.7171631055504335</v>
          </cell>
          <cell r="D30">
            <v>19.743183136094768</v>
          </cell>
          <cell r="E30">
            <v>1623.2246836058473</v>
          </cell>
        </row>
        <row r="31">
          <cell r="B31">
            <v>26.685160329119999</v>
          </cell>
          <cell r="C31">
            <v>0.5542365627595145</v>
          </cell>
          <cell r="D31">
            <v>1.6290201365274291</v>
          </cell>
          <cell r="E31">
            <v>133.93309870423101</v>
          </cell>
        </row>
        <row r="32">
          <cell r="B32">
            <v>3.3911116083399997</v>
          </cell>
          <cell r="C32">
            <v>7.0431581394295867E-2</v>
          </cell>
          <cell r="D32">
            <v>0.20701352463562087</v>
          </cell>
          <cell r="E32">
            <v>17.020024618748185</v>
          </cell>
        </row>
        <row r="33">
          <cell r="B33">
            <v>20.641857662767997</v>
          </cell>
          <cell r="C33">
            <v>0.42872038612034652</v>
          </cell>
          <cell r="D33">
            <v>1.2601011713348385</v>
          </cell>
          <cell r="E33">
            <v>103.60169943477209</v>
          </cell>
        </row>
        <row r="34">
          <cell r="B34">
            <v>13.600959551550002</v>
          </cell>
          <cell r="C34">
            <v>0.28248468358859014</v>
          </cell>
          <cell r="D34">
            <v>0.83028307539873314</v>
          </cell>
          <cell r="E34">
            <v>68.263358196959047</v>
          </cell>
        </row>
        <row r="35">
          <cell r="B35">
            <v>22.362687631592149</v>
          </cell>
          <cell r="C35">
            <v>0.46446110775183286</v>
          </cell>
          <cell r="D35">
            <v>1.3651508182614625</v>
          </cell>
          <cell r="E35">
            <v>112.23856304080476</v>
          </cell>
        </row>
        <row r="36">
          <cell r="B36">
            <v>0.98555356703999997</v>
          </cell>
          <cell r="C36">
            <v>2.0469422505794681E-2</v>
          </cell>
          <cell r="D36">
            <v>6.0164023244882618E-2</v>
          </cell>
          <cell r="E36">
            <v>4.9465036576390027</v>
          </cell>
        </row>
        <row r="37">
          <cell r="B37">
            <v>10.67331812208</v>
          </cell>
          <cell r="C37">
            <v>0.22167913088253616</v>
          </cell>
          <cell r="D37">
            <v>0.65156251377129404</v>
          </cell>
          <cell r="E37">
            <v>53.569495251870556</v>
          </cell>
        </row>
        <row r="38">
          <cell r="B38"/>
          <cell r="C38"/>
          <cell r="D38"/>
          <cell r="E38"/>
        </row>
        <row r="39">
          <cell r="B39">
            <v>105.20004810382001</v>
          </cell>
          <cell r="C39">
            <v>2.1849489508058557</v>
          </cell>
          <cell r="D39">
            <v>6.4220336176045896</v>
          </cell>
          <cell r="E39">
            <v>528.00014137458311</v>
          </cell>
        </row>
        <row r="40">
          <cell r="B40">
            <v>42.316509592660005</v>
          </cell>
          <cell r="C40">
            <v>0.8788913589184093</v>
          </cell>
          <cell r="D40">
            <v>2.5832502178664076</v>
          </cell>
          <cell r="E40">
            <v>212.38700409483999</v>
          </cell>
        </row>
        <row r="41">
          <cell r="B41">
            <v>20.246647526210001</v>
          </cell>
          <cell r="C41">
            <v>0.42051208214345059</v>
          </cell>
          <cell r="D41">
            <v>1.2359752053420399</v>
          </cell>
          <cell r="E41">
            <v>101.61813562718375</v>
          </cell>
        </row>
        <row r="42">
          <cell r="B42">
            <v>7.9039373667400001</v>
          </cell>
          <cell r="C42">
            <v>0.16416056806029791</v>
          </cell>
          <cell r="D42">
            <v>0.48250312044108462</v>
          </cell>
          <cell r="E42">
            <v>39.669944284968729</v>
          </cell>
        </row>
        <row r="43">
          <cell r="B43">
            <v>8.1085416585499992</v>
          </cell>
          <cell r="C43">
            <v>0.16841009019244987</v>
          </cell>
          <cell r="D43">
            <v>0.49499337747037103</v>
          </cell>
          <cell r="E43">
            <v>40.696855364846876</v>
          </cell>
        </row>
        <row r="44">
          <cell r="B44">
            <v>5.320119824209999</v>
          </cell>
          <cell r="C44">
            <v>0.11049605430405667</v>
          </cell>
          <cell r="D44">
            <v>0.32477160397344523</v>
          </cell>
          <cell r="E44">
            <v>26.701737023355992</v>
          </cell>
        </row>
        <row r="45">
          <cell r="B45">
            <v>7.8656269151600009</v>
          </cell>
          <cell r="C45">
            <v>0.1633648803919614</v>
          </cell>
          <cell r="D45">
            <v>0.48016442371625462</v>
          </cell>
          <cell r="E45">
            <v>39.477663727925631</v>
          </cell>
        </row>
        <row r="46">
          <cell r="B46">
            <v>3.6210899553800013</v>
          </cell>
          <cell r="C46">
            <v>7.5208109134827103E-2</v>
          </cell>
          <cell r="D46">
            <v>0.22105276418572517</v>
          </cell>
          <cell r="E46">
            <v>18.174288347129547</v>
          </cell>
        </row>
        <row r="47">
          <cell r="B47">
            <v>9.8175752649100012</v>
          </cell>
          <cell r="C47">
            <v>0.20390580766040259</v>
          </cell>
          <cell r="D47">
            <v>0.59932290460926008</v>
          </cell>
          <cell r="E47">
            <v>49.274512904332617</v>
          </cell>
        </row>
      </sheetData>
      <sheetData sheetId="1">
        <row r="5">
          <cell r="B5">
            <v>4814.76</v>
          </cell>
          <cell r="C5"/>
          <cell r="D5"/>
          <cell r="E5"/>
        </row>
        <row r="6">
          <cell r="B6">
            <v>199242462</v>
          </cell>
          <cell r="C6"/>
          <cell r="D6"/>
          <cell r="E6"/>
        </row>
        <row r="7">
          <cell r="B7">
            <v>1638.1111399890101</v>
          </cell>
          <cell r="C7">
            <v>34.022695627383506</v>
          </cell>
          <cell r="D7">
            <v>100</v>
          </cell>
          <cell r="E7">
            <v>8221.6969392247829</v>
          </cell>
        </row>
        <row r="8">
          <cell r="B8"/>
          <cell r="C8"/>
          <cell r="D8"/>
          <cell r="E8">
            <v>0</v>
          </cell>
        </row>
        <row r="9">
          <cell r="B9">
            <v>1111.1551610718998</v>
          </cell>
          <cell r="C9">
            <v>23.078100696024308</v>
          </cell>
          <cell r="D9">
            <v>67.83148798312638</v>
          </cell>
          <cell r="E9">
            <v>5576.8993713393274</v>
          </cell>
        </row>
        <row r="10">
          <cell r="B10">
            <v>340.90147742067001</v>
          </cell>
          <cell r="C10">
            <v>7.0803420610927645</v>
          </cell>
          <cell r="D10">
            <v>20.810643984934813</v>
          </cell>
          <cell r="E10">
            <v>1710.9880795423517</v>
          </cell>
        </row>
        <row r="11">
          <cell r="B11">
            <v>325.12107483531997</v>
          </cell>
          <cell r="C11">
            <v>6.7525915068522622</v>
          </cell>
          <cell r="D11">
            <v>19.84731480658273</v>
          </cell>
          <cell r="E11">
            <v>1631.7860739711193</v>
          </cell>
        </row>
        <row r="12">
          <cell r="B12">
            <v>269.00561462611</v>
          </cell>
          <cell r="C12">
            <v>5.5871032954105706</v>
          </cell>
          <cell r="D12">
            <v>16.421694966796618</v>
          </cell>
          <cell r="E12">
            <v>1350.141992453948</v>
          </cell>
        </row>
        <row r="13">
          <cell r="B13">
            <v>83.033513518829992</v>
          </cell>
          <cell r="C13">
            <v>1.7245618373258478</v>
          </cell>
          <cell r="D13">
            <v>5.0688571423418223</v>
          </cell>
          <cell r="E13">
            <v>416.7460725255944</v>
          </cell>
        </row>
        <row r="14">
          <cell r="B14">
            <v>93.093480670969996</v>
          </cell>
          <cell r="C14">
            <v>1.9335019953428623</v>
          </cell>
          <cell r="D14">
            <v>5.6829770824703969</v>
          </cell>
          <cell r="E14">
            <v>467.23715284631447</v>
          </cell>
        </row>
        <row r="15">
          <cell r="B15"/>
          <cell r="C15"/>
          <cell r="D15"/>
          <cell r="E15">
            <v>0</v>
          </cell>
        </row>
        <row r="16">
          <cell r="B16">
            <v>421.75593081329021</v>
          </cell>
          <cell r="C16">
            <v>8.7596459805533442</v>
          </cell>
          <cell r="D16">
            <v>25.746478399269034</v>
          </cell>
          <cell r="E16">
            <v>2116.7974265108719</v>
          </cell>
        </row>
        <row r="17">
          <cell r="B17">
            <v>323.41528234080005</v>
          </cell>
          <cell r="C17">
            <v>6.7171631055504335</v>
          </cell>
          <cell r="D17">
            <v>19.743183136094771</v>
          </cell>
          <cell r="E17">
            <v>1623.2246836058473</v>
          </cell>
        </row>
        <row r="18">
          <cell r="B18">
            <v>26.685160329119999</v>
          </cell>
          <cell r="C18">
            <v>0.5542365627595145</v>
          </cell>
          <cell r="D18">
            <v>1.6290201365274295</v>
          </cell>
          <cell r="E18">
            <v>133.93309870423101</v>
          </cell>
        </row>
        <row r="19">
          <cell r="B19">
            <v>71.65548814337015</v>
          </cell>
          <cell r="C19">
            <v>1.4882463122433962</v>
          </cell>
          <cell r="D19">
            <v>4.3742751266468325</v>
          </cell>
          <cell r="E19">
            <v>359.63964420079367</v>
          </cell>
        </row>
        <row r="20">
          <cell r="B20"/>
          <cell r="C20"/>
          <cell r="D20"/>
          <cell r="E20">
            <v>0</v>
          </cell>
        </row>
        <row r="21">
          <cell r="B21">
            <v>105.20004810382001</v>
          </cell>
          <cell r="C21">
            <v>2.1849489508058553</v>
          </cell>
          <cell r="D21">
            <v>6.4220336176045887</v>
          </cell>
          <cell r="E21">
            <v>528.00014137458311</v>
          </cell>
        </row>
        <row r="22">
          <cell r="B22">
            <v>42.316509592660005</v>
          </cell>
          <cell r="C22">
            <v>0.8788913589184093</v>
          </cell>
          <cell r="D22">
            <v>2.5832502178664081</v>
          </cell>
          <cell r="E22">
            <v>212.38700409483999</v>
          </cell>
        </row>
        <row r="23">
          <cell r="B23">
            <v>20.246647526210001</v>
          </cell>
          <cell r="C23">
            <v>0.42051208214345059</v>
          </cell>
          <cell r="D23">
            <v>1.2359752053420401</v>
          </cell>
          <cell r="E23">
            <v>101.61813562718375</v>
          </cell>
        </row>
        <row r="24">
          <cell r="B24">
            <v>42.63689098495</v>
          </cell>
          <cell r="C24">
            <v>0.88554550974399548</v>
          </cell>
          <cell r="D24">
            <v>2.602808194396141</v>
          </cell>
          <cell r="E24">
            <v>213.99500165255938</v>
          </cell>
        </row>
      </sheetData>
      <sheetData sheetId="2">
        <row r="5">
          <cell r="B5">
            <v>4814.76</v>
          </cell>
          <cell r="C5"/>
          <cell r="D5"/>
          <cell r="E5"/>
        </row>
        <row r="6">
          <cell r="B6">
            <v>199242462</v>
          </cell>
          <cell r="C6"/>
          <cell r="D6"/>
          <cell r="E6"/>
        </row>
        <row r="7">
          <cell r="B7">
            <v>1638.1111399890101</v>
          </cell>
          <cell r="C7">
            <v>34.022695627383506</v>
          </cell>
          <cell r="D7">
            <v>99.984030433163923</v>
          </cell>
          <cell r="E7">
            <v>8221.6969392247829</v>
          </cell>
        </row>
        <row r="8">
          <cell r="B8"/>
          <cell r="C8"/>
          <cell r="D8"/>
          <cell r="E8">
            <v>0</v>
          </cell>
        </row>
        <row r="9">
          <cell r="B9">
            <v>323.41528234080005</v>
          </cell>
          <cell r="C9">
            <v>6.7171631055504335</v>
          </cell>
          <cell r="D9">
            <v>19.743183136094771</v>
          </cell>
          <cell r="E9">
            <v>1623.2246836058473</v>
          </cell>
        </row>
        <row r="10">
          <cell r="B10">
            <v>297.29904358614999</v>
          </cell>
          <cell r="C10">
            <v>6.1747427407835485</v>
          </cell>
          <cell r="D10">
            <v>18.148893339932023</v>
          </cell>
          <cell r="E10">
            <v>1492.1470082323615</v>
          </cell>
        </row>
        <row r="11">
          <cell r="B11">
            <v>264.391770622168</v>
          </cell>
          <cell r="C11">
            <v>5.4912762136049977</v>
          </cell>
          <cell r="D11">
            <v>16.140038619354101</v>
          </cell>
          <cell r="E11">
            <v>1326.9850611571342</v>
          </cell>
        </row>
        <row r="12">
          <cell r="B12">
            <v>174.62599742731999</v>
          </cell>
          <cell r="C12">
            <v>3.6268889296106139</v>
          </cell>
          <cell r="D12">
            <v>10.660204497998318</v>
          </cell>
          <cell r="E12">
            <v>876.44970692703032</v>
          </cell>
        </row>
        <row r="13">
          <cell r="B13">
            <v>83.033513518829992</v>
          </cell>
          <cell r="C13">
            <v>1.7245618373258478</v>
          </cell>
          <cell r="D13">
            <v>5.0688571423418223</v>
          </cell>
          <cell r="E13">
            <v>416.7460725255944</v>
          </cell>
        </row>
        <row r="14">
          <cell r="B14">
            <v>42.5667751079</v>
          </cell>
          <cell r="C14">
            <v>0.88408924033389003</v>
          </cell>
          <cell r="D14">
            <v>2.5985279062436248</v>
          </cell>
          <cell r="E14">
            <v>213.64308933253395</v>
          </cell>
        </row>
        <row r="15">
          <cell r="B15">
            <v>55.608133454889995</v>
          </cell>
          <cell r="C15">
            <v>1.154951305047188</v>
          </cell>
          <cell r="D15">
            <v>3.3946496118244491</v>
          </cell>
          <cell r="E15">
            <v>279.0978032327767</v>
          </cell>
        </row>
        <row r="16">
          <cell r="B16">
            <v>46.352208561249995</v>
          </cell>
          <cell r="C16">
            <v>0.9627106763628922</v>
          </cell>
          <cell r="D16">
            <v>2.8296131702981375</v>
          </cell>
          <cell r="E16">
            <v>232.64221941430333</v>
          </cell>
        </row>
        <row r="17">
          <cell r="B17">
            <v>42.316509592660005</v>
          </cell>
          <cell r="C17">
            <v>0.8788913589184093</v>
          </cell>
          <cell r="D17">
            <v>2.5832502178664081</v>
          </cell>
          <cell r="E17">
            <v>212.38700409483999</v>
          </cell>
        </row>
        <row r="18">
          <cell r="B18">
            <v>31.085492404929997</v>
          </cell>
          <cell r="C18">
            <v>0.64562911557232328</v>
          </cell>
          <cell r="D18">
            <v>1.8976424520950723</v>
          </cell>
          <cell r="E18">
            <v>156.0184114013307</v>
          </cell>
        </row>
        <row r="19">
          <cell r="B19">
            <v>26.685160329119999</v>
          </cell>
          <cell r="C19">
            <v>0.5542365627595145</v>
          </cell>
          <cell r="D19">
            <v>1.6290201365274295</v>
          </cell>
          <cell r="E19">
            <v>133.93309870423101</v>
          </cell>
        </row>
        <row r="20">
          <cell r="B20">
            <v>20.246647526210001</v>
          </cell>
          <cell r="C20">
            <v>0.42051208214345059</v>
          </cell>
          <cell r="D20">
            <v>1.2359752053420401</v>
          </cell>
          <cell r="E20">
            <v>101.61813562718375</v>
          </cell>
        </row>
        <row r="21">
          <cell r="B21">
            <v>30.998400117089997</v>
          </cell>
          <cell r="C21">
            <v>0.64382025515477392</v>
          </cell>
          <cell r="D21">
            <v>1.8923258233441937</v>
          </cell>
          <cell r="E21">
            <v>155.58129429804976</v>
          </cell>
        </row>
        <row r="22">
          <cell r="B22">
            <v>7.9039373667400001</v>
          </cell>
          <cell r="C22">
            <v>0.16416056806029791</v>
          </cell>
          <cell r="D22">
            <v>0.48250312044108473</v>
          </cell>
          <cell r="E22">
            <v>39.669944284968729</v>
          </cell>
        </row>
        <row r="23">
          <cell r="B23">
            <v>3.3911116083399997</v>
          </cell>
          <cell r="C23">
            <v>7.0431581394295867E-2</v>
          </cell>
          <cell r="D23">
            <v>0.20701352463562092</v>
          </cell>
          <cell r="E23">
            <v>17.020024618748185</v>
          </cell>
        </row>
        <row r="24">
          <cell r="B24">
            <v>0.60943848990000005</v>
          </cell>
          <cell r="C24">
            <v>1.2657712739575803E-2</v>
          </cell>
          <cell r="D24">
            <v>3.7203732703025787E-2</v>
          </cell>
          <cell r="E24">
            <v>3.0587781529220419</v>
          </cell>
        </row>
        <row r="25">
          <cell r="B25">
            <v>-0.26159925335000001</v>
          </cell>
          <cell r="C25">
            <v>-5.4332771176548774E-3</v>
          </cell>
          <cell r="D25">
            <v>-1.596956683609117E-2</v>
          </cell>
          <cell r="E25">
            <v>-1.3129693877703639</v>
          </cell>
        </row>
        <row r="26">
          <cell r="B26">
            <v>187.58171793471251</v>
          </cell>
          <cell r="C26">
            <v>3.8959723420214614</v>
          </cell>
          <cell r="D26">
            <v>11.4510983629579</v>
          </cell>
          <cell r="E26">
            <v>941.47460361492881</v>
          </cell>
        </row>
      </sheetData>
      <sheetData sheetId="3">
        <row r="5">
          <cell r="B5">
            <v>4814.76</v>
          </cell>
          <cell r="C5"/>
          <cell r="D5"/>
          <cell r="E5"/>
        </row>
        <row r="6">
          <cell r="B6">
            <v>199242462</v>
          </cell>
          <cell r="C6"/>
          <cell r="D6"/>
          <cell r="E6"/>
        </row>
        <row r="7">
          <cell r="B7">
            <v>1638.1111399890103</v>
          </cell>
          <cell r="C7">
            <v>34.022695627383499</v>
          </cell>
          <cell r="D7">
            <v>99.999999999999986</v>
          </cell>
          <cell r="E7">
            <v>8221.6969392247829</v>
          </cell>
        </row>
        <row r="8">
          <cell r="B8"/>
          <cell r="C8"/>
          <cell r="D8"/>
          <cell r="E8">
            <v>0</v>
          </cell>
        </row>
        <row r="9">
          <cell r="B9">
            <v>681.16748561742008</v>
          </cell>
          <cell r="C9">
            <v>14.147485764968973</v>
          </cell>
          <cell r="D9">
            <v>41.58249516708554</v>
          </cell>
          <cell r="E9">
            <v>3418.7867324055655</v>
          </cell>
        </row>
        <row r="10">
          <cell r="B10">
            <v>425.84936346831216</v>
          </cell>
          <cell r="C10">
            <v>8.8446643959057596</v>
          </cell>
          <cell r="D10">
            <v>25.996365757647499</v>
          </cell>
          <cell r="E10">
            <v>2137.3424078061839</v>
          </cell>
        </row>
        <row r="11">
          <cell r="B11">
            <v>323.76982361932795</v>
          </cell>
          <cell r="C11">
            <v>6.7245267390135322</v>
          </cell>
          <cell r="D11">
            <v>19.764826434273562</v>
          </cell>
          <cell r="E11">
            <v>1625.0041299897607</v>
          </cell>
        </row>
        <row r="12">
          <cell r="B12">
            <v>58.836295320310008</v>
          </cell>
          <cell r="C12">
            <v>1.2219985070971349</v>
          </cell>
          <cell r="D12">
            <v>3.5917157196492009</v>
          </cell>
          <cell r="E12">
            <v>295.29998138805377</v>
          </cell>
        </row>
        <row r="13">
          <cell r="B13">
            <v>31.085492404929997</v>
          </cell>
          <cell r="C13">
            <v>0.64562911557232328</v>
          </cell>
          <cell r="D13">
            <v>1.8976424520950723</v>
          </cell>
          <cell r="E13">
            <v>156.0184114013307</v>
          </cell>
        </row>
        <row r="14">
          <cell r="B14">
            <v>25.771625512970004</v>
          </cell>
          <cell r="C14">
            <v>0.53526293133967218</v>
          </cell>
          <cell r="D14">
            <v>1.5732525641174075</v>
          </cell>
          <cell r="E14">
            <v>129.34805791031636</v>
          </cell>
        </row>
        <row r="15">
          <cell r="B15">
            <v>30.736800863739997</v>
          </cell>
          <cell r="C15">
            <v>0.63838697803711908</v>
          </cell>
          <cell r="D15">
            <v>1.8763562565081024</v>
          </cell>
          <cell r="E15">
            <v>154.2683249102794</v>
          </cell>
        </row>
        <row r="16">
          <cell r="B16">
            <v>60.894253182</v>
          </cell>
          <cell r="C16">
            <v>1.2647411954489942</v>
          </cell>
          <cell r="D16">
            <v>3.7173456486236045</v>
          </cell>
          <cell r="E16">
            <v>305.62889341329259</v>
          </cell>
        </row>
      </sheetData>
      <sheetData sheetId="4">
        <row r="5">
          <cell r="B5">
            <v>4814.76</v>
          </cell>
          <cell r="C5"/>
          <cell r="D5"/>
          <cell r="E5"/>
        </row>
        <row r="6">
          <cell r="B6">
            <v>199242462</v>
          </cell>
          <cell r="C6"/>
          <cell r="D6"/>
          <cell r="E6"/>
        </row>
        <row r="7">
          <cell r="B7">
            <v>1638.1111399890101</v>
          </cell>
          <cell r="C7">
            <v>34.022695627383506</v>
          </cell>
          <cell r="D7">
            <v>99.999999999999986</v>
          </cell>
          <cell r="E7">
            <v>8221.6969392247829</v>
          </cell>
        </row>
        <row r="8">
          <cell r="B8"/>
          <cell r="C8"/>
          <cell r="D8"/>
          <cell r="E8">
            <v>0</v>
          </cell>
        </row>
        <row r="9">
          <cell r="B9">
            <v>939.13956298361222</v>
          </cell>
          <cell r="C9">
            <v>19.505428369921081</v>
          </cell>
          <cell r="D9">
            <v>57.33063771179242</v>
          </cell>
          <cell r="E9">
            <v>4713.5512859884866</v>
          </cell>
        </row>
        <row r="10">
          <cell r="B10"/>
          <cell r="C10">
            <v>0</v>
          </cell>
          <cell r="D10"/>
          <cell r="E10">
            <v>0</v>
          </cell>
        </row>
        <row r="11">
          <cell r="B11">
            <v>401.73030817539234</v>
          </cell>
          <cell r="C11">
            <v>8.3437244675828559</v>
          </cell>
          <cell r="D11">
            <v>24.523995861360635</v>
          </cell>
          <cell r="E11">
            <v>2016.2886171090997</v>
          </cell>
        </row>
        <row r="12">
          <cell r="B12"/>
          <cell r="C12"/>
          <cell r="D12"/>
          <cell r="E12">
            <v>0</v>
          </cell>
        </row>
        <row r="13">
          <cell r="B13">
            <v>297.24126883000548</v>
          </cell>
          <cell r="C13">
            <v>6.1735427898795674</v>
          </cell>
          <cell r="D13">
            <v>18.145366426846937</v>
          </cell>
          <cell r="E13">
            <v>1491.8570361271961</v>
          </cell>
        </row>
        <row r="14">
          <cell r="B14"/>
          <cell r="C14"/>
          <cell r="D14"/>
          <cell r="E14">
            <v>0</v>
          </cell>
        </row>
        <row r="15">
          <cell r="B15"/>
          <cell r="C15"/>
          <cell r="D15"/>
          <cell r="E15">
            <v>0</v>
          </cell>
        </row>
        <row r="16">
          <cell r="B16"/>
          <cell r="C16"/>
          <cell r="D16"/>
          <cell r="E16">
            <v>0</v>
          </cell>
        </row>
        <row r="17">
          <cell r="B17">
            <v>90.299918685317181</v>
          </cell>
          <cell r="C17">
            <v>1.8754812012502635</v>
          </cell>
          <cell r="D17">
            <v>5.5124415237126696</v>
          </cell>
          <cell r="E17">
            <v>453.21623603164062</v>
          </cell>
        </row>
        <row r="18">
          <cell r="B18">
            <v>49.564485811460017</v>
          </cell>
          <cell r="C18">
            <v>1.0294279634179069</v>
          </cell>
          <cell r="D18">
            <v>3.0257095871890924</v>
          </cell>
          <cell r="E18">
            <v>248.76467251975643</v>
          </cell>
        </row>
        <row r="19">
          <cell r="B19">
            <v>3.3935289805300002</v>
          </cell>
          <cell r="C19">
            <v>7.0481788926758548E-2</v>
          </cell>
          <cell r="D19">
            <v>0.20716109534257648</v>
          </cell>
          <cell r="E19">
            <v>17.032157435045146</v>
          </cell>
        </row>
        <row r="20">
          <cell r="B20">
            <v>3.2401432699999998E-3</v>
          </cell>
          <cell r="C20">
            <v>6.7296049439639761E-5</v>
          </cell>
          <cell r="D20">
            <v>1.9779752367850555E-4</v>
          </cell>
          <cell r="E20">
            <v>1.6262312950138108E-2</v>
          </cell>
        </row>
        <row r="21">
          <cell r="B21">
            <v>1.1731580264400001</v>
          </cell>
          <cell r="C21">
            <v>2.4365867175934006E-2</v>
          </cell>
          <cell r="D21">
            <v>7.1616509881488918E-2</v>
          </cell>
          <cell r="E21">
            <v>5.8880924009059878</v>
          </cell>
        </row>
        <row r="22">
          <cell r="B22">
            <v>12.16088671068</v>
          </cell>
          <cell r="C22">
            <v>0.2525751379233856</v>
          </cell>
          <cell r="D22">
            <v>0.74237250536990951</v>
          </cell>
          <cell r="E22">
            <v>61.035617551644187</v>
          </cell>
        </row>
        <row r="23">
          <cell r="B23">
            <v>9.8496726400266716</v>
          </cell>
          <cell r="C23">
            <v>0.20457245304078855</v>
          </cell>
          <cell r="D23">
            <v>0.60128231837143553</v>
          </cell>
          <cell r="E23">
            <v>49.435609965644133</v>
          </cell>
        </row>
        <row r="24">
          <cell r="B24">
            <v>1.4624999999999999</v>
          </cell>
          <cell r="C24">
            <v>3.0375345811629238E-2</v>
          </cell>
          <cell r="D24">
            <v>8.9279656568956103E-2</v>
          </cell>
          <cell r="E24">
            <v>7.3403027914802621</v>
          </cell>
        </row>
        <row r="25">
          <cell r="B25">
            <v>0.84236048269000008</v>
          </cell>
          <cell r="C25">
            <v>1.7495378434023712E-2</v>
          </cell>
          <cell r="D25">
            <v>5.1422669813212515E-2</v>
          </cell>
          <cell r="E25">
            <v>4.2278160701005598</v>
          </cell>
        </row>
        <row r="26">
          <cell r="B26">
            <v>11.850085890220502</v>
          </cell>
          <cell r="C26">
            <v>0.2461199704703973</v>
          </cell>
          <cell r="D26">
            <v>0.72339938365232059</v>
          </cell>
          <cell r="E26">
            <v>59.475704984113783</v>
          </cell>
        </row>
        <row r="27">
          <cell r="B27"/>
          <cell r="C27"/>
          <cell r="D27"/>
          <cell r="E27">
            <v>0</v>
          </cell>
        </row>
        <row r="28">
          <cell r="B28">
            <v>81.715679402970466</v>
          </cell>
          <cell r="C28">
            <v>1.6971911248529619</v>
          </cell>
          <cell r="D28">
            <v>4.9884087476212802</v>
          </cell>
          <cell r="E28">
            <v>410.13184931920011</v>
          </cell>
        </row>
        <row r="29">
          <cell r="B29">
            <v>54.746846968819973</v>
          </cell>
          <cell r="C29">
            <v>1.1370628436063266</v>
          </cell>
          <cell r="D29">
            <v>3.3420715867414992</v>
          </cell>
          <cell r="E29">
            <v>274.77499735382702</v>
          </cell>
        </row>
        <row r="30">
          <cell r="B30">
            <v>0.43742744800000005</v>
          </cell>
          <cell r="C30">
            <v>9.0851350430758756E-3</v>
          </cell>
          <cell r="D30">
            <v>2.67031605683931E-2</v>
          </cell>
          <cell r="E30">
            <v>2.1954529351278547</v>
          </cell>
        </row>
        <row r="31">
          <cell r="B31">
            <v>7.5603333300000002E-3</v>
          </cell>
          <cell r="C31">
            <v>1.5702409528200781E-4</v>
          </cell>
          <cell r="D31">
            <v>4.6152749623879126E-4</v>
          </cell>
          <cell r="E31">
            <v>3.7945392031945482E-2</v>
          </cell>
        </row>
        <row r="32">
          <cell r="B32">
            <v>0.38684223547999996</v>
          </cell>
          <cell r="C32">
            <v>8.0345071297427077E-3</v>
          </cell>
          <cell r="D32">
            <v>2.3615139781211384E-2</v>
          </cell>
          <cell r="E32">
            <v>1.9415652245855102</v>
          </cell>
        </row>
        <row r="33">
          <cell r="B33">
            <v>17.569392124949999</v>
          </cell>
          <cell r="C33">
            <v>0.36490691384305757</v>
          </cell>
          <cell r="D33">
            <v>1.0725396889168257</v>
          </cell>
          <cell r="E33">
            <v>88.180962775645696</v>
          </cell>
        </row>
        <row r="34">
          <cell r="B34">
            <v>0.48749999999999999</v>
          </cell>
          <cell r="C34">
            <v>1.012511527054308E-2</v>
          </cell>
          <cell r="D34">
            <v>2.9759885522985367E-2</v>
          </cell>
          <cell r="E34">
            <v>2.4467675971600871</v>
          </cell>
        </row>
        <row r="35">
          <cell r="B35">
            <v>0.27552193217000004</v>
          </cell>
          <cell r="C35">
            <v>5.7224437390441061E-3</v>
          </cell>
          <cell r="D35">
            <v>1.6819489559899363E-2</v>
          </cell>
          <cell r="E35">
            <v>1.3828474583394779</v>
          </cell>
        </row>
        <row r="36">
          <cell r="B36">
            <v>7.8045883602205004</v>
          </cell>
          <cell r="C36">
            <v>0.16209714212588996</v>
          </cell>
          <cell r="D36">
            <v>0.47643826903422798</v>
          </cell>
          <cell r="E36">
            <v>39.171310582482661</v>
          </cell>
        </row>
        <row r="37">
          <cell r="B37"/>
          <cell r="C37"/>
          <cell r="D37"/>
          <cell r="E37">
            <v>0</v>
          </cell>
        </row>
        <row r="38">
          <cell r="B38">
            <v>110.32554132321501</v>
          </cell>
          <cell r="C38">
            <v>2.2914027142207507</v>
          </cell>
          <cell r="D38">
            <v>6.7349240616210677</v>
          </cell>
          <cell r="E38">
            <v>553.72504543341279</v>
          </cell>
        </row>
        <row r="39">
          <cell r="B39">
            <v>66.385795641642503</v>
          </cell>
          <cell r="C39">
            <v>1.3787976065607113</v>
          </cell>
          <cell r="D39">
            <v>4.0525819049181164</v>
          </cell>
          <cell r="E39">
            <v>333.19100243623018</v>
          </cell>
        </row>
        <row r="40">
          <cell r="B40">
            <v>13.342580164559999</v>
          </cell>
          <cell r="C40">
            <v>0.27711828137975725</v>
          </cell>
          <cell r="D40">
            <v>0.81451006826371475</v>
          </cell>
          <cell r="E40">
            <v>66.966549352115507</v>
          </cell>
        </row>
        <row r="41">
          <cell r="B41">
            <v>0.84838224513250005</v>
          </cell>
          <cell r="C41">
            <v>1.7620447231689637E-2</v>
          </cell>
          <cell r="D41">
            <v>5.1790273835644121E-2</v>
          </cell>
          <cell r="E41">
            <v>4.2580393587612866</v>
          </cell>
        </row>
        <row r="42">
          <cell r="B42">
            <v>29.748783271880004</v>
          </cell>
          <cell r="C42">
            <v>0.61786637904859232</v>
          </cell>
          <cell r="D42">
            <v>1.8160418146035917</v>
          </cell>
          <cell r="E42">
            <v>149.30945428630571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GOVDetalhado"/>
      <sheetName val="AD ESFERA"/>
      <sheetName val="PRINCIPAIS TRIBUTOS"/>
      <sheetName val="Bases de Incidência"/>
      <sheetName val="RD ESFERA"/>
      <sheetName val="RD ESFERA DETALHADA"/>
      <sheetName val="Impostos"/>
      <sheetName val="Contribuições"/>
      <sheetName val="Patrimoniais"/>
      <sheetName val="Multas"/>
      <sheetName val="Estados"/>
      <sheetName val="Municipios"/>
      <sheetName val="Transferencias"/>
      <sheetName val="Gráficos"/>
    </sheetNames>
    <sheetDataSet>
      <sheetData sheetId="0">
        <row r="5">
          <cell r="B5">
            <v>5331.6189999999997</v>
          </cell>
          <cell r="C5"/>
          <cell r="D5"/>
          <cell r="E5"/>
        </row>
        <row r="6">
          <cell r="B6">
            <v>201032714</v>
          </cell>
          <cell r="C6"/>
          <cell r="D6"/>
          <cell r="E6"/>
        </row>
        <row r="7">
          <cell r="B7">
            <v>1792.2460733358776</v>
          </cell>
          <cell r="C7">
            <v>33.615419131334733</v>
          </cell>
          <cell r="D7">
            <v>100</v>
          </cell>
          <cell r="E7">
            <v>8915.1961274117675</v>
          </cell>
        </row>
        <row r="8">
          <cell r="B8"/>
          <cell r="C8"/>
          <cell r="D8"/>
          <cell r="E8"/>
        </row>
        <row r="9">
          <cell r="B9">
            <v>1208.3874362288898</v>
          </cell>
          <cell r="C9">
            <v>22.664549665474784</v>
          </cell>
          <cell r="D9">
            <v>67.423076228574942</v>
          </cell>
          <cell r="E9">
            <v>6010.8994809117976</v>
          </cell>
        </row>
        <row r="10">
          <cell r="B10">
            <v>259.61410802</v>
          </cell>
          <cell r="C10">
            <v>4.8693297105438331</v>
          </cell>
          <cell r="D10">
            <v>14.485405318075806</v>
          </cell>
          <cell r="E10">
            <v>1291.4022939569925</v>
          </cell>
        </row>
        <row r="11">
          <cell r="B11">
            <v>42.70626477479999</v>
          </cell>
          <cell r="C11">
            <v>0.80099993594440999</v>
          </cell>
          <cell r="D11">
            <v>2.3828348913780313</v>
          </cell>
          <cell r="E11">
            <v>212.43440395875066</v>
          </cell>
        </row>
        <row r="12">
          <cell r="B12">
            <v>29.412259601910002</v>
          </cell>
          <cell r="C12">
            <v>0.55165719084409459</v>
          </cell>
          <cell r="D12">
            <v>1.6410837797047291</v>
          </cell>
          <cell r="E12">
            <v>146.30583757581863</v>
          </cell>
        </row>
        <row r="13">
          <cell r="B13">
            <v>36.709334433320002</v>
          </cell>
          <cell r="C13">
            <v>0.68852133720207698</v>
          </cell>
          <cell r="D13">
            <v>2.0482307077952489</v>
          </cell>
          <cell r="E13">
            <v>182.60378474182068</v>
          </cell>
        </row>
        <row r="14">
          <cell r="B14">
            <v>0.75283784435000001</v>
          </cell>
          <cell r="C14">
            <v>1.4120248358894362E-2</v>
          </cell>
          <cell r="D14">
            <v>4.2005272353519828E-2</v>
          </cell>
          <cell r="E14">
            <v>3.7448524141697654</v>
          </cell>
        </row>
        <row r="15">
          <cell r="B15">
            <v>7.1480912228999998</v>
          </cell>
          <cell r="C15">
            <v>0.13406980549247799</v>
          </cell>
          <cell r="D15">
            <v>0.39883425212897117</v>
          </cell>
          <cell r="E15">
            <v>35.556855800593723</v>
          </cell>
        </row>
        <row r="16">
          <cell r="B16">
            <v>292.73610093637996</v>
          </cell>
          <cell r="C16">
            <v>5.4905667666121678</v>
          </cell>
          <cell r="D16">
            <v>16.333477042664974</v>
          </cell>
          <cell r="E16">
            <v>1456.1615127793575</v>
          </cell>
        </row>
        <row r="17">
          <cell r="B17">
            <v>193.12482623354995</v>
          </cell>
          <cell r="C17">
            <v>3.6222548204128984</v>
          </cell>
          <cell r="D17">
            <v>10.775575358024915</v>
          </cell>
          <cell r="E17">
            <v>960.66367702497394</v>
          </cell>
        </row>
        <row r="18">
          <cell r="B18">
            <v>-0.26783296962000008</v>
          </cell>
          <cell r="C18">
            <v>-5.0234829161648663E-3</v>
          </cell>
          <cell r="D18">
            <v>-1.4943984177434245E-2</v>
          </cell>
          <cell r="E18">
            <v>-1.3322854986676451</v>
          </cell>
        </row>
        <row r="19">
          <cell r="B19">
            <v>59.775636327709996</v>
          </cell>
          <cell r="C19">
            <v>1.1211535619426294</v>
          </cell>
          <cell r="D19">
            <v>3.3352360045320455</v>
          </cell>
          <cell r="E19">
            <v>297.34283111608391</v>
          </cell>
        </row>
        <row r="20">
          <cell r="B20">
            <v>49.724601599550006</v>
          </cell>
          <cell r="C20">
            <v>0.93263606419644784</v>
          </cell>
          <cell r="D20">
            <v>2.7744293788295735</v>
          </cell>
          <cell r="E20">
            <v>247.34582053918848</v>
          </cell>
        </row>
        <row r="21">
          <cell r="B21">
            <v>13.38015028105</v>
          </cell>
          <cell r="C21">
            <v>0.25095848523778613</v>
          </cell>
          <cell r="D21">
            <v>0.74655765634602578</v>
          </cell>
          <cell r="E21">
            <v>66.557079267456928</v>
          </cell>
        </row>
        <row r="22">
          <cell r="B22">
            <v>12.488857401049998</v>
          </cell>
          <cell r="C22">
            <v>0.23424137023013081</v>
          </cell>
          <cell r="D22">
            <v>0.69682715933112338</v>
          </cell>
          <cell r="E22">
            <v>62.123507923441743</v>
          </cell>
        </row>
        <row r="23">
          <cell r="B23">
            <v>94.415141165540021</v>
          </cell>
          <cell r="C23">
            <v>1.7708531154521736</v>
          </cell>
          <cell r="D23">
            <v>5.2679786872015129</v>
          </cell>
          <cell r="E23">
            <v>469.65063191426657</v>
          </cell>
        </row>
        <row r="24">
          <cell r="B24">
            <v>46.586910855570004</v>
          </cell>
          <cell r="C24">
            <v>0.87378544595122054</v>
          </cell>
          <cell r="D24">
            <v>2.5993590695310367</v>
          </cell>
          <cell r="E24">
            <v>231.73795910435754</v>
          </cell>
        </row>
        <row r="25">
          <cell r="B25">
            <v>16.560529686530003</v>
          </cell>
          <cell r="C25">
            <v>0.31060977325142708</v>
          </cell>
          <cell r="D25">
            <v>0.92400981834521012</v>
          </cell>
          <cell r="E25">
            <v>82.377287542016688</v>
          </cell>
        </row>
        <row r="26">
          <cell r="B26">
            <v>15.33159</v>
          </cell>
          <cell r="C26">
            <v>0.28755974498552883</v>
          </cell>
          <cell r="D26">
            <v>0.85544001061548269</v>
          </cell>
          <cell r="E26">
            <v>76.264154698722322</v>
          </cell>
        </row>
        <row r="27">
          <cell r="B27">
            <v>38.188028814300004</v>
          </cell>
          <cell r="C27">
            <v>0.71625577173275146</v>
          </cell>
          <cell r="D27">
            <v>2.1307358058941799</v>
          </cell>
          <cell r="E27">
            <v>189.95927605245384</v>
          </cell>
        </row>
        <row r="28">
          <cell r="B28"/>
          <cell r="C28"/>
          <cell r="D28"/>
          <cell r="E28"/>
        </row>
        <row r="29">
          <cell r="B29">
            <v>467.13275870090774</v>
          </cell>
          <cell r="C29">
            <v>8.7615555181438829</v>
          </cell>
          <cell r="D29">
            <v>26.064097204656804</v>
          </cell>
          <cell r="E29">
            <v>2323.665384634402</v>
          </cell>
        </row>
        <row r="30">
          <cell r="B30">
            <v>357.38315919538002</v>
          </cell>
          <cell r="C30">
            <v>6.7030888590385027</v>
          </cell>
          <cell r="D30">
            <v>19.940518465200974</v>
          </cell>
          <cell r="E30">
            <v>1777.7363299954256</v>
          </cell>
        </row>
        <row r="31">
          <cell r="B31">
            <v>28.809676666690002</v>
          </cell>
          <cell r="C31">
            <v>0.54035512790186258</v>
          </cell>
          <cell r="D31">
            <v>1.6074621166873051</v>
          </cell>
          <cell r="E31">
            <v>143.30840037651782</v>
          </cell>
        </row>
        <row r="32">
          <cell r="B32">
            <v>4.1132849770200002</v>
          </cell>
          <cell r="C32">
            <v>7.7148891866054198E-2</v>
          </cell>
          <cell r="D32">
            <v>0.22950447699204674</v>
          </cell>
          <cell r="E32">
            <v>20.460774245031583</v>
          </cell>
        </row>
        <row r="33">
          <cell r="B33">
            <v>22.502789406853502</v>
          </cell>
          <cell r="C33">
            <v>0.42206296824385803</v>
          </cell>
          <cell r="D33">
            <v>1.2555636048887771</v>
          </cell>
          <cell r="E33">
            <v>111.93595788023585</v>
          </cell>
        </row>
        <row r="34">
          <cell r="B34">
            <v>16.623531862460002</v>
          </cell>
          <cell r="C34">
            <v>0.31179144388336832</v>
          </cell>
          <cell r="D34">
            <v>0.92752508206191253</v>
          </cell>
          <cell r="E34">
            <v>82.690680196756446</v>
          </cell>
        </row>
        <row r="35">
          <cell r="B35">
            <v>23.317189283904241</v>
          </cell>
          <cell r="C35">
            <v>0.43733787586667844</v>
          </cell>
          <cell r="D35">
            <v>1.3010037868574793</v>
          </cell>
          <cell r="E35">
            <v>115.98703922339844</v>
          </cell>
        </row>
        <row r="36">
          <cell r="B36">
            <v>0.92818633142000007</v>
          </cell>
          <cell r="C36">
            <v>1.7409089648378853E-2</v>
          </cell>
          <cell r="D36">
            <v>5.1789000697453479E-2</v>
          </cell>
          <cell r="E36">
            <v>4.6170909846046255</v>
          </cell>
        </row>
        <row r="37">
          <cell r="B37">
            <v>13.454940977179998</v>
          </cell>
          <cell r="C37">
            <v>0.25236126169518114</v>
          </cell>
          <cell r="D37">
            <v>0.75073067127085635</v>
          </cell>
          <cell r="E37">
            <v>66.929111732431764</v>
          </cell>
        </row>
        <row r="38">
          <cell r="B38"/>
          <cell r="C38"/>
          <cell r="D38"/>
          <cell r="E38"/>
        </row>
        <row r="39">
          <cell r="B39">
            <v>116.72587840607997</v>
          </cell>
          <cell r="C39">
            <v>2.1893139477160686</v>
          </cell>
          <cell r="D39">
            <v>6.5128265667682603</v>
          </cell>
          <cell r="E39">
            <v>580.63126186556872</v>
          </cell>
        </row>
        <row r="40">
          <cell r="B40">
            <v>45.783504649339996</v>
          </cell>
          <cell r="C40">
            <v>0.85871673593593234</v>
          </cell>
          <cell r="D40">
            <v>2.5545322894263025</v>
          </cell>
          <cell r="E40">
            <v>227.74156374041686</v>
          </cell>
        </row>
        <row r="41">
          <cell r="B41">
            <v>22.58085756877999</v>
          </cell>
          <cell r="C41">
            <v>0.42352721694442141</v>
          </cell>
          <cell r="D41">
            <v>1.2599194889991094</v>
          </cell>
          <cell r="E41">
            <v>112.32429349175473</v>
          </cell>
        </row>
        <row r="42">
          <cell r="B42">
            <v>9.3046846365899984</v>
          </cell>
          <cell r="C42">
            <v>0.174518933865867</v>
          </cell>
          <cell r="D42">
            <v>0.51916334341697545</v>
          </cell>
          <cell r="E42">
            <v>46.284430287251645</v>
          </cell>
        </row>
        <row r="43">
          <cell r="B43">
            <v>9.2591592195599972</v>
          </cell>
          <cell r="C43">
            <v>0.17366505782877578</v>
          </cell>
          <cell r="D43">
            <v>0.5166232113610425</v>
          </cell>
          <cell r="E43">
            <v>46.057972532569984</v>
          </cell>
        </row>
        <row r="44">
          <cell r="B44">
            <v>5.8986246574699992</v>
          </cell>
          <cell r="C44">
            <v>0.11063477449288854</v>
          </cell>
          <cell r="D44">
            <v>0.32911912851849567</v>
          </cell>
          <cell r="E44">
            <v>29.341615800252288</v>
          </cell>
        </row>
        <row r="45">
          <cell r="B45">
            <v>8.5071647489099984</v>
          </cell>
          <cell r="C45">
            <v>0.1595606278113646</v>
          </cell>
          <cell r="D45">
            <v>0.47466499581029942</v>
          </cell>
          <cell r="E45">
            <v>42.317315324659042</v>
          </cell>
        </row>
        <row r="46">
          <cell r="B46">
            <v>4.2616137138799992</v>
          </cell>
          <cell r="C46">
            <v>7.9930949939971324E-2</v>
          </cell>
          <cell r="D46">
            <v>0.23778061379417223</v>
          </cell>
          <cell r="E46">
            <v>21.198608072713974</v>
          </cell>
        </row>
        <row r="47">
          <cell r="B47">
            <v>11.130269211549994</v>
          </cell>
          <cell r="C47">
            <v>0.20875965089684756</v>
          </cell>
          <cell r="D47">
            <v>0.62102349544186264</v>
          </cell>
          <cell r="E47">
            <v>55.365462615950129</v>
          </cell>
        </row>
      </sheetData>
      <sheetData sheetId="1">
        <row r="5">
          <cell r="B5">
            <v>5331.6189999999997</v>
          </cell>
          <cell r="C5"/>
          <cell r="D5"/>
          <cell r="E5"/>
        </row>
        <row r="6">
          <cell r="B6">
            <v>201032714</v>
          </cell>
          <cell r="C6"/>
          <cell r="D6"/>
          <cell r="E6"/>
        </row>
        <row r="7">
          <cell r="B7">
            <v>1792.2460733358776</v>
          </cell>
          <cell r="C7">
            <v>33.61541913133474</v>
          </cell>
          <cell r="D7">
            <v>99.999999999999986</v>
          </cell>
          <cell r="E7">
            <v>8915.1961274117675</v>
          </cell>
        </row>
        <row r="8">
          <cell r="B8"/>
          <cell r="C8"/>
          <cell r="D8"/>
          <cell r="E8">
            <v>0</v>
          </cell>
        </row>
        <row r="9">
          <cell r="B9">
            <v>1208.3874362288898</v>
          </cell>
          <cell r="C9">
            <v>22.664549665474787</v>
          </cell>
          <cell r="D9">
            <v>67.423076228574928</v>
          </cell>
          <cell r="E9">
            <v>6010.8994809117976</v>
          </cell>
        </row>
        <row r="10">
          <cell r="B10">
            <v>369.19480467438001</v>
          </cell>
          <cell r="C10">
            <v>6.9246284228933099</v>
          </cell>
          <cell r="D10">
            <v>20.599559969307332</v>
          </cell>
          <cell r="E10">
            <v>1836.4911726475523</v>
          </cell>
        </row>
        <row r="11">
          <cell r="B11">
            <v>360.11835855981997</v>
          </cell>
          <cell r="C11">
            <v>6.7543903373406833</v>
          </cell>
          <cell r="D11">
            <v>20.093131401846936</v>
          </cell>
          <cell r="E11">
            <v>1791.3420726132163</v>
          </cell>
        </row>
        <row r="12">
          <cell r="B12">
            <v>292.73610093637996</v>
          </cell>
          <cell r="C12">
            <v>5.4905667666121678</v>
          </cell>
          <cell r="D12">
            <v>16.33347704266497</v>
          </cell>
          <cell r="E12">
            <v>1456.1615127793575</v>
          </cell>
        </row>
        <row r="13">
          <cell r="B13">
            <v>94.415141165540021</v>
          </cell>
          <cell r="C13">
            <v>1.7708531154521736</v>
          </cell>
          <cell r="D13">
            <v>5.267978687201512</v>
          </cell>
          <cell r="E13">
            <v>469.65063191426657</v>
          </cell>
        </row>
        <row r="14">
          <cell r="B14">
            <v>91.923030892770015</v>
          </cell>
          <cell r="C14">
            <v>1.72411102317645</v>
          </cell>
          <cell r="D14">
            <v>5.1289291275541871</v>
          </cell>
          <cell r="E14">
            <v>457.2540909574052</v>
          </cell>
        </row>
        <row r="15">
          <cell r="B15"/>
          <cell r="C15"/>
          <cell r="D15"/>
          <cell r="E15">
            <v>0</v>
          </cell>
        </row>
        <row r="16">
          <cell r="B16">
            <v>467.13275870090774</v>
          </cell>
          <cell r="C16">
            <v>8.7615555181438847</v>
          </cell>
          <cell r="D16">
            <v>26.064097204656797</v>
          </cell>
          <cell r="E16">
            <v>2323.665384634402</v>
          </cell>
        </row>
        <row r="17">
          <cell r="B17">
            <v>357.38315919538002</v>
          </cell>
          <cell r="C17">
            <v>6.7030888590385027</v>
          </cell>
          <cell r="D17">
            <v>19.940518465200967</v>
          </cell>
          <cell r="E17">
            <v>1777.7363299954256</v>
          </cell>
        </row>
        <row r="18">
          <cell r="B18">
            <v>28.809676666690002</v>
          </cell>
          <cell r="C18">
            <v>0.54035512790186258</v>
          </cell>
          <cell r="D18">
            <v>1.6074621166873047</v>
          </cell>
          <cell r="E18">
            <v>143.30840037651782</v>
          </cell>
        </row>
        <row r="19">
          <cell r="B19">
            <v>80.939922838837745</v>
          </cell>
          <cell r="C19">
            <v>1.5181115312035189</v>
          </cell>
          <cell r="D19">
            <v>4.516116622768525</v>
          </cell>
          <cell r="E19">
            <v>402.62065426245869</v>
          </cell>
        </row>
        <row r="20">
          <cell r="B20"/>
          <cell r="C20"/>
          <cell r="D20"/>
          <cell r="E20">
            <v>0</v>
          </cell>
        </row>
        <row r="21">
          <cell r="B21">
            <v>116.72587840607997</v>
          </cell>
          <cell r="C21">
            <v>2.1893139477160686</v>
          </cell>
          <cell r="D21">
            <v>6.5128265667682577</v>
          </cell>
          <cell r="E21">
            <v>580.63126186556872</v>
          </cell>
        </row>
        <row r="22">
          <cell r="B22">
            <v>45.783504649339996</v>
          </cell>
          <cell r="C22">
            <v>0.85871673593593234</v>
          </cell>
          <cell r="D22">
            <v>2.5545322894263016</v>
          </cell>
          <cell r="E22">
            <v>227.74156374041686</v>
          </cell>
        </row>
        <row r="23">
          <cell r="B23">
            <v>22.58085756877999</v>
          </cell>
          <cell r="C23">
            <v>0.42352721694442141</v>
          </cell>
          <cell r="D23">
            <v>1.259919488999109</v>
          </cell>
          <cell r="E23">
            <v>112.32429349175473</v>
          </cell>
        </row>
        <row r="24">
          <cell r="B24">
            <v>48.361516187959985</v>
          </cell>
          <cell r="C24">
            <v>0.90706999483571482</v>
          </cell>
          <cell r="D24">
            <v>2.6983747883428477</v>
          </cell>
          <cell r="E24">
            <v>240.56540463339704</v>
          </cell>
        </row>
      </sheetData>
      <sheetData sheetId="2">
        <row r="5">
          <cell r="B5">
            <v>5331.6189999999997</v>
          </cell>
          <cell r="C5"/>
          <cell r="D5"/>
          <cell r="E5"/>
        </row>
        <row r="6">
          <cell r="B6">
            <v>201032714</v>
          </cell>
          <cell r="C6"/>
          <cell r="D6"/>
          <cell r="E6"/>
        </row>
        <row r="7">
          <cell r="B7">
            <v>1792.2460733358776</v>
          </cell>
          <cell r="C7">
            <v>33.615419131334733</v>
          </cell>
          <cell r="D7">
            <v>99.985056015822579</v>
          </cell>
          <cell r="E7">
            <v>8915.1961274117675</v>
          </cell>
        </row>
        <row r="8">
          <cell r="B8"/>
          <cell r="C8"/>
          <cell r="D8"/>
          <cell r="E8">
            <v>0</v>
          </cell>
        </row>
        <row r="9">
          <cell r="B9">
            <v>357.38315919538002</v>
          </cell>
          <cell r="C9">
            <v>6.7030888590385027</v>
          </cell>
          <cell r="D9">
            <v>19.940518465200974</v>
          </cell>
          <cell r="E9">
            <v>1777.7363299954256</v>
          </cell>
        </row>
        <row r="10">
          <cell r="B10">
            <v>324.62822062290996</v>
          </cell>
          <cell r="C10">
            <v>6.0887362848491238</v>
          </cell>
          <cell r="D10">
            <v>18.112926871625664</v>
          </cell>
          <cell r="E10">
            <v>1614.8029550200968</v>
          </cell>
        </row>
        <row r="11">
          <cell r="B11">
            <v>291.37605664641347</v>
          </cell>
          <cell r="C11">
            <v>5.4650577366164663</v>
          </cell>
          <cell r="D11">
            <v>16.257592134325623</v>
          </cell>
          <cell r="E11">
            <v>1449.3962243697981</v>
          </cell>
        </row>
        <row r="12">
          <cell r="B12">
            <v>193.12482623354995</v>
          </cell>
          <cell r="C12">
            <v>3.6222548204128984</v>
          </cell>
          <cell r="D12">
            <v>10.775575358024915</v>
          </cell>
          <cell r="E12">
            <v>960.66367702497394</v>
          </cell>
        </row>
        <row r="13">
          <cell r="B13">
            <v>94.415141165540021</v>
          </cell>
          <cell r="C13">
            <v>1.7708531154521736</v>
          </cell>
          <cell r="D13">
            <v>5.2679786872015129</v>
          </cell>
          <cell r="E13">
            <v>469.65063191426657</v>
          </cell>
        </row>
        <row r="14">
          <cell r="B14">
            <v>42.70626477479999</v>
          </cell>
          <cell r="C14">
            <v>0.80099993594440999</v>
          </cell>
          <cell r="D14">
            <v>2.3828348913780313</v>
          </cell>
          <cell r="E14">
            <v>212.43440395875066</v>
          </cell>
        </row>
        <row r="15">
          <cell r="B15">
            <v>59.775636327709996</v>
          </cell>
          <cell r="C15">
            <v>1.1211535619426294</v>
          </cell>
          <cell r="D15">
            <v>3.3352360045320455</v>
          </cell>
          <cell r="E15">
            <v>297.34283111608391</v>
          </cell>
        </row>
        <row r="16">
          <cell r="B16">
            <v>49.724601599550006</v>
          </cell>
          <cell r="C16">
            <v>0.93263606419644784</v>
          </cell>
          <cell r="D16">
            <v>2.7744293788295735</v>
          </cell>
          <cell r="E16">
            <v>247.34582053918848</v>
          </cell>
        </row>
        <row r="17">
          <cell r="B17">
            <v>45.783504649339996</v>
          </cell>
          <cell r="C17">
            <v>0.85871673593593234</v>
          </cell>
          <cell r="D17">
            <v>2.5545322894263025</v>
          </cell>
          <cell r="E17">
            <v>227.74156374041686</v>
          </cell>
        </row>
        <row r="18">
          <cell r="B18">
            <v>36.709334433320002</v>
          </cell>
          <cell r="C18">
            <v>0.68852133720207698</v>
          </cell>
          <cell r="D18">
            <v>2.0482307077952489</v>
          </cell>
          <cell r="E18">
            <v>182.60378474182068</v>
          </cell>
        </row>
        <row r="19">
          <cell r="B19">
            <v>28.809676666690002</v>
          </cell>
          <cell r="C19">
            <v>0.54035512790186258</v>
          </cell>
          <cell r="D19">
            <v>1.6074621166873051</v>
          </cell>
          <cell r="E19">
            <v>143.30840037651782</v>
          </cell>
        </row>
        <row r="20">
          <cell r="B20">
            <v>22.58085756877999</v>
          </cell>
          <cell r="C20">
            <v>0.42352721694442141</v>
          </cell>
          <cell r="D20">
            <v>1.2599194889991094</v>
          </cell>
          <cell r="E20">
            <v>112.32429349175473</v>
          </cell>
        </row>
        <row r="21">
          <cell r="B21">
            <v>29.412259601910002</v>
          </cell>
          <cell r="C21">
            <v>0.55165719084409459</v>
          </cell>
          <cell r="D21">
            <v>1.6410837797047291</v>
          </cell>
          <cell r="E21">
            <v>146.30583757581863</v>
          </cell>
        </row>
        <row r="22">
          <cell r="B22">
            <v>9.3046846365899984</v>
          </cell>
          <cell r="C22">
            <v>0.174518933865867</v>
          </cell>
          <cell r="D22">
            <v>0.51916334341697545</v>
          </cell>
          <cell r="E22">
            <v>46.284430287251645</v>
          </cell>
        </row>
        <row r="23">
          <cell r="B23">
            <v>4.1132849770200002</v>
          </cell>
          <cell r="C23">
            <v>7.7148891866054198E-2</v>
          </cell>
          <cell r="D23">
            <v>0.22950447699204674</v>
          </cell>
          <cell r="E23">
            <v>20.460774245031583</v>
          </cell>
        </row>
        <row r="24">
          <cell r="B24">
            <v>0.75283784435000001</v>
          </cell>
          <cell r="C24">
            <v>1.4120248358894362E-2</v>
          </cell>
          <cell r="D24">
            <v>4.2005272353519828E-2</v>
          </cell>
          <cell r="E24">
            <v>3.7448524141697654</v>
          </cell>
        </row>
        <row r="25">
          <cell r="B25">
            <v>-0.26783296962000008</v>
          </cell>
          <cell r="C25">
            <v>-5.0234829161648663E-3</v>
          </cell>
          <cell r="D25">
            <v>-1.4943984177434245E-2</v>
          </cell>
          <cell r="E25">
            <v>-1.3322854986676451</v>
          </cell>
        </row>
        <row r="26">
          <cell r="B26">
            <v>201.64572639202424</v>
          </cell>
          <cell r="C26">
            <v>3.7820730699628808</v>
          </cell>
          <cell r="D26">
            <v>11.251006733506435</v>
          </cell>
          <cell r="E26">
            <v>1003.0493166004028</v>
          </cell>
        </row>
      </sheetData>
      <sheetData sheetId="3">
        <row r="5">
          <cell r="B5">
            <v>5331.6189999999997</v>
          </cell>
          <cell r="C5"/>
          <cell r="D5"/>
          <cell r="E5"/>
        </row>
        <row r="6">
          <cell r="B6">
            <v>201032714</v>
          </cell>
          <cell r="C6"/>
          <cell r="D6"/>
          <cell r="E6"/>
        </row>
        <row r="7">
          <cell r="B7">
            <v>1792.2460733358778</v>
          </cell>
          <cell r="C7">
            <v>33.61541913133474</v>
          </cell>
          <cell r="D7">
            <v>99.999999999999986</v>
          </cell>
          <cell r="E7">
            <v>8915.1961274117693</v>
          </cell>
        </row>
        <row r="8">
          <cell r="B8"/>
          <cell r="C8"/>
          <cell r="D8"/>
          <cell r="E8">
            <v>0</v>
          </cell>
        </row>
        <row r="9">
          <cell r="B9">
            <v>740.49906735348998</v>
          </cell>
          <cell r="C9">
            <v>13.888821901067763</v>
          </cell>
          <cell r="D9">
            <v>41.316819066882445</v>
          </cell>
          <cell r="E9">
            <v>3683.4754534204317</v>
          </cell>
        </row>
        <row r="10">
          <cell r="B10">
            <v>467.87729017801422</v>
          </cell>
          <cell r="C10">
            <v>8.7755199720387793</v>
          </cell>
          <cell r="D10">
            <v>26.105639015693978</v>
          </cell>
          <cell r="E10">
            <v>2327.3689185632456</v>
          </cell>
        </row>
        <row r="11">
          <cell r="B11">
            <v>355.20733747491346</v>
          </cell>
          <cell r="C11">
            <v>6.662279083987686</v>
          </cell>
          <cell r="D11">
            <v>19.819116513045106</v>
          </cell>
          <cell r="E11">
            <v>1766.9131078582238</v>
          </cell>
        </row>
        <row r="12">
          <cell r="B12">
            <v>65.561341693429995</v>
          </cell>
          <cell r="C12">
            <v>1.2296704189370995</v>
          </cell>
          <cell r="D12">
            <v>3.6580546984489559</v>
          </cell>
          <cell r="E12">
            <v>326.12275081472558</v>
          </cell>
        </row>
        <row r="13">
          <cell r="B13">
            <v>36.709334433320002</v>
          </cell>
          <cell r="C13">
            <v>0.68852133720207698</v>
          </cell>
          <cell r="D13">
            <v>2.0482307077952489</v>
          </cell>
          <cell r="E13">
            <v>182.60378474182068</v>
          </cell>
        </row>
        <row r="14">
          <cell r="B14">
            <v>29.67024774283</v>
          </cell>
          <cell r="C14">
            <v>0.55649602386873487</v>
          </cell>
          <cell r="D14">
            <v>1.655478462709379</v>
          </cell>
          <cell r="E14">
            <v>147.58915179760245</v>
          </cell>
        </row>
        <row r="15">
          <cell r="B15">
            <v>29.144426632290003</v>
          </cell>
          <cell r="C15">
            <v>0.54663370792792965</v>
          </cell>
          <cell r="D15">
            <v>1.626139795527294</v>
          </cell>
          <cell r="E15">
            <v>144.973552077151</v>
          </cell>
        </row>
        <row r="16">
          <cell r="B16">
            <v>67.577027827590001</v>
          </cell>
          <cell r="C16">
            <v>1.2674766863046667</v>
          </cell>
          <cell r="D16">
            <v>3.7705217398975801</v>
          </cell>
          <cell r="E16">
            <v>336.14940813856794</v>
          </cell>
        </row>
      </sheetData>
      <sheetData sheetId="4">
        <row r="5">
          <cell r="B5">
            <v>5331.6189999999997</v>
          </cell>
          <cell r="C5"/>
          <cell r="D5"/>
          <cell r="E5"/>
        </row>
        <row r="6">
          <cell r="B6">
            <v>201032714</v>
          </cell>
          <cell r="C6"/>
          <cell r="D6"/>
          <cell r="E6"/>
        </row>
        <row r="7">
          <cell r="B7">
            <v>1792.2460733358776</v>
          </cell>
          <cell r="C7">
            <v>33.615419131334733</v>
          </cell>
          <cell r="D7">
            <v>100</v>
          </cell>
          <cell r="E7">
            <v>8915.1961274117675</v>
          </cell>
        </row>
        <row r="8">
          <cell r="B8"/>
          <cell r="C8"/>
          <cell r="D8"/>
          <cell r="E8">
            <v>0</v>
          </cell>
        </row>
        <row r="9">
          <cell r="B9">
            <v>1020.0968538907605</v>
          </cell>
          <cell r="C9">
            <v>19.132966063230711</v>
          </cell>
          <cell r="D9">
            <v>56.917231906223201</v>
          </cell>
          <cell r="E9">
            <v>5074.2828547335857</v>
          </cell>
        </row>
        <row r="10">
          <cell r="B10"/>
          <cell r="C10"/>
          <cell r="D10"/>
          <cell r="E10">
            <v>0</v>
          </cell>
        </row>
        <row r="11">
          <cell r="B11">
            <v>437.03889174703409</v>
          </cell>
          <cell r="C11">
            <v>8.1971140801140159</v>
          </cell>
          <cell r="D11">
            <v>24.384982522716925</v>
          </cell>
          <cell r="E11">
            <v>2173.9690175352957</v>
          </cell>
        </row>
        <row r="12">
          <cell r="B12"/>
          <cell r="C12"/>
          <cell r="D12"/>
          <cell r="E12">
            <v>0</v>
          </cell>
        </row>
        <row r="13">
          <cell r="B13">
            <v>335.11032769808298</v>
          </cell>
          <cell r="C13">
            <v>6.2853389879900075</v>
          </cell>
          <cell r="D13">
            <v>18.697785571059878</v>
          </cell>
          <cell r="E13">
            <v>1666.944255142887</v>
          </cell>
        </row>
        <row r="14">
          <cell r="B14"/>
          <cell r="C14"/>
          <cell r="D14"/>
          <cell r="E14">
            <v>0</v>
          </cell>
        </row>
        <row r="15">
          <cell r="B15"/>
          <cell r="C15"/>
          <cell r="D15"/>
          <cell r="E15">
            <v>0</v>
          </cell>
        </row>
        <row r="16">
          <cell r="B16"/>
          <cell r="C16"/>
          <cell r="D16"/>
          <cell r="E16">
            <v>0</v>
          </cell>
        </row>
        <row r="17">
          <cell r="B17">
            <v>96.288320717266345</v>
          </cell>
          <cell r="C17">
            <v>1.8059865252424516</v>
          </cell>
          <cell r="D17">
            <v>5.3724944442504219</v>
          </cell>
          <cell r="E17">
            <v>478.96841663922589</v>
          </cell>
        </row>
        <row r="18">
          <cell r="B18">
            <v>53.304168348970009</v>
          </cell>
          <cell r="C18">
            <v>0.99977452156596369</v>
          </cell>
          <cell r="D18">
            <v>2.9741545618094651</v>
          </cell>
          <cell r="E18">
            <v>265.15171231767783</v>
          </cell>
        </row>
        <row r="19">
          <cell r="B19">
            <v>3.5738400646499997</v>
          </cell>
          <cell r="C19">
            <v>6.7031047504519728E-2</v>
          </cell>
          <cell r="D19">
            <v>0.19940565739380145</v>
          </cell>
          <cell r="E19">
            <v>17.777405445812168</v>
          </cell>
        </row>
        <row r="20">
          <cell r="B20">
            <v>3.43706998E-3</v>
          </cell>
          <cell r="C20">
            <v>6.4465783845394815E-5</v>
          </cell>
          <cell r="D20">
            <v>1.9177444610620013E-4</v>
          </cell>
          <cell r="E20">
            <v>1.7097067992625319E-2</v>
          </cell>
        </row>
        <row r="21">
          <cell r="B21">
            <v>1.1731580259600001</v>
          </cell>
          <cell r="C21">
            <v>2.20037858286573E-2</v>
          </cell>
          <cell r="D21">
            <v>6.545741923576491E-2</v>
          </cell>
          <cell r="E21">
            <v>5.8356573048105993</v>
          </cell>
        </row>
        <row r="22">
          <cell r="B22">
            <v>15.250968122279998</v>
          </cell>
          <cell r="C22">
            <v>0.28604759871776281</v>
          </cell>
          <cell r="D22">
            <v>0.85094163960943292</v>
          </cell>
          <cell r="E22">
            <v>75.863116100994375</v>
          </cell>
        </row>
        <row r="23">
          <cell r="B23">
            <v>11.04035312435334</v>
          </cell>
          <cell r="C23">
            <v>0.20707318216761811</v>
          </cell>
          <cell r="D23">
            <v>0.61600654556347356</v>
          </cell>
          <cell r="E23">
            <v>54.918191694677816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4.3190335169999997E-2</v>
          </cell>
          <cell r="C25">
            <v>8.1007917426207689E-4</v>
          </cell>
          <cell r="D25">
            <v>2.409844039418681E-3</v>
          </cell>
          <cell r="E25">
            <v>0.21484232247891752</v>
          </cell>
        </row>
        <row r="26">
          <cell r="B26">
            <v>11.899205625902999</v>
          </cell>
          <cell r="C26">
            <v>0.22318184449982267</v>
          </cell>
          <cell r="D26">
            <v>0.66392700215295819</v>
          </cell>
          <cell r="E26">
            <v>59.19039438478157</v>
          </cell>
        </row>
        <row r="27">
          <cell r="B27"/>
          <cell r="C27"/>
          <cell r="D27"/>
          <cell r="E27">
            <v>0</v>
          </cell>
        </row>
        <row r="28">
          <cell r="B28">
            <v>92.002261620862981</v>
          </cell>
          <cell r="C28">
            <v>1.7255970770016196</v>
          </cell>
          <cell r="D28">
            <v>5.1333498781013214</v>
          </cell>
          <cell r="E28">
            <v>457.64820953898567</v>
          </cell>
        </row>
        <row r="29">
          <cell r="B29">
            <v>58.878035229069987</v>
          </cell>
          <cell r="C29">
            <v>1.1043181298039111</v>
          </cell>
          <cell r="D29">
            <v>3.2851535347197771</v>
          </cell>
          <cell r="E29">
            <v>292.87788070686838</v>
          </cell>
        </row>
        <row r="30">
          <cell r="B30">
            <v>0.53257806265999974</v>
          </cell>
          <cell r="C30">
            <v>9.9890495299832897E-3</v>
          </cell>
          <cell r="D30">
            <v>2.9715677472163245E-2</v>
          </cell>
          <cell r="E30">
            <v>2.6492109272324691</v>
          </cell>
        </row>
        <row r="31">
          <cell r="B31">
            <v>8.0198291600000002E-3</v>
          </cell>
          <cell r="C31">
            <v>1.5042014742613831E-4</v>
          </cell>
          <cell r="D31">
            <v>4.4747366331637865E-4</v>
          </cell>
          <cell r="E31">
            <v>3.9893154703169356E-2</v>
          </cell>
        </row>
        <row r="32">
          <cell r="B32">
            <v>0.38684217404000004</v>
          </cell>
          <cell r="C32">
            <v>7.2556229925656735E-3</v>
          </cell>
          <cell r="D32">
            <v>2.1584210996204174E-2</v>
          </cell>
          <cell r="E32">
            <v>1.9242747428659797</v>
          </cell>
        </row>
        <row r="33">
          <cell r="B33">
            <v>22.709252796049999</v>
          </cell>
          <cell r="C33">
            <v>0.42593540153656889</v>
          </cell>
          <cell r="D33">
            <v>1.2670834175009043</v>
          </cell>
          <cell r="E33">
            <v>112.9629717681173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1.4128833979999998E-2</v>
          </cell>
          <cell r="C35">
            <v>2.6500081832554051E-4</v>
          </cell>
          <cell r="D35">
            <v>7.88331144378084E-4</v>
          </cell>
          <cell r="E35">
            <v>7.0281267654775825E-2</v>
          </cell>
        </row>
        <row r="36">
          <cell r="B36">
            <v>1.5</v>
          </cell>
          <cell r="C36">
            <v>2.8134043336554997E-2</v>
          </cell>
          <cell r="D36">
            <v>8.3693864493064568E-2</v>
          </cell>
          <cell r="E36">
            <v>7.4614721661669456</v>
          </cell>
        </row>
        <row r="37">
          <cell r="B37">
            <v>7.9734046959029987</v>
          </cell>
          <cell r="C37">
            <v>0.14954940883628404</v>
          </cell>
          <cell r="D37">
            <v>0.44488336811151347</v>
          </cell>
          <cell r="E37">
            <v>39.662224805376695</v>
          </cell>
        </row>
        <row r="38">
          <cell r="B38"/>
          <cell r="C38"/>
          <cell r="D38"/>
          <cell r="E38">
            <v>0</v>
          </cell>
        </row>
        <row r="39">
          <cell r="B39">
            <v>126.38218767114</v>
          </cell>
          <cell r="C39">
            <v>2.3704279632723195</v>
          </cell>
          <cell r="D39">
            <v>7.0516091261902982</v>
          </cell>
          <cell r="E39">
            <v>628.66478373833229</v>
          </cell>
        </row>
        <row r="40">
          <cell r="B40">
            <v>69.670474260472503</v>
          </cell>
          <cell r="C40">
            <v>1.3067414280816485</v>
          </cell>
          <cell r="D40">
            <v>3.8873274879490194</v>
          </cell>
          <cell r="E40">
            <v>346.56286966544411</v>
          </cell>
        </row>
        <row r="41">
          <cell r="B41">
            <v>14.404838333345001</v>
          </cell>
          <cell r="C41">
            <v>0.27017756395093129</v>
          </cell>
          <cell r="D41">
            <v>0.80373105834365255</v>
          </cell>
          <cell r="E41">
            <v>71.654200188258912</v>
          </cell>
        </row>
        <row r="42">
          <cell r="B42">
            <v>0.89346001616249993</v>
          </cell>
          <cell r="C42">
            <v>1.6757761876129932E-2</v>
          </cell>
          <cell r="D42">
            <v>4.9851414348450362E-2</v>
          </cell>
          <cell r="E42">
            <v>4.4443513614530419</v>
          </cell>
        </row>
        <row r="43">
          <cell r="B43">
            <v>41.413415061160002</v>
          </cell>
          <cell r="C43">
            <v>0.77675120936360986</v>
          </cell>
          <cell r="D43">
            <v>2.3106991655491766</v>
          </cell>
          <cell r="E43">
            <v>206.00336252317621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GOVDetalhado"/>
      <sheetName val="AD ESFERA"/>
      <sheetName val="PRINCIPAIS TRIBUTOS"/>
      <sheetName val="Bases de Incidência"/>
      <sheetName val="RD ESFERA"/>
      <sheetName val="RD ESFERA DETALHADA"/>
      <sheetName val="Impostos"/>
      <sheetName val="Contribuições"/>
      <sheetName val="Patrimoniais"/>
      <sheetName val="Multas"/>
      <sheetName val="Estados"/>
      <sheetName val="Municipios"/>
      <sheetName val="Transferencias"/>
      <sheetName val="Gráficos"/>
    </sheetNames>
    <sheetDataSet>
      <sheetData sheetId="0">
        <row r="5">
          <cell r="B5">
            <v>5778.9530000000004</v>
          </cell>
          <cell r="C5"/>
          <cell r="D5"/>
          <cell r="E5"/>
        </row>
        <row r="6">
          <cell r="B6">
            <v>202768562</v>
          </cell>
          <cell r="C6"/>
          <cell r="D6"/>
          <cell r="E6"/>
        </row>
        <row r="7">
          <cell r="B7">
            <v>1899.7812754348608</v>
          </cell>
          <cell r="C7">
            <v>32.874143040008462</v>
          </cell>
          <cell r="D7">
            <v>100.00000000000001</v>
          </cell>
          <cell r="E7">
            <v>9369.2101807915406</v>
          </cell>
        </row>
        <row r="8">
          <cell r="B8"/>
          <cell r="C8"/>
          <cell r="D8"/>
          <cell r="E8"/>
        </row>
        <row r="9">
          <cell r="B9">
            <v>1266.1929959723002</v>
          </cell>
          <cell r="C9">
            <v>21.910422112315153</v>
          </cell>
          <cell r="D9">
            <v>66.649409189616748</v>
          </cell>
          <cell r="E9">
            <v>6244.5232312309845</v>
          </cell>
        </row>
        <row r="10">
          <cell r="B10">
            <v>277.40030178272002</v>
          </cell>
          <cell r="C10">
            <v>4.8001826936941692</v>
          </cell>
          <cell r="D10">
            <v>14.6016968042399</v>
          </cell>
          <cell r="E10">
            <v>1368.0636635511576</v>
          </cell>
        </row>
        <row r="11">
          <cell r="B11">
            <v>48.910482261369999</v>
          </cell>
          <cell r="C11">
            <v>0.84635542565184385</v>
          </cell>
          <cell r="D11">
            <v>2.5745322839953975</v>
          </cell>
          <cell r="E11">
            <v>241.21334085986172</v>
          </cell>
        </row>
        <row r="12">
          <cell r="B12">
            <v>29.739886525400003</v>
          </cell>
          <cell r="C12">
            <v>0.51462412872020247</v>
          </cell>
          <cell r="D12">
            <v>1.56543739587035</v>
          </cell>
          <cell r="E12">
            <v>146.66911986780278</v>
          </cell>
        </row>
        <row r="13">
          <cell r="B13">
            <v>36.764845972899998</v>
          </cell>
          <cell r="C13">
            <v>0.63618523931411097</v>
          </cell>
          <cell r="D13">
            <v>1.9352146717250132</v>
          </cell>
          <cell r="E13">
            <v>181.31433004343148</v>
          </cell>
        </row>
        <row r="14">
          <cell r="B14">
            <v>0.89117742080999995</v>
          </cell>
          <cell r="C14">
            <v>1.5421087882355158E-2</v>
          </cell>
          <cell r="D14">
            <v>4.6909474913421768E-2</v>
          </cell>
          <cell r="E14">
            <v>4.3950472993441654</v>
          </cell>
        </row>
        <row r="15">
          <cell r="B15">
            <v>6.8399028271200004</v>
          </cell>
          <cell r="C15">
            <v>0.11835885889918121</v>
          </cell>
          <cell r="D15">
            <v>0.36003633236959581</v>
          </cell>
          <cell r="E15">
            <v>33.732560706920637</v>
          </cell>
        </row>
        <row r="16">
          <cell r="B16">
            <v>312.81126375150006</v>
          </cell>
          <cell r="C16">
            <v>5.4129400905579272</v>
          </cell>
          <cell r="D16">
            <v>16.465646219188969</v>
          </cell>
          <cell r="E16">
            <v>1542.7010019013701</v>
          </cell>
        </row>
        <row r="17">
          <cell r="B17">
            <v>193.55240874917999</v>
          </cell>
          <cell r="C17">
            <v>3.3492642828065913</v>
          </cell>
          <cell r="D17">
            <v>10.188141721992485</v>
          </cell>
          <cell r="E17">
            <v>954.5484114503904</v>
          </cell>
        </row>
        <row r="18">
          <cell r="B18"/>
          <cell r="C18">
            <v>0</v>
          </cell>
          <cell r="D18">
            <v>0</v>
          </cell>
          <cell r="E18">
            <v>0</v>
          </cell>
        </row>
        <row r="19">
          <cell r="B19">
            <v>61.590539157700007</v>
          </cell>
          <cell r="C19">
            <v>1.0657733184142526</v>
          </cell>
          <cell r="D19">
            <v>3.2419805350277451</v>
          </cell>
          <cell r="E19">
            <v>303.74797034709951</v>
          </cell>
        </row>
        <row r="20">
          <cell r="B20">
            <v>50.830252342889999</v>
          </cell>
          <cell r="C20">
            <v>0.87957545844186635</v>
          </cell>
          <cell r="D20">
            <v>2.6755844475440962</v>
          </cell>
          <cell r="E20">
            <v>250.68113045497654</v>
          </cell>
        </row>
        <row r="21">
          <cell r="B21">
            <v>14.317351566989998</v>
          </cell>
          <cell r="C21">
            <v>0.24774992229543999</v>
          </cell>
          <cell r="D21">
            <v>0.7536315760198633</v>
          </cell>
          <cell r="E21">
            <v>70.609326346112752</v>
          </cell>
        </row>
        <row r="22">
          <cell r="B22">
            <v>14.505988595640003</v>
          </cell>
          <cell r="C22">
            <v>0.25101412999275136</v>
          </cell>
          <cell r="D22">
            <v>0.76356098374111936</v>
          </cell>
          <cell r="E22">
            <v>71.539633425224977</v>
          </cell>
        </row>
        <row r="23">
          <cell r="B23">
            <v>104.74419295153999</v>
          </cell>
          <cell r="C23">
            <v>1.8125115907940414</v>
          </cell>
          <cell r="D23">
            <v>5.5134869632591794</v>
          </cell>
          <cell r="E23">
            <v>516.57018187829328</v>
          </cell>
        </row>
        <row r="24">
          <cell r="B24">
            <v>51.370396584289992</v>
          </cell>
          <cell r="C24">
            <v>0.88892220760905982</v>
          </cell>
          <cell r="D24">
            <v>2.7040163648592284</v>
          </cell>
          <cell r="E24">
            <v>253.34497654666009</v>
          </cell>
        </row>
        <row r="25">
          <cell r="B25">
            <v>18.27502034302</v>
          </cell>
          <cell r="C25">
            <v>0.31623410578040689</v>
          </cell>
          <cell r="D25">
            <v>0.96195391434399957</v>
          </cell>
          <cell r="E25">
            <v>90.127484077240737</v>
          </cell>
        </row>
        <row r="26">
          <cell r="B26">
            <v>16.884</v>
          </cell>
          <cell r="C26">
            <v>0.29216364971301895</v>
          </cell>
          <cell r="D26">
            <v>0.88873388838592737</v>
          </cell>
          <cell r="E26">
            <v>83.267345950798827</v>
          </cell>
        </row>
        <row r="27">
          <cell r="B27">
            <v>26.764985139230006</v>
          </cell>
          <cell r="C27">
            <v>0.46314592174793612</v>
          </cell>
          <cell r="D27">
            <v>1.4088456121404553</v>
          </cell>
          <cell r="E27">
            <v>131.99770652429842</v>
          </cell>
        </row>
        <row r="28">
          <cell r="B28"/>
          <cell r="C28"/>
          <cell r="D28"/>
          <cell r="E28"/>
        </row>
        <row r="29">
          <cell r="B29">
            <v>503.87861612930863</v>
          </cell>
          <cell r="C29">
            <v>8.7192025290620734</v>
          </cell>
          <cell r="D29">
            <v>26.52298044226016</v>
          </cell>
          <cell r="E29">
            <v>2484.9937838455876</v>
          </cell>
        </row>
        <row r="30">
          <cell r="B30">
            <v>381.24976108563999</v>
          </cell>
          <cell r="C30">
            <v>6.5972116590261241</v>
          </cell>
          <cell r="D30">
            <v>20.068087101151779</v>
          </cell>
          <cell r="E30">
            <v>1880.2212597712264</v>
          </cell>
        </row>
        <row r="31">
          <cell r="B31">
            <v>31.271538787669993</v>
          </cell>
          <cell r="C31">
            <v>0.54112810378748522</v>
          </cell>
          <cell r="D31">
            <v>1.646059953955064</v>
          </cell>
          <cell r="E31">
            <v>154.22281678789039</v>
          </cell>
        </row>
        <row r="32">
          <cell r="B32">
            <v>4.6600297028300002</v>
          </cell>
          <cell r="C32">
            <v>8.0637958170450594E-2</v>
          </cell>
          <cell r="D32">
            <v>0.24529295888355979</v>
          </cell>
          <cell r="E32">
            <v>22.982012876483289</v>
          </cell>
        </row>
        <row r="33">
          <cell r="B33">
            <v>29.074394501979999</v>
          </cell>
          <cell r="C33">
            <v>0.50310833990136272</v>
          </cell>
          <cell r="D33">
            <v>1.5304074673188295</v>
          </cell>
          <cell r="E33">
            <v>143.38709223562969</v>
          </cell>
        </row>
        <row r="34">
          <cell r="B34">
            <v>17.891342745549995</v>
          </cell>
          <cell r="C34">
            <v>0.3095948824216081</v>
          </cell>
          <cell r="D34">
            <v>0.94175803166891736</v>
          </cell>
          <cell r="E34">
            <v>88.23528938154621</v>
          </cell>
        </row>
        <row r="35">
          <cell r="B35">
            <v>26.566038190908614</v>
          </cell>
          <cell r="C35">
            <v>0.45970330942142307</v>
          </cell>
          <cell r="D35">
            <v>1.3983735145946019</v>
          </cell>
          <cell r="E35">
            <v>131.01655369488992</v>
          </cell>
        </row>
        <row r="36">
          <cell r="B36">
            <v>1.0049558441499999</v>
          </cell>
          <cell r="C36">
            <v>1.7389929354850262E-2</v>
          </cell>
          <cell r="D36">
            <v>5.28985024299687E-2</v>
          </cell>
          <cell r="E36">
            <v>4.9561718751548867</v>
          </cell>
        </row>
        <row r="37">
          <cell r="B37">
            <v>12.16055527058</v>
          </cell>
          <cell r="C37">
            <v>0.21042834697876933</v>
          </cell>
          <cell r="D37">
            <v>0.64010291225743587</v>
          </cell>
          <cell r="E37">
            <v>59.972587222766812</v>
          </cell>
        </row>
        <row r="38">
          <cell r="B38"/>
          <cell r="C38"/>
          <cell r="D38"/>
          <cell r="E38"/>
        </row>
        <row r="39">
          <cell r="B39">
            <v>129.709663333252</v>
          </cell>
          <cell r="C39">
            <v>2.2445183986312394</v>
          </cell>
          <cell r="D39">
            <v>6.8276103681231088</v>
          </cell>
          <cell r="E39">
            <v>639.69316571496915</v>
          </cell>
        </row>
        <row r="40">
          <cell r="B40">
            <v>50.493151794877214</v>
          </cell>
          <cell r="C40">
            <v>0.87374221238479022</v>
          </cell>
          <cell r="D40">
            <v>2.657840270760607</v>
          </cell>
          <cell r="E40">
            <v>249.01864123728024</v>
          </cell>
        </row>
        <row r="41">
          <cell r="B41">
            <v>25.04215666628766</v>
          </cell>
          <cell r="C41">
            <v>0.43333380053943438</v>
          </cell>
          <cell r="D41">
            <v>1.3181599897891143</v>
          </cell>
          <cell r="E41">
            <v>123.50117996244239</v>
          </cell>
        </row>
        <row r="42">
          <cell r="B42">
            <v>9.9345402635077438</v>
          </cell>
          <cell r="C42">
            <v>0.17190899914755739</v>
          </cell>
          <cell r="D42">
            <v>0.52293073902592946</v>
          </cell>
          <cell r="E42">
            <v>48.994480039305813</v>
          </cell>
        </row>
        <row r="43">
          <cell r="B43">
            <v>10.718653682399996</v>
          </cell>
          <cell r="C43">
            <v>0.18547743306443218</v>
          </cell>
          <cell r="D43">
            <v>0.56420461771034636</v>
          </cell>
          <cell r="E43">
            <v>52.861516483013752</v>
          </cell>
        </row>
        <row r="44">
          <cell r="B44">
            <v>6.4613561088293858</v>
          </cell>
          <cell r="C44">
            <v>0.11180842115915089</v>
          </cell>
          <cell r="D44">
            <v>0.34011052705793093</v>
          </cell>
          <cell r="E44">
            <v>31.865670127055424</v>
          </cell>
        </row>
        <row r="45">
          <cell r="B45">
            <v>9.2741001279700015</v>
          </cell>
          <cell r="C45">
            <v>0.16048062906844893</v>
          </cell>
          <cell r="D45">
            <v>0.48816672992248328</v>
          </cell>
          <cell r="E45">
            <v>45.737366959134434</v>
          </cell>
        </row>
        <row r="46">
          <cell r="B46">
            <v>4.7278200623900011</v>
          </cell>
          <cell r="C46">
            <v>8.1811014251024383E-2</v>
          </cell>
          <cell r="D46">
            <v>0.24886128332367116</v>
          </cell>
          <cell r="E46">
            <v>23.316336693209873</v>
          </cell>
        </row>
        <row r="47">
          <cell r="B47">
            <v>13.057884626989997</v>
          </cell>
          <cell r="C47">
            <v>0.22595588901640132</v>
          </cell>
          <cell r="D47">
            <v>0.68733621053302796</v>
          </cell>
          <cell r="E47">
            <v>64.397974213527235</v>
          </cell>
        </row>
      </sheetData>
      <sheetData sheetId="1">
        <row r="5">
          <cell r="B5">
            <v>5778.9530000000004</v>
          </cell>
          <cell r="C5"/>
          <cell r="D5"/>
          <cell r="E5"/>
        </row>
        <row r="6">
          <cell r="B6">
            <v>202768562</v>
          </cell>
          <cell r="C6"/>
          <cell r="D6"/>
          <cell r="E6"/>
        </row>
        <row r="7">
          <cell r="B7">
            <v>1899.7812754348608</v>
          </cell>
          <cell r="C7">
            <v>32.87414304000847</v>
          </cell>
          <cell r="D7">
            <v>99.999999999999986</v>
          </cell>
          <cell r="E7">
            <v>9369.2101807915406</v>
          </cell>
        </row>
        <row r="8">
          <cell r="B8"/>
          <cell r="C8"/>
          <cell r="D8"/>
          <cell r="E8">
            <v>0</v>
          </cell>
        </row>
        <row r="9">
          <cell r="B9">
            <v>1266.1929959723002</v>
          </cell>
          <cell r="C9">
            <v>21.910422112315153</v>
          </cell>
          <cell r="D9">
            <v>66.649409189616733</v>
          </cell>
          <cell r="E9">
            <v>6244.5232312309845</v>
          </cell>
        </row>
        <row r="10">
          <cell r="B10">
            <v>393.7066939632</v>
          </cell>
          <cell r="C10">
            <v>6.8127685752626812</v>
          </cell>
          <cell r="D10">
            <v>20.723790630744077</v>
          </cell>
          <cell r="E10">
            <v>1941.6555016215975</v>
          </cell>
        </row>
        <row r="11">
          <cell r="B11">
            <v>369.95556075542004</v>
          </cell>
          <cell r="C11">
            <v>6.4017748674443276</v>
          </cell>
          <cell r="D11">
            <v>19.473587067055234</v>
          </cell>
          <cell r="E11">
            <v>1824.521302051844</v>
          </cell>
        </row>
        <row r="12">
          <cell r="B12">
            <v>312.81126375150006</v>
          </cell>
          <cell r="C12">
            <v>5.4129400905579272</v>
          </cell>
          <cell r="D12">
            <v>16.465646219188969</v>
          </cell>
          <cell r="E12">
            <v>1542.7010019013701</v>
          </cell>
        </row>
        <row r="13">
          <cell r="B13">
            <v>104.74419295153999</v>
          </cell>
          <cell r="C13">
            <v>1.8125115907940414</v>
          </cell>
          <cell r="D13">
            <v>5.5134869632591776</v>
          </cell>
          <cell r="E13">
            <v>516.57018187829328</v>
          </cell>
        </row>
        <row r="14">
          <cell r="B14">
            <v>84.975284550639998</v>
          </cell>
          <cell r="C14">
            <v>1.4704269882561771</v>
          </cell>
          <cell r="D14">
            <v>4.4728983093692785</v>
          </cell>
          <cell r="E14">
            <v>419.07524377787911</v>
          </cell>
        </row>
        <row r="15">
          <cell r="B15"/>
          <cell r="C15"/>
          <cell r="D15"/>
          <cell r="E15">
            <v>0</v>
          </cell>
        </row>
        <row r="16">
          <cell r="B16">
            <v>503.87861612930863</v>
          </cell>
          <cell r="C16">
            <v>8.7192025290620734</v>
          </cell>
          <cell r="D16">
            <v>26.522980442260153</v>
          </cell>
          <cell r="E16">
            <v>2484.9937838455876</v>
          </cell>
        </row>
        <row r="17">
          <cell r="B17">
            <v>381.24976108563999</v>
          </cell>
          <cell r="C17">
            <v>6.5972116590261241</v>
          </cell>
          <cell r="D17">
            <v>20.068087101151775</v>
          </cell>
          <cell r="E17">
            <v>1880.2212597712264</v>
          </cell>
        </row>
        <row r="18">
          <cell r="B18">
            <v>31.271538787669993</v>
          </cell>
          <cell r="C18">
            <v>0.54112810378748522</v>
          </cell>
          <cell r="D18">
            <v>1.6460599539550635</v>
          </cell>
          <cell r="E18">
            <v>154.22281678789039</v>
          </cell>
        </row>
        <row r="19">
          <cell r="B19">
            <v>91.357316255998612</v>
          </cell>
          <cell r="C19">
            <v>1.5808627662484642</v>
          </cell>
          <cell r="D19">
            <v>4.8088333871533129</v>
          </cell>
          <cell r="E19">
            <v>450.54970728647083</v>
          </cell>
        </row>
        <row r="20">
          <cell r="B20"/>
          <cell r="C20"/>
          <cell r="D20"/>
          <cell r="E20">
            <v>0</v>
          </cell>
        </row>
        <row r="21">
          <cell r="B21">
            <v>129.709663333252</v>
          </cell>
          <cell r="C21">
            <v>2.2445183986312398</v>
          </cell>
          <cell r="D21">
            <v>6.8276103681231088</v>
          </cell>
          <cell r="E21">
            <v>639.69316571496915</v>
          </cell>
        </row>
        <row r="22">
          <cell r="B22">
            <v>50.493151794877214</v>
          </cell>
          <cell r="C22">
            <v>0.87374221238479022</v>
          </cell>
          <cell r="D22">
            <v>2.6578402707606066</v>
          </cell>
          <cell r="E22">
            <v>249.01864123728024</v>
          </cell>
        </row>
        <row r="23">
          <cell r="B23">
            <v>25.04215666628766</v>
          </cell>
          <cell r="C23">
            <v>0.43333380053943438</v>
          </cell>
          <cell r="D23">
            <v>1.3181599897891141</v>
          </cell>
          <cell r="E23">
            <v>123.50117996244239</v>
          </cell>
        </row>
        <row r="24">
          <cell r="B24">
            <v>54.174354872087122</v>
          </cell>
          <cell r="C24">
            <v>0.9374423857070151</v>
          </cell>
          <cell r="D24">
            <v>2.8516101075733884</v>
          </cell>
          <cell r="E24">
            <v>267.17334451524653</v>
          </cell>
        </row>
      </sheetData>
      <sheetData sheetId="2">
        <row r="5">
          <cell r="B5">
            <v>5778.9530000000004</v>
          </cell>
          <cell r="C5"/>
          <cell r="D5"/>
          <cell r="E5"/>
        </row>
        <row r="6">
          <cell r="B6">
            <v>202768562</v>
          </cell>
          <cell r="C6"/>
          <cell r="D6"/>
          <cell r="E6"/>
        </row>
        <row r="7">
          <cell r="B7">
            <v>1899.7812754348608</v>
          </cell>
          <cell r="C7">
            <v>32.87414304000847</v>
          </cell>
          <cell r="D7">
            <v>100.00000000000001</v>
          </cell>
          <cell r="E7">
            <v>9369.2101807915406</v>
          </cell>
        </row>
        <row r="8">
          <cell r="B8"/>
          <cell r="C8"/>
          <cell r="D8"/>
          <cell r="E8">
            <v>0</v>
          </cell>
        </row>
        <row r="9">
          <cell r="B9">
            <v>381.24976108563999</v>
          </cell>
          <cell r="C9">
            <v>6.5972116590261241</v>
          </cell>
          <cell r="D9">
            <v>20.068087101151775</v>
          </cell>
          <cell r="E9">
            <v>1880.2212597712264</v>
          </cell>
        </row>
        <row r="10">
          <cell r="B10">
            <v>347.97028409452008</v>
          </cell>
          <cell r="C10">
            <v>6.0213378460513534</v>
          </cell>
          <cell r="D10">
            <v>18.316334021918891</v>
          </cell>
          <cell r="E10">
            <v>1716.0958319294095</v>
          </cell>
        </row>
        <row r="11">
          <cell r="B11">
            <v>317.1933499671</v>
          </cell>
          <cell r="C11">
            <v>5.4887684666599634</v>
          </cell>
          <cell r="D11">
            <v>16.696308889269069</v>
          </cell>
          <cell r="E11">
            <v>1564.3122722698008</v>
          </cell>
        </row>
        <row r="12">
          <cell r="B12">
            <v>193.55240874917999</v>
          </cell>
          <cell r="C12">
            <v>3.3492642828065913</v>
          </cell>
          <cell r="D12">
            <v>10.188141721992485</v>
          </cell>
          <cell r="E12">
            <v>954.5484114503904</v>
          </cell>
        </row>
        <row r="13">
          <cell r="B13">
            <v>104.74419295153999</v>
          </cell>
          <cell r="C13">
            <v>1.8125115907940414</v>
          </cell>
          <cell r="D13">
            <v>5.5134869632591776</v>
          </cell>
          <cell r="E13">
            <v>516.57018187829328</v>
          </cell>
        </row>
        <row r="14">
          <cell r="B14">
            <v>48.910482261369999</v>
          </cell>
          <cell r="C14">
            <v>0.84635542565184385</v>
          </cell>
          <cell r="D14">
            <v>2.574532283995397</v>
          </cell>
          <cell r="E14">
            <v>241.21334085986172</v>
          </cell>
        </row>
        <row r="15">
          <cell r="B15">
            <v>61.590539157700007</v>
          </cell>
          <cell r="C15">
            <v>1.0657733184142526</v>
          </cell>
          <cell r="D15">
            <v>3.2419805350277442</v>
          </cell>
          <cell r="E15">
            <v>303.74797034709951</v>
          </cell>
        </row>
        <row r="16">
          <cell r="B16">
            <v>50.830252342889999</v>
          </cell>
          <cell r="C16">
            <v>0.87957545844186635</v>
          </cell>
          <cell r="D16">
            <v>2.6755844475440953</v>
          </cell>
          <cell r="E16">
            <v>250.68113045497654</v>
          </cell>
        </row>
        <row r="17">
          <cell r="B17">
            <v>50.493151794877214</v>
          </cell>
          <cell r="C17">
            <v>0.87374221238479022</v>
          </cell>
          <cell r="D17">
            <v>2.6578402707606066</v>
          </cell>
          <cell r="E17">
            <v>249.01864123728024</v>
          </cell>
        </row>
        <row r="18">
          <cell r="B18">
            <v>36.764845972899998</v>
          </cell>
          <cell r="C18">
            <v>0.63618523931411097</v>
          </cell>
          <cell r="D18">
            <v>1.9352146717250125</v>
          </cell>
          <cell r="E18">
            <v>181.31433004343148</v>
          </cell>
        </row>
        <row r="19">
          <cell r="B19">
            <v>31.271538787669993</v>
          </cell>
          <cell r="C19">
            <v>0.54112810378748522</v>
          </cell>
          <cell r="D19">
            <v>1.6460599539550635</v>
          </cell>
          <cell r="E19">
            <v>154.22281678789039</v>
          </cell>
        </row>
        <row r="20">
          <cell r="B20">
            <v>25.04215666628766</v>
          </cell>
          <cell r="C20">
            <v>0.43333380053943438</v>
          </cell>
          <cell r="D20">
            <v>1.3181599897891141</v>
          </cell>
          <cell r="E20">
            <v>123.50117996244239</v>
          </cell>
        </row>
        <row r="21">
          <cell r="B21">
            <v>29.739886525400003</v>
          </cell>
          <cell r="C21">
            <v>0.51462412872020247</v>
          </cell>
          <cell r="D21">
            <v>1.5654373958703498</v>
          </cell>
          <cell r="E21">
            <v>146.66911986780278</v>
          </cell>
        </row>
        <row r="22">
          <cell r="B22">
            <v>9.9345402635077438</v>
          </cell>
          <cell r="C22">
            <v>0.17190899914755739</v>
          </cell>
          <cell r="D22">
            <v>0.52293073902592924</v>
          </cell>
          <cell r="E22">
            <v>48.994480039305813</v>
          </cell>
        </row>
        <row r="23">
          <cell r="B23">
            <v>4.6600297028300002</v>
          </cell>
          <cell r="C23">
            <v>8.0637958170450594E-2</v>
          </cell>
          <cell r="D23">
            <v>0.24529295888355973</v>
          </cell>
          <cell r="E23">
            <v>22.982012876483289</v>
          </cell>
        </row>
        <row r="24">
          <cell r="B24">
            <v>0.89117742080999995</v>
          </cell>
          <cell r="C24">
            <v>1.5421087882355158E-2</v>
          </cell>
          <cell r="D24">
            <v>4.6909474913421761E-2</v>
          </cell>
          <cell r="E24">
            <v>4.3950472993441654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204.9426776906389</v>
          </cell>
          <cell r="C26">
            <v>3.54636346221606</v>
          </cell>
          <cell r="D26">
            <v>10.787698580918343</v>
          </cell>
          <cell r="E26">
            <v>1010.7221537165062</v>
          </cell>
        </row>
      </sheetData>
      <sheetData sheetId="3">
        <row r="5">
          <cell r="B5">
            <v>5778.9530000000004</v>
          </cell>
          <cell r="C5"/>
          <cell r="D5"/>
          <cell r="E5"/>
        </row>
        <row r="6">
          <cell r="B6">
            <v>202768562</v>
          </cell>
          <cell r="C6"/>
          <cell r="D6"/>
          <cell r="E6"/>
        </row>
        <row r="7">
          <cell r="B7">
            <v>1899.7812754348606</v>
          </cell>
          <cell r="C7">
            <v>32.874143040008462</v>
          </cell>
          <cell r="D7">
            <v>100.00000000000001</v>
          </cell>
          <cell r="E7">
            <v>9369.2101807915406</v>
          </cell>
        </row>
        <row r="8">
          <cell r="B8"/>
          <cell r="C8"/>
          <cell r="D8"/>
          <cell r="E8">
            <v>0</v>
          </cell>
        </row>
        <row r="9">
          <cell r="B9">
            <v>782.13922872478736</v>
          </cell>
          <cell r="C9">
            <v>13.534272189526153</v>
          </cell>
          <cell r="D9">
            <v>41.169961976057238</v>
          </cell>
          <cell r="E9">
            <v>3857.3002688887609</v>
          </cell>
        </row>
        <row r="10">
          <cell r="B10">
            <v>506.8495618314787</v>
          </cell>
          <cell r="C10">
            <v>8.7706122861957621</v>
          </cell>
          <cell r="D10">
            <v>26.679364008125656</v>
          </cell>
          <cell r="E10">
            <v>2499.6456888197426</v>
          </cell>
        </row>
        <row r="11">
          <cell r="B11">
            <v>384.33520250109001</v>
          </cell>
          <cell r="C11">
            <v>6.6506026697412137</v>
          </cell>
          <cell r="D11">
            <v>20.23049745098238</v>
          </cell>
          <cell r="E11">
            <v>1895.4378268022142</v>
          </cell>
        </row>
        <row r="12">
          <cell r="B12">
            <v>71.799442841105403</v>
          </cell>
          <cell r="C12">
            <v>1.2424299495272828</v>
          </cell>
          <cell r="D12">
            <v>3.7793531165670893</v>
          </cell>
          <cell r="E12">
            <v>354.09553696546612</v>
          </cell>
        </row>
        <row r="13">
          <cell r="B13">
            <v>36.764845972899998</v>
          </cell>
          <cell r="C13">
            <v>0.63618523931411097</v>
          </cell>
          <cell r="D13">
            <v>1.9352146717250127</v>
          </cell>
          <cell r="E13">
            <v>181.31433004343148</v>
          </cell>
        </row>
        <row r="14">
          <cell r="B14">
            <v>31.192601681499379</v>
          </cell>
          <cell r="C14">
            <v>0.53976216247994013</v>
          </cell>
          <cell r="D14">
            <v>1.6419048910964438</v>
          </cell>
          <cell r="E14">
            <v>153.83352021552227</v>
          </cell>
        </row>
        <row r="15">
          <cell r="B15">
            <v>29.739886525400003</v>
          </cell>
          <cell r="C15">
            <v>0.51462412872020247</v>
          </cell>
          <cell r="D15">
            <v>1.56543739587035</v>
          </cell>
          <cell r="E15">
            <v>146.66911986780278</v>
          </cell>
        </row>
        <row r="16">
          <cell r="B16">
            <v>56.960505356600002</v>
          </cell>
          <cell r="C16">
            <v>0.98565441450380376</v>
          </cell>
          <cell r="D16">
            <v>2.9982664895758444</v>
          </cell>
          <cell r="E16">
            <v>280.91388918860116</v>
          </cell>
        </row>
      </sheetData>
      <sheetData sheetId="4">
        <row r="5">
          <cell r="B5">
            <v>5778.9530000000004</v>
          </cell>
          <cell r="C5"/>
          <cell r="D5"/>
          <cell r="E5"/>
        </row>
        <row r="6">
          <cell r="B6">
            <v>202768562</v>
          </cell>
          <cell r="C6"/>
          <cell r="D6"/>
          <cell r="E6"/>
        </row>
        <row r="7">
          <cell r="B7">
            <v>1899.7812754348608</v>
          </cell>
          <cell r="C7">
            <v>32.874143040008477</v>
          </cell>
          <cell r="D7">
            <v>99.999999999999986</v>
          </cell>
          <cell r="E7">
            <v>9369.2101807915406</v>
          </cell>
        </row>
        <row r="8">
          <cell r="B8"/>
          <cell r="C8"/>
          <cell r="D8"/>
          <cell r="E8">
            <v>0</v>
          </cell>
        </row>
        <row r="9">
          <cell r="B9">
            <v>1057.9040754919856</v>
          </cell>
          <cell r="C9">
            <v>18.306154687397278</v>
          </cell>
          <cell r="D9">
            <v>55.685572290411734</v>
          </cell>
          <cell r="E9">
            <v>5217.29830826529</v>
          </cell>
        </row>
        <row r="10">
          <cell r="B10"/>
          <cell r="C10"/>
          <cell r="D10"/>
          <cell r="E10">
            <v>0</v>
          </cell>
        </row>
        <row r="11">
          <cell r="B11">
            <v>475.08295324225924</v>
          </cell>
          <cell r="C11">
            <v>8.220917409126864</v>
          </cell>
          <cell r="D11">
            <v>25.007244748925761</v>
          </cell>
          <cell r="E11">
            <v>2342.9813209518111</v>
          </cell>
        </row>
        <row r="12">
          <cell r="B12"/>
          <cell r="C12"/>
          <cell r="D12"/>
          <cell r="E12">
            <v>0</v>
          </cell>
        </row>
        <row r="13">
          <cell r="B13">
            <v>366.79424670061599</v>
          </cell>
          <cell r="C13">
            <v>6.3470709434843302</v>
          </cell>
          <cell r="D13">
            <v>19.307182960662487</v>
          </cell>
          <cell r="E13">
            <v>1808.9305515744397</v>
          </cell>
        </row>
        <row r="14">
          <cell r="B14"/>
          <cell r="C14"/>
          <cell r="D14"/>
          <cell r="E14">
            <v>0</v>
          </cell>
        </row>
        <row r="15">
          <cell r="B15"/>
          <cell r="C15"/>
          <cell r="D15"/>
          <cell r="E15">
            <v>0</v>
          </cell>
        </row>
        <row r="16">
          <cell r="B16"/>
          <cell r="C16"/>
          <cell r="D16"/>
          <cell r="E16">
            <v>0</v>
          </cell>
        </row>
        <row r="17">
          <cell r="B17">
            <v>106.45935800795067</v>
          </cell>
          <cell r="C17">
            <v>1.8421911029203848</v>
          </cell>
          <cell r="D17">
            <v>5.6037692014614713</v>
          </cell>
          <cell r="E17">
            <v>525.02891453138909</v>
          </cell>
        </row>
        <row r="18">
          <cell r="B18">
            <v>58.086157910519994</v>
          </cell>
          <cell r="C18">
            <v>1.0051329005534393</v>
          </cell>
          <cell r="D18">
            <v>3.057518181782481</v>
          </cell>
          <cell r="E18">
            <v>286.46530476711672</v>
          </cell>
        </row>
        <row r="19">
          <cell r="B19">
            <v>3.8881014029800003</v>
          </cell>
          <cell r="C19">
            <v>6.7280377656298643E-2</v>
          </cell>
          <cell r="D19">
            <v>0.20466047609033369</v>
          </cell>
          <cell r="E19">
            <v>19.175070161911986</v>
          </cell>
        </row>
        <row r="20">
          <cell r="B20">
            <v>2.9357842100000003E-3</v>
          </cell>
          <cell r="C20">
            <v>5.080131660527435E-5</v>
          </cell>
          <cell r="D20">
            <v>1.5453274795162918E-4</v>
          </cell>
          <cell r="E20">
            <v>1.4478497953740977E-2</v>
          </cell>
        </row>
        <row r="21">
          <cell r="B21">
            <v>1.1731580264400001</v>
          </cell>
          <cell r="C21">
            <v>2.0300528944256858E-2</v>
          </cell>
          <cell r="D21">
            <v>6.1752268095781888E-2</v>
          </cell>
          <cell r="E21">
            <v>5.7856997892996844</v>
          </cell>
        </row>
        <row r="22">
          <cell r="B22">
            <v>16.455501477029998</v>
          </cell>
          <cell r="C22">
            <v>0.28474883732451184</v>
          </cell>
          <cell r="D22">
            <v>0.86617873803726819</v>
          </cell>
          <cell r="E22">
            <v>81.154106508039433</v>
          </cell>
        </row>
        <row r="23">
          <cell r="B23">
            <v>12.183346895346672</v>
          </cell>
          <cell r="C23">
            <v>0.21082273718693803</v>
          </cell>
          <cell r="D23">
            <v>0.64130260956266638</v>
          </cell>
          <cell r="E23">
            <v>60.084989384827182</v>
          </cell>
        </row>
        <row r="24">
          <cell r="B24">
            <v>1.4624999999999999</v>
          </cell>
          <cell r="C24">
            <v>2.530735238718847E-2</v>
          </cell>
          <cell r="D24">
            <v>7.6982546302085883E-2</v>
          </cell>
          <cell r="E24">
            <v>7.2126565655675954</v>
          </cell>
        </row>
        <row r="25">
          <cell r="B25">
            <v>8.7468743300000013E-2</v>
          </cell>
          <cell r="C25">
            <v>1.5135742287573546E-3</v>
          </cell>
          <cell r="D25">
            <v>4.6041480896256521E-3</v>
          </cell>
          <cell r="E25">
            <v>0.43137231155192596</v>
          </cell>
        </row>
        <row r="26">
          <cell r="B26">
            <v>13.120187768124001</v>
          </cell>
          <cell r="C26">
            <v>0.22703399332238902</v>
          </cell>
          <cell r="D26">
            <v>0.6906157007532765</v>
          </cell>
          <cell r="E26">
            <v>64.70523654512084</v>
          </cell>
        </row>
        <row r="27">
          <cell r="B27"/>
          <cell r="C27"/>
          <cell r="D27"/>
          <cell r="E27">
            <v>0</v>
          </cell>
        </row>
        <row r="28">
          <cell r="B28">
            <v>101.82956247236396</v>
          </cell>
          <cell r="C28">
            <v>1.7620763219974964</v>
          </cell>
          <cell r="D28">
            <v>5.3600676977435278</v>
          </cell>
          <cell r="E28">
            <v>502.19600843430533</v>
          </cell>
        </row>
        <row r="29">
          <cell r="B29">
            <v>64.158174315749989</v>
          </cell>
          <cell r="C29">
            <v>1.1102041202922048</v>
          </cell>
          <cell r="D29">
            <v>3.377134786269758</v>
          </cell>
          <cell r="E29">
            <v>316.41085621423895</v>
          </cell>
        </row>
        <row r="30">
          <cell r="B30">
            <v>0.6873381529</v>
          </cell>
          <cell r="C30">
            <v>1.1893818013401388E-2</v>
          </cell>
          <cell r="D30">
            <v>3.61798572176509E-2</v>
          </cell>
          <cell r="E30">
            <v>3.3897668658319922</v>
          </cell>
        </row>
        <row r="31">
          <cell r="B31">
            <v>6.8501610500000011E-3</v>
          </cell>
          <cell r="C31">
            <v>1.1853636895818326E-4</v>
          </cell>
          <cell r="D31">
            <v>3.6057630099717633E-4</v>
          </cell>
          <cell r="E31">
            <v>3.3783151502549007E-2</v>
          </cell>
        </row>
        <row r="32">
          <cell r="B32">
            <v>0.38684224351999996</v>
          </cell>
          <cell r="C32">
            <v>6.6939849401786095E-3</v>
          </cell>
          <cell r="D32">
            <v>2.0362462169833291E-2</v>
          </cell>
          <cell r="E32">
            <v>1.9078018786758471</v>
          </cell>
        </row>
        <row r="33">
          <cell r="B33">
            <v>25.65630114132</v>
          </cell>
          <cell r="C33">
            <v>0.44396106251980244</v>
          </cell>
          <cell r="D33">
            <v>1.3504871046508897</v>
          </cell>
          <cell r="E33">
            <v>126.52997529922808</v>
          </cell>
        </row>
        <row r="34">
          <cell r="B34">
            <v>0.4875000000000001</v>
          </cell>
          <cell r="C34">
            <v>8.4357841290628264E-3</v>
          </cell>
          <cell r="D34">
            <v>2.5660848767361973E-2</v>
          </cell>
          <cell r="E34">
            <v>2.4042188551891992</v>
          </cell>
        </row>
        <row r="35">
          <cell r="B35">
            <v>2.8613759699999994E-2</v>
          </cell>
          <cell r="C35">
            <v>4.9513743579503058E-4</v>
          </cell>
          <cell r="D35">
            <v>1.5061607391329975E-3</v>
          </cell>
          <cell r="E35">
            <v>0.14111536530993396</v>
          </cell>
        </row>
        <row r="36">
          <cell r="B36">
            <v>1.5</v>
          </cell>
          <cell r="C36">
            <v>2.5956258858654845E-2</v>
          </cell>
          <cell r="D36">
            <v>7.8956457745729125E-2</v>
          </cell>
          <cell r="E36">
            <v>7.3975964775052256</v>
          </cell>
        </row>
        <row r="37">
          <cell r="B37">
            <v>8.9179426981240013</v>
          </cell>
          <cell r="C37">
            <v>0.15431761943943825</v>
          </cell>
          <cell r="D37">
            <v>0.46941944388217416</v>
          </cell>
          <cell r="E37">
            <v>43.980894326823702</v>
          </cell>
        </row>
        <row r="38">
          <cell r="B38"/>
          <cell r="C38"/>
          <cell r="D38"/>
          <cell r="E38">
            <v>0</v>
          </cell>
        </row>
        <row r="39">
          <cell r="B39">
            <v>135.255020895</v>
          </cell>
          <cell r="C39">
            <v>2.3404762228555933</v>
          </cell>
          <cell r="D39">
            <v>7.1195048947958517</v>
          </cell>
          <cell r="E39">
            <v>667.04137742516514</v>
          </cell>
        </row>
        <row r="40">
          <cell r="B40">
            <v>74.293105382269999</v>
          </cell>
          <cell r="C40">
            <v>1.2855807164770159</v>
          </cell>
          <cell r="D40">
            <v>3.910613623942802</v>
          </cell>
          <cell r="E40">
            <v>366.39360978587007</v>
          </cell>
        </row>
        <row r="41">
          <cell r="B41">
            <v>15.635769393834996</v>
          </cell>
          <cell r="C41">
            <v>0.27056405189374261</v>
          </cell>
          <cell r="D41">
            <v>0.82302997697753166</v>
          </cell>
          <cell r="E41">
            <v>77.111408393945197</v>
          </cell>
        </row>
        <row r="42">
          <cell r="B42">
            <v>0.97202535074500007</v>
          </cell>
          <cell r="C42">
            <v>1.6820094414074661E-2</v>
          </cell>
          <cell r="D42">
            <v>5.1165119022583423E-2</v>
          </cell>
          <cell r="E42">
            <v>4.7937675404779965</v>
          </cell>
        </row>
        <row r="43">
          <cell r="B43">
            <v>44.354120768150004</v>
          </cell>
          <cell r="C43">
            <v>0.76751136007076026</v>
          </cell>
          <cell r="D43">
            <v>2.3346961748529349</v>
          </cell>
          <cell r="E43">
            <v>218.7425917048719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GOVDetalhado"/>
      <sheetName val="AD ESFERA"/>
      <sheetName val="PRINCIPAIS TRIBUTOS"/>
      <sheetName val="Bases de Incidência"/>
      <sheetName val="RD ESFERA"/>
      <sheetName val="RD ESFERA DETALHADA"/>
      <sheetName val="Impostos"/>
      <sheetName val="Contribuições"/>
      <sheetName val="Patrimoniais"/>
      <sheetName val="Multas"/>
      <sheetName val="Estados"/>
      <sheetName val="Municipios"/>
      <sheetName val="Transferencias"/>
      <sheetName val="Gráficos"/>
    </sheetNames>
    <sheetDataSet>
      <sheetData sheetId="0">
        <row r="5">
          <cell r="B5">
            <v>5995.7870000000003</v>
          </cell>
          <cell r="C5"/>
          <cell r="D5"/>
          <cell r="E5"/>
        </row>
        <row r="6">
          <cell r="B6">
            <v>204450649</v>
          </cell>
          <cell r="C6"/>
          <cell r="D6"/>
          <cell r="E6"/>
        </row>
        <row r="7">
          <cell r="B7">
            <v>1969.0309956733586</v>
          </cell>
          <cell r="C7">
            <v>32.840242584891008</v>
          </cell>
          <cell r="D7">
            <v>99.999999999999972</v>
          </cell>
          <cell r="E7">
            <v>9630.8375899230268</v>
          </cell>
        </row>
        <row r="8">
          <cell r="B8"/>
          <cell r="C8"/>
          <cell r="D8"/>
          <cell r="E8"/>
        </row>
        <row r="9">
          <cell r="B9">
            <v>1299.1238138973797</v>
          </cell>
          <cell r="C9">
            <v>21.667277605048007</v>
          </cell>
          <cell r="D9">
            <v>65.977824460458123</v>
          </cell>
          <cell r="E9">
            <v>6354.2171191512316</v>
          </cell>
        </row>
        <row r="10">
          <cell r="B10">
            <v>294.59893951855997</v>
          </cell>
          <cell r="C10">
            <v>4.9134323737410943</v>
          </cell>
          <cell r="D10">
            <v>14.961620216537755</v>
          </cell>
          <cell r="E10">
            <v>1440.9293438758416</v>
          </cell>
        </row>
        <row r="11">
          <cell r="B11">
            <v>47.961109658980007</v>
          </cell>
          <cell r="C11">
            <v>0.79991350024575592</v>
          </cell>
          <cell r="D11">
            <v>2.4357722028940691</v>
          </cell>
          <cell r="E11">
            <v>234.58526492121825</v>
          </cell>
        </row>
        <row r="12">
          <cell r="B12">
            <v>34.68021132266</v>
          </cell>
          <cell r="C12">
            <v>0.57840966202868782</v>
          </cell>
          <cell r="D12">
            <v>1.7612831590190503</v>
          </cell>
          <cell r="E12">
            <v>169.62632054379051</v>
          </cell>
        </row>
        <row r="13">
          <cell r="B13">
            <v>38.963128408579998</v>
          </cell>
          <cell r="C13">
            <v>0.64984177070633087</v>
          </cell>
          <cell r="D13">
            <v>1.978797108536912</v>
          </cell>
          <cell r="E13">
            <v>190.57473575728289</v>
          </cell>
        </row>
        <row r="14">
          <cell r="B14">
            <v>1.1012954241499999</v>
          </cell>
          <cell r="C14">
            <v>1.8367821007484089E-2</v>
          </cell>
          <cell r="D14">
            <v>5.5930832301265256E-2</v>
          </cell>
          <cell r="E14">
            <v>5.3866076216270651</v>
          </cell>
        </row>
        <row r="15">
          <cell r="B15">
            <v>7.3699429528200007</v>
          </cell>
          <cell r="C15">
            <v>0.12291869195520122</v>
          </cell>
          <cell r="D15">
            <v>0.37429288665411109</v>
          </cell>
          <cell r="E15">
            <v>36.047540024292125</v>
          </cell>
        </row>
        <row r="16">
          <cell r="B16">
            <v>315.9469649211199</v>
          </cell>
          <cell r="C16">
            <v>5.2694828038607753</v>
          </cell>
          <cell r="D16">
            <v>16.045809619826422</v>
          </cell>
          <cell r="E16">
            <v>1545.3458644737286</v>
          </cell>
        </row>
        <row r="17">
          <cell r="B17">
            <v>199.3447021568</v>
          </cell>
          <cell r="C17">
            <v>3.3247462285901754</v>
          </cell>
          <cell r="D17">
            <v>10.124000211008823</v>
          </cell>
          <cell r="E17">
            <v>975.02601792572443</v>
          </cell>
        </row>
        <row r="18">
          <cell r="B18">
            <v>1.3952735999999999E-4</v>
          </cell>
          <cell r="C18">
            <v>2.3270900050318664E-6</v>
          </cell>
          <cell r="D18">
            <v>7.0860926164488912E-6</v>
          </cell>
          <cell r="E18">
            <v>6.8245007136172005E-4</v>
          </cell>
        </row>
        <row r="19">
          <cell r="B19">
            <v>58.696026286709987</v>
          </cell>
          <cell r="C19">
            <v>0.97895449399236467</v>
          </cell>
          <cell r="D19">
            <v>2.9809599958398532</v>
          </cell>
          <cell r="E19">
            <v>287.09141581991253</v>
          </cell>
        </row>
        <row r="20">
          <cell r="B20">
            <v>52.442132156099994</v>
          </cell>
          <cell r="C20">
            <v>0.87464968578937152</v>
          </cell>
          <cell r="D20">
            <v>2.663347213494021</v>
          </cell>
          <cell r="E20">
            <v>256.50264458734972</v>
          </cell>
        </row>
        <row r="21">
          <cell r="B21">
            <v>19.467390204969998</v>
          </cell>
          <cell r="C21">
            <v>0.32468448603944733</v>
          </cell>
          <cell r="D21">
            <v>0.98867870783885947</v>
          </cell>
          <cell r="E21">
            <v>95.218040638110168</v>
          </cell>
        </row>
        <row r="22">
          <cell r="B22">
            <v>15.432746904079998</v>
          </cell>
          <cell r="C22">
            <v>0.25739318131347888</v>
          </cell>
          <cell r="D22">
            <v>0.78377369061183244</v>
          </cell>
          <cell r="E22">
            <v>75.483971215371383</v>
          </cell>
        </row>
        <row r="23">
          <cell r="B23">
            <v>113.52938475098</v>
          </cell>
          <cell r="C23">
            <v>1.8934859552379031</v>
          </cell>
          <cell r="D23">
            <v>5.7657489902618737</v>
          </cell>
          <cell r="E23">
            <v>555.28992109474791</v>
          </cell>
        </row>
        <row r="24">
          <cell r="B24">
            <v>42.3253117334</v>
          </cell>
          <cell r="C24">
            <v>0.70591753398511314</v>
          </cell>
          <cell r="D24">
            <v>2.1495503029867646</v>
          </cell>
          <cell r="E24">
            <v>207.01969859435371</v>
          </cell>
        </row>
        <row r="25">
          <cell r="B25">
            <v>19.038636237430001</v>
          </cell>
          <cell r="C25">
            <v>0.3175335654423681</v>
          </cell>
          <cell r="D25">
            <v>0.96690383641824118</v>
          </cell>
          <cell r="E25">
            <v>93.120938136175837</v>
          </cell>
        </row>
        <row r="26">
          <cell r="B26">
            <v>15.695490916030002</v>
          </cell>
          <cell r="C26">
            <v>0.26177532517466012</v>
          </cell>
          <cell r="D26">
            <v>0.79711751366628625</v>
          </cell>
          <cell r="E26">
            <v>76.769093142032531</v>
          </cell>
        </row>
        <row r="27">
          <cell r="B27">
            <v>22.530260816650003</v>
          </cell>
          <cell r="C27">
            <v>0.375768198847791</v>
          </cell>
          <cell r="D27">
            <v>1.1442308864693733</v>
          </cell>
          <cell r="E27">
            <v>110.19901832960188</v>
          </cell>
        </row>
        <row r="28">
          <cell r="B28"/>
          <cell r="C28"/>
          <cell r="D28"/>
          <cell r="E28"/>
        </row>
        <row r="29">
          <cell r="B29">
            <v>527.86464452284918</v>
          </cell>
          <cell r="C29">
            <v>8.8039258986826816</v>
          </cell>
          <cell r="D29">
            <v>26.808346119626865</v>
          </cell>
          <cell r="E29">
            <v>2581.8682753256958</v>
          </cell>
        </row>
        <row r="30">
          <cell r="B30">
            <v>391.98353599254995</v>
          </cell>
          <cell r="C30">
            <v>6.537649452733227</v>
          </cell>
          <cell r="D30">
            <v>19.907433496672887</v>
          </cell>
          <cell r="E30">
            <v>1917.2525883865007</v>
          </cell>
        </row>
        <row r="31">
          <cell r="B31">
            <v>34.912678887919995</v>
          </cell>
          <cell r="C31">
            <v>0.58228684387754259</v>
          </cell>
          <cell r="D31">
            <v>1.7730893502761109</v>
          </cell>
          <cell r="E31">
            <v>170.76335564931367</v>
          </cell>
        </row>
        <row r="32">
          <cell r="B32">
            <v>6.41552638814</v>
          </cell>
          <cell r="C32">
            <v>0.10700057203733221</v>
          </cell>
          <cell r="D32">
            <v>0.32582150317781317</v>
          </cell>
          <cell r="E32">
            <v>31.37933980410109</v>
          </cell>
        </row>
        <row r="33">
          <cell r="B33">
            <v>33.196818685499998</v>
          </cell>
          <cell r="C33">
            <v>0.55366907939691656</v>
          </cell>
          <cell r="D33">
            <v>1.6859469839959289</v>
          </cell>
          <cell r="E33">
            <v>162.37081588085348</v>
          </cell>
        </row>
        <row r="34">
          <cell r="B34">
            <v>18.606897887519999</v>
          </cell>
          <cell r="C34">
            <v>0.31033287018901767</v>
          </cell>
          <cell r="D34">
            <v>0.94497739895439814</v>
          </cell>
          <cell r="E34">
            <v>91.009238554777099</v>
          </cell>
        </row>
        <row r="35">
          <cell r="B35">
            <v>28.451411263269289</v>
          </cell>
          <cell r="C35">
            <v>0.47452338222270551</v>
          </cell>
          <cell r="D35">
            <v>1.4449448142658425</v>
          </cell>
          <cell r="E35">
            <v>139.16028832595828</v>
          </cell>
        </row>
        <row r="36">
          <cell r="B36">
            <v>1.0705586921300001</v>
          </cell>
          <cell r="C36">
            <v>1.7855182182589208E-2</v>
          </cell>
          <cell r="D36">
            <v>5.4369824267997163E-2</v>
          </cell>
          <cell r="E36">
            <v>5.236269473177364</v>
          </cell>
        </row>
        <row r="37">
          <cell r="B37">
            <v>13.227216725820002</v>
          </cell>
          <cell r="C37">
            <v>0.22060851604334847</v>
          </cell>
          <cell r="D37">
            <v>0.67176274801589031</v>
          </cell>
          <cell r="E37">
            <v>64.696379251014264</v>
          </cell>
        </row>
        <row r="38">
          <cell r="B38"/>
          <cell r="C38"/>
          <cell r="D38"/>
          <cell r="E38"/>
        </row>
        <row r="39">
          <cell r="B39">
            <v>142.04253725312981</v>
          </cell>
          <cell r="C39">
            <v>2.3690390811603188</v>
          </cell>
          <cell r="D39">
            <v>7.2138294199149904</v>
          </cell>
          <cell r="E39">
            <v>694.75219544609922</v>
          </cell>
        </row>
        <row r="40">
          <cell r="B40">
            <v>54.074215310498822</v>
          </cell>
          <cell r="C40">
            <v>0.90187018502323091</v>
          </cell>
          <cell r="D40">
            <v>2.7462348449221241</v>
          </cell>
          <cell r="E40">
            <v>264.48541775232428</v>
          </cell>
        </row>
        <row r="41">
          <cell r="B41">
            <v>28.085178097271708</v>
          </cell>
          <cell r="C41">
            <v>0.46841520716582674</v>
          </cell>
          <cell r="D41">
            <v>1.426345149415349</v>
          </cell>
          <cell r="E41">
            <v>137.36898481193722</v>
          </cell>
        </row>
        <row r="42">
          <cell r="B42">
            <v>10.160812069321333</v>
          </cell>
          <cell r="C42">
            <v>0.16946586110082518</v>
          </cell>
          <cell r="D42">
            <v>0.51603108796398567</v>
          </cell>
          <cell r="E42">
            <v>49.698115995324294</v>
          </cell>
        </row>
        <row r="43">
          <cell r="B43">
            <v>12.45459476109</v>
          </cell>
          <cell r="C43">
            <v>0.20772243512136107</v>
          </cell>
          <cell r="D43">
            <v>0.63252405820208246</v>
          </cell>
          <cell r="E43">
            <v>60.917364762632765</v>
          </cell>
        </row>
        <row r="44">
          <cell r="B44">
            <v>7.1878028091679669</v>
          </cell>
          <cell r="C44">
            <v>0.11988088985095645</v>
          </cell>
          <cell r="D44">
            <v>0.36504264407020764</v>
          </cell>
          <cell r="E44">
            <v>35.156664184362491</v>
          </cell>
        </row>
        <row r="45">
          <cell r="B45">
            <v>10.698586849880003</v>
          </cell>
          <cell r="C45">
            <v>0.17843507199104977</v>
          </cell>
          <cell r="D45">
            <v>0.54334273423772872</v>
          </cell>
          <cell r="E45">
            <v>52.328456291082759</v>
          </cell>
        </row>
        <row r="46">
          <cell r="B46">
            <v>6.346209277309999</v>
          </cell>
          <cell r="C46">
            <v>0.10584447508408819</v>
          </cell>
          <cell r="D46">
            <v>0.32230113651104586</v>
          </cell>
          <cell r="E46">
            <v>31.040299007854941</v>
          </cell>
        </row>
        <row r="47">
          <cell r="B47">
            <v>13.035138078590002</v>
          </cell>
          <cell r="C47">
            <v>0.21740495582298039</v>
          </cell>
          <cell r="D47">
            <v>0.66200776459246713</v>
          </cell>
          <cell r="E47">
            <v>63.756892640580475</v>
          </cell>
        </row>
      </sheetData>
      <sheetData sheetId="1">
        <row r="5">
          <cell r="B5">
            <v>5995.7870000000003</v>
          </cell>
          <cell r="C5"/>
          <cell r="D5"/>
          <cell r="E5"/>
        </row>
        <row r="6">
          <cell r="B6">
            <v>204450649</v>
          </cell>
          <cell r="C6"/>
          <cell r="D6"/>
          <cell r="E6"/>
        </row>
        <row r="7">
          <cell r="B7">
            <v>1969.0309956733588</v>
          </cell>
          <cell r="C7">
            <v>32.840242584891008</v>
          </cell>
          <cell r="D7">
            <v>99.999999999999986</v>
          </cell>
          <cell r="E7">
            <v>9630.8375899230286</v>
          </cell>
        </row>
        <row r="8">
          <cell r="B8"/>
          <cell r="C8"/>
          <cell r="D8"/>
          <cell r="E8">
            <v>0</v>
          </cell>
        </row>
        <row r="9">
          <cell r="B9">
            <v>1299.1238138973797</v>
          </cell>
          <cell r="C9">
            <v>21.66727760504801</v>
          </cell>
          <cell r="D9">
            <v>65.977824460458137</v>
          </cell>
          <cell r="E9">
            <v>6354.2171191512316</v>
          </cell>
        </row>
        <row r="10">
          <cell r="B10">
            <v>417.30468433293004</v>
          </cell>
          <cell r="C10">
            <v>6.9599651277293546</v>
          </cell>
          <cell r="D10">
            <v>21.193403519289056</v>
          </cell>
          <cell r="E10">
            <v>2041.1022727197605</v>
          </cell>
        </row>
        <row r="11">
          <cell r="B11">
            <v>380.11726438948</v>
          </cell>
          <cell r="C11">
            <v>6.3397392934318715</v>
          </cell>
          <cell r="D11">
            <v>19.304788254970536</v>
          </cell>
          <cell r="E11">
            <v>1859.2128039147481</v>
          </cell>
        </row>
        <row r="12">
          <cell r="B12">
            <v>315.9469649211199</v>
          </cell>
          <cell r="C12">
            <v>5.2694828038607753</v>
          </cell>
          <cell r="D12">
            <v>16.045809619826422</v>
          </cell>
          <cell r="E12">
            <v>1545.3458644737286</v>
          </cell>
        </row>
        <row r="13">
          <cell r="B13">
            <v>113.52938475098</v>
          </cell>
          <cell r="C13">
            <v>1.8934859552379031</v>
          </cell>
          <cell r="D13">
            <v>5.7657489902618737</v>
          </cell>
          <cell r="E13">
            <v>555.28992109474791</v>
          </cell>
        </row>
        <row r="14">
          <cell r="B14">
            <v>72.225515502869996</v>
          </cell>
          <cell r="C14">
            <v>1.2046044247881054</v>
          </cell>
          <cell r="D14">
            <v>3.668074076110249</v>
          </cell>
          <cell r="E14">
            <v>353.26625694824764</v>
          </cell>
        </row>
        <row r="15">
          <cell r="B15"/>
          <cell r="C15"/>
          <cell r="D15"/>
          <cell r="E15">
            <v>0</v>
          </cell>
        </row>
        <row r="16">
          <cell r="B16">
            <v>527.86464452284918</v>
          </cell>
          <cell r="C16">
            <v>8.8039258986826798</v>
          </cell>
          <cell r="D16">
            <v>26.808346119626865</v>
          </cell>
          <cell r="E16">
            <v>2581.8682753256958</v>
          </cell>
        </row>
        <row r="17">
          <cell r="B17">
            <v>391.98353599254995</v>
          </cell>
          <cell r="C17">
            <v>6.537649452733227</v>
          </cell>
          <cell r="D17">
            <v>19.907433496672887</v>
          </cell>
          <cell r="E17">
            <v>1917.2525883865007</v>
          </cell>
        </row>
        <row r="18">
          <cell r="B18">
            <v>34.912678887919995</v>
          </cell>
          <cell r="C18">
            <v>0.58228684387754259</v>
          </cell>
          <cell r="D18">
            <v>1.7730893502761109</v>
          </cell>
          <cell r="E18">
            <v>170.76335564931367</v>
          </cell>
        </row>
        <row r="19">
          <cell r="B19">
            <v>100.96842964237929</v>
          </cell>
          <cell r="C19">
            <v>1.6839896020719096</v>
          </cell>
          <cell r="D19">
            <v>5.1278232726778699</v>
          </cell>
          <cell r="E19">
            <v>493.85233128988153</v>
          </cell>
        </row>
        <row r="20">
          <cell r="B20"/>
          <cell r="C20"/>
          <cell r="D20"/>
          <cell r="E20">
            <v>0</v>
          </cell>
        </row>
        <row r="21">
          <cell r="B21">
            <v>142.04253725312984</v>
          </cell>
          <cell r="C21">
            <v>2.3690390811603188</v>
          </cell>
          <cell r="D21">
            <v>7.2138294199149904</v>
          </cell>
          <cell r="E21">
            <v>694.75219544609922</v>
          </cell>
        </row>
        <row r="22">
          <cell r="B22">
            <v>54.074215310498822</v>
          </cell>
          <cell r="C22">
            <v>0.90187018502323091</v>
          </cell>
          <cell r="D22">
            <v>2.7462348449221241</v>
          </cell>
          <cell r="E22">
            <v>264.48541775232428</v>
          </cell>
        </row>
        <row r="23">
          <cell r="B23">
            <v>28.085178097271708</v>
          </cell>
          <cell r="C23">
            <v>0.46841520716582674</v>
          </cell>
          <cell r="D23">
            <v>1.426345149415349</v>
          </cell>
          <cell r="E23">
            <v>137.36898481193722</v>
          </cell>
        </row>
        <row r="24">
          <cell r="B24">
            <v>59.883143845359307</v>
          </cell>
          <cell r="C24">
            <v>0.99875368897126104</v>
          </cell>
          <cell r="D24">
            <v>3.0412494255775173</v>
          </cell>
          <cell r="E24">
            <v>292.89779288183774</v>
          </cell>
        </row>
      </sheetData>
      <sheetData sheetId="2">
        <row r="5">
          <cell r="B5">
            <v>5995.7870000000003</v>
          </cell>
          <cell r="C5"/>
          <cell r="D5"/>
          <cell r="E5"/>
        </row>
        <row r="6">
          <cell r="B6">
            <v>204450649</v>
          </cell>
          <cell r="C6"/>
          <cell r="D6"/>
          <cell r="E6"/>
        </row>
        <row r="7">
          <cell r="B7">
            <v>1969.0309956733588</v>
          </cell>
          <cell r="C7">
            <v>32.840242584891008</v>
          </cell>
          <cell r="D7">
            <v>100.00000708609262</v>
          </cell>
          <cell r="E7">
            <v>9630.8375899230286</v>
          </cell>
        </row>
        <row r="8">
          <cell r="B8"/>
          <cell r="C8"/>
          <cell r="D8"/>
          <cell r="E8">
            <v>0</v>
          </cell>
        </row>
        <row r="9">
          <cell r="B9">
            <v>391.98353599254995</v>
          </cell>
          <cell r="C9">
            <v>6.537649452733227</v>
          </cell>
          <cell r="D9">
            <v>19.907433496672887</v>
          </cell>
          <cell r="E9">
            <v>1917.2525883865007</v>
          </cell>
        </row>
        <row r="10">
          <cell r="B10">
            <v>350.68109207457991</v>
          </cell>
          <cell r="C10">
            <v>5.8487916944778044</v>
          </cell>
          <cell r="D10">
            <v>17.809830969910951</v>
          </cell>
          <cell r="E10">
            <v>1715.2358957519371</v>
          </cell>
        </row>
        <row r="11">
          <cell r="B11">
            <v>340.25035296514994</v>
          </cell>
          <cell r="C11">
            <v>5.6748238882593709</v>
          </cell>
          <cell r="D11">
            <v>17.280091258735762</v>
          </cell>
          <cell r="E11">
            <v>1664.2175245193278</v>
          </cell>
        </row>
        <row r="12">
          <cell r="B12">
            <v>199.3447021568</v>
          </cell>
          <cell r="C12">
            <v>3.3247462285901754</v>
          </cell>
          <cell r="D12">
            <v>10.124000211008823</v>
          </cell>
          <cell r="E12">
            <v>975.02601792572443</v>
          </cell>
        </row>
        <row r="13">
          <cell r="B13">
            <v>113.52938475098</v>
          </cell>
          <cell r="C13">
            <v>1.8934859552379031</v>
          </cell>
          <cell r="D13">
            <v>5.7657489902618737</v>
          </cell>
          <cell r="E13">
            <v>555.28992109474791</v>
          </cell>
        </row>
        <row r="14">
          <cell r="B14">
            <v>47.961109658980007</v>
          </cell>
          <cell r="C14">
            <v>0.79991350024575592</v>
          </cell>
          <cell r="D14">
            <v>2.4357722028940691</v>
          </cell>
          <cell r="E14">
            <v>234.58526492121825</v>
          </cell>
        </row>
        <row r="15">
          <cell r="B15">
            <v>58.696026286709987</v>
          </cell>
          <cell r="C15">
            <v>0.97895449399236467</v>
          </cell>
          <cell r="D15">
            <v>2.9809599958398532</v>
          </cell>
          <cell r="E15">
            <v>287.09141581991253</v>
          </cell>
        </row>
        <row r="16">
          <cell r="B16">
            <v>52.442132156099994</v>
          </cell>
          <cell r="C16">
            <v>0.87464968578937152</v>
          </cell>
          <cell r="D16">
            <v>2.663347213494021</v>
          </cell>
          <cell r="E16">
            <v>256.50264458734972</v>
          </cell>
        </row>
        <row r="17">
          <cell r="B17">
            <v>54.074215310498822</v>
          </cell>
          <cell r="C17">
            <v>0.90187018502323091</v>
          </cell>
          <cell r="D17">
            <v>2.7462348449221241</v>
          </cell>
          <cell r="E17">
            <v>264.48541775232428</v>
          </cell>
        </row>
        <row r="18">
          <cell r="B18">
            <v>38.963128408579998</v>
          </cell>
          <cell r="C18">
            <v>0.64984177070633087</v>
          </cell>
          <cell r="D18">
            <v>1.978797108536912</v>
          </cell>
          <cell r="E18">
            <v>190.57473575728289</v>
          </cell>
        </row>
        <row r="19">
          <cell r="B19">
            <v>34.912678887919995</v>
          </cell>
          <cell r="C19">
            <v>0.58228684387754259</v>
          </cell>
          <cell r="D19">
            <v>1.7730893502761109</v>
          </cell>
          <cell r="E19">
            <v>170.76335564931367</v>
          </cell>
        </row>
        <row r="20">
          <cell r="B20">
            <v>28.085178097271708</v>
          </cell>
          <cell r="C20">
            <v>0.46841520716582674</v>
          </cell>
          <cell r="D20">
            <v>1.426345149415349</v>
          </cell>
          <cell r="E20">
            <v>137.36898481193722</v>
          </cell>
        </row>
        <row r="21">
          <cell r="B21">
            <v>34.68021132266</v>
          </cell>
          <cell r="C21">
            <v>0.57840966202868782</v>
          </cell>
          <cell r="D21">
            <v>1.7612831590190503</v>
          </cell>
          <cell r="E21">
            <v>169.62632054379051</v>
          </cell>
        </row>
        <row r="22">
          <cell r="B22">
            <v>10.160812069321333</v>
          </cell>
          <cell r="C22">
            <v>0.16946586110082518</v>
          </cell>
          <cell r="D22">
            <v>0.51603108796398567</v>
          </cell>
          <cell r="E22">
            <v>49.698115995324294</v>
          </cell>
        </row>
        <row r="23">
          <cell r="B23">
            <v>6.41552638814</v>
          </cell>
          <cell r="C23">
            <v>0.10700057203733221</v>
          </cell>
          <cell r="D23">
            <v>0.32582150317781317</v>
          </cell>
          <cell r="E23">
            <v>31.37933980410109</v>
          </cell>
        </row>
        <row r="24">
          <cell r="B24">
            <v>1.1012954241499999</v>
          </cell>
          <cell r="C24">
            <v>1.8367821007484089E-2</v>
          </cell>
          <cell r="D24">
            <v>5.5930832301265256E-2</v>
          </cell>
          <cell r="E24">
            <v>5.3866076216270651</v>
          </cell>
        </row>
        <row r="25">
          <cell r="B25">
            <v>1.3952735999999999E-4</v>
          </cell>
          <cell r="C25">
            <v>2.3270900050318664E-6</v>
          </cell>
          <cell r="D25">
            <v>7.0860926164488912E-6</v>
          </cell>
          <cell r="E25">
            <v>6.8245007136172005E-4</v>
          </cell>
        </row>
        <row r="26">
          <cell r="B26">
            <v>205.74961372296752</v>
          </cell>
          <cell r="C26">
            <v>3.431569762617777</v>
          </cell>
          <cell r="D26">
            <v>10.449282625569149</v>
          </cell>
          <cell r="E26">
            <v>1006.3534389806096</v>
          </cell>
        </row>
      </sheetData>
      <sheetData sheetId="3">
        <row r="5">
          <cell r="B5">
            <v>5995.7870000000003</v>
          </cell>
          <cell r="C5"/>
          <cell r="D5"/>
          <cell r="E5"/>
        </row>
        <row r="6">
          <cell r="B6">
            <v>204450649</v>
          </cell>
          <cell r="C6"/>
          <cell r="D6"/>
          <cell r="E6"/>
        </row>
        <row r="7">
          <cell r="B7">
            <v>1969.0309956733588</v>
          </cell>
          <cell r="C7">
            <v>32.840242584891008</v>
          </cell>
          <cell r="D7">
            <v>100</v>
          </cell>
          <cell r="E7">
            <v>9630.8375899230286</v>
          </cell>
        </row>
        <row r="8">
          <cell r="B8"/>
          <cell r="C8"/>
          <cell r="D8"/>
          <cell r="E8">
            <v>0</v>
          </cell>
        </row>
        <row r="9">
          <cell r="B9">
            <v>795.54777497776877</v>
          </cell>
          <cell r="C9">
            <v>13.26844624363355</v>
          </cell>
          <cell r="D9">
            <v>40.403009232757739</v>
          </cell>
          <cell r="E9">
            <v>3891.1482006485035</v>
          </cell>
        </row>
        <row r="10">
          <cell r="B10">
            <v>527.62101808160924</v>
          </cell>
          <cell r="C10">
            <v>8.7998626048858846</v>
          </cell>
          <cell r="D10">
            <v>26.795973209206704</v>
          </cell>
          <cell r="E10">
            <v>2580.6766604179829</v>
          </cell>
        </row>
        <row r="11">
          <cell r="B11">
            <v>404.36912355559991</v>
          </cell>
          <cell r="C11">
            <v>6.7442209597438989</v>
          </cell>
          <cell r="D11">
            <v>20.53645292756379</v>
          </cell>
          <cell r="E11">
            <v>1977.8324281846615</v>
          </cell>
        </row>
        <row r="12">
          <cell r="B12">
            <v>80.675490866803045</v>
          </cell>
          <cell r="C12">
            <v>1.345536305189011</v>
          </cell>
          <cell r="D12">
            <v>4.0972179231345249</v>
          </cell>
          <cell r="E12">
            <v>394.59640388230338</v>
          </cell>
        </row>
        <row r="13">
          <cell r="B13">
            <v>38.963128408579998</v>
          </cell>
          <cell r="C13">
            <v>0.64984177070633087</v>
          </cell>
          <cell r="D13">
            <v>1.9787971085369123</v>
          </cell>
          <cell r="E13">
            <v>190.57473575728289</v>
          </cell>
        </row>
        <row r="14">
          <cell r="B14">
            <v>33.164643649507966</v>
          </cell>
          <cell r="C14">
            <v>0.55313245199517536</v>
          </cell>
          <cell r="D14">
            <v>1.6843129296787174</v>
          </cell>
          <cell r="E14">
            <v>162.21344276343171</v>
          </cell>
        </row>
        <row r="15">
          <cell r="B15">
            <v>34.680350850019998</v>
          </cell>
          <cell r="C15">
            <v>0.57841198911869285</v>
          </cell>
          <cell r="D15">
            <v>1.7612902451116672</v>
          </cell>
          <cell r="E15">
            <v>169.62700299386185</v>
          </cell>
        </row>
        <row r="16">
          <cell r="B16">
            <v>54.00946528347</v>
          </cell>
          <cell r="C16">
            <v>0.90079025961846204</v>
          </cell>
          <cell r="D16">
            <v>2.7429464240099546</v>
          </cell>
          <cell r="E16">
            <v>264.16871527500018</v>
          </cell>
        </row>
      </sheetData>
      <sheetData sheetId="4">
        <row r="5">
          <cell r="B5">
            <v>5995.7870000000003</v>
          </cell>
          <cell r="C5"/>
          <cell r="D5"/>
          <cell r="E5"/>
        </row>
        <row r="6">
          <cell r="B6">
            <v>204450649</v>
          </cell>
          <cell r="C6"/>
          <cell r="D6"/>
          <cell r="E6"/>
        </row>
        <row r="7">
          <cell r="B7">
            <v>1969.0309956733586</v>
          </cell>
          <cell r="C7">
            <v>32.840242584891001</v>
          </cell>
          <cell r="D7">
            <v>99.999999999999986</v>
          </cell>
          <cell r="E7">
            <v>9630.8375899230268</v>
          </cell>
        </row>
        <row r="8">
          <cell r="B8"/>
          <cell r="C8"/>
          <cell r="D8"/>
          <cell r="E8">
            <v>0</v>
          </cell>
        </row>
        <row r="9">
          <cell r="B9">
            <v>1085.892856208483</v>
          </cell>
          <cell r="C9">
            <v>18.11093116230585</v>
          </cell>
          <cell r="D9">
            <v>55.148591291582747</v>
          </cell>
          <cell r="E9">
            <v>5311.2712604227681</v>
          </cell>
        </row>
        <row r="10">
          <cell r="B10"/>
          <cell r="C10"/>
          <cell r="D10"/>
          <cell r="E10">
            <v>0</v>
          </cell>
        </row>
        <row r="11">
          <cell r="B11">
            <v>493.48027442986091</v>
          </cell>
          <cell r="C11">
            <v>8.230450388412077</v>
          </cell>
          <cell r="D11">
            <v>25.062087672271666</v>
          </cell>
          <cell r="E11">
            <v>2413.6889603606046</v>
          </cell>
        </row>
        <row r="12">
          <cell r="B12"/>
          <cell r="C12"/>
          <cell r="D12"/>
          <cell r="E12">
            <v>0</v>
          </cell>
        </row>
        <row r="13">
          <cell r="B13">
            <v>389.65786503501477</v>
          </cell>
          <cell r="C13">
            <v>6.4988610341730739</v>
          </cell>
          <cell r="D13">
            <v>19.78932103614558</v>
          </cell>
          <cell r="E13">
            <v>1905.8773691396536</v>
          </cell>
        </row>
        <row r="14">
          <cell r="B14"/>
          <cell r="C14"/>
          <cell r="D14"/>
          <cell r="E14">
            <v>0</v>
          </cell>
        </row>
        <row r="15">
          <cell r="B15"/>
          <cell r="C15"/>
          <cell r="D15"/>
          <cell r="E15">
            <v>0</v>
          </cell>
        </row>
        <row r="16">
          <cell r="B16"/>
          <cell r="C16"/>
          <cell r="D16"/>
          <cell r="E16">
            <v>0</v>
          </cell>
        </row>
        <row r="17">
          <cell r="B17">
            <v>107.39653264538669</v>
          </cell>
          <cell r="C17">
            <v>1.791199931641779</v>
          </cell>
          <cell r="D17">
            <v>5.4542834968760747</v>
          </cell>
          <cell r="E17">
            <v>525.29318527810926</v>
          </cell>
        </row>
        <row r="18">
          <cell r="B18">
            <v>61.105697847029994</v>
          </cell>
          <cell r="C18">
            <v>1.0191439063300614</v>
          </cell>
          <cell r="D18">
            <v>3.1033385447613737</v>
          </cell>
          <cell r="E18">
            <v>298.87749511144858</v>
          </cell>
        </row>
        <row r="19">
          <cell r="B19">
            <v>3.9417077312999997</v>
          </cell>
          <cell r="C19">
            <v>6.5741290197600416E-2</v>
          </cell>
          <cell r="D19">
            <v>0.20018515401541639</v>
          </cell>
          <cell r="E19">
            <v>19.279507062362025</v>
          </cell>
        </row>
        <row r="20">
          <cell r="B20">
            <v>5.1951533299999996E-3</v>
          </cell>
          <cell r="C20">
            <v>8.6646729278408316E-5</v>
          </cell>
          <cell r="D20">
            <v>2.6384314626918246E-4</v>
          </cell>
          <cell r="E20">
            <v>2.5410304909328021E-2</v>
          </cell>
        </row>
        <row r="21">
          <cell r="B21">
            <v>1.1731580259600001</v>
          </cell>
          <cell r="C21">
            <v>1.9566372620641793E-2</v>
          </cell>
          <cell r="D21">
            <v>5.9580475296622214E-2</v>
          </cell>
          <cell r="E21">
            <v>5.7380988111218958</v>
          </cell>
        </row>
        <row r="22">
          <cell r="B22">
            <v>17.361863613640001</v>
          </cell>
          <cell r="C22">
            <v>0.28956771836024192</v>
          </cell>
          <cell r="D22">
            <v>0.88174658762558888</v>
          </cell>
          <cell r="E22">
            <v>84.919581808908802</v>
          </cell>
        </row>
        <row r="23">
          <cell r="B23">
            <v>12.692424158286673</v>
          </cell>
          <cell r="C23">
            <v>0.21168904362824553</v>
          </cell>
          <cell r="D23">
            <v>0.64460255761216123</v>
          </cell>
          <cell r="E23">
            <v>62.080625424117251</v>
          </cell>
        </row>
        <row r="24">
          <cell r="B24">
            <v>1.4625000001599999</v>
          </cell>
          <cell r="C24">
            <v>2.4392127341414896E-2</v>
          </cell>
          <cell r="D24">
            <v>7.4275113158381853E-2</v>
          </cell>
          <cell r="E24">
            <v>7.1533155180153027</v>
          </cell>
        </row>
        <row r="25">
          <cell r="B25">
            <v>0.33756119959000003</v>
          </cell>
          <cell r="C25">
            <v>5.6299731726627382E-3</v>
          </cell>
          <cell r="D25">
            <v>1.7143518833971562E-2</v>
          </cell>
          <cell r="E25">
            <v>1.6510644560976671</v>
          </cell>
        </row>
        <row r="26">
          <cell r="B26">
            <v>9.3164249160899999</v>
          </cell>
          <cell r="C26">
            <v>0.15538285326163187</v>
          </cell>
          <cell r="D26">
            <v>0.47314770242629012</v>
          </cell>
          <cell r="E26">
            <v>45.568086781128294</v>
          </cell>
        </row>
        <row r="27">
          <cell r="B27"/>
          <cell r="C27"/>
          <cell r="D27"/>
          <cell r="E27">
            <v>0</v>
          </cell>
        </row>
        <row r="28">
          <cell r="B28">
            <v>105.83442504350997</v>
          </cell>
          <cell r="C28">
            <v>1.7651465111003775</v>
          </cell>
          <cell r="D28">
            <v>5.3749496719993122</v>
          </cell>
          <cell r="E28">
            <v>517.65267345035409</v>
          </cell>
        </row>
        <row r="29">
          <cell r="B29">
            <v>68.398980852999969</v>
          </cell>
          <cell r="C29">
            <v>1.140784034739726</v>
          </cell>
          <cell r="D29">
            <v>3.473738148525654</v>
          </cell>
          <cell r="E29">
            <v>334.55007938370483</v>
          </cell>
        </row>
        <row r="30">
          <cell r="B30">
            <v>0.84514539383999987</v>
          </cell>
          <cell r="C30">
            <v>1.4095654062427496E-2</v>
          </cell>
          <cell r="D30">
            <v>4.2921893850176869E-2</v>
          </cell>
          <cell r="E30">
            <v>4.133737887229695</v>
          </cell>
        </row>
        <row r="31">
          <cell r="B31">
            <v>1.2122023189999996E-2</v>
          </cell>
          <cell r="C31">
            <v>2.0217568085724184E-4</v>
          </cell>
          <cell r="D31">
            <v>6.1563394464771084E-4</v>
          </cell>
          <cell r="E31">
            <v>5.929070535745766E-2</v>
          </cell>
        </row>
        <row r="32">
          <cell r="B32">
            <v>0.38684217534000004</v>
          </cell>
          <cell r="C32">
            <v>6.4518998980450781E-3</v>
          </cell>
          <cell r="D32">
            <v>1.9646322286953632E-2</v>
          </cell>
          <cell r="E32">
            <v>1.8921053918493556</v>
          </cell>
        </row>
        <row r="33">
          <cell r="B33">
            <v>28.775925207369998</v>
          </cell>
          <cell r="C33">
            <v>0.47993574834079322</v>
          </cell>
          <cell r="D33">
            <v>1.461425709935529</v>
          </cell>
          <cell r="E33">
            <v>140.7475366212704</v>
          </cell>
        </row>
        <row r="34">
          <cell r="B34">
            <v>0.48749999983999981</v>
          </cell>
          <cell r="C34">
            <v>8.1307091102469087E-3</v>
          </cell>
          <cell r="D34">
            <v>2.4758371041959513E-2</v>
          </cell>
          <cell r="E34">
            <v>2.3844385049616537</v>
          </cell>
        </row>
        <row r="35">
          <cell r="B35">
            <v>0.11039717483999999</v>
          </cell>
          <cell r="C35">
            <v>1.8412457754086323E-3</v>
          </cell>
          <cell r="D35">
            <v>5.6066753180920321E-3</v>
          </cell>
          <cell r="E35">
            <v>0.53996979407974388</v>
          </cell>
        </row>
        <row r="36">
          <cell r="B36">
            <v>6.8175122160899999</v>
          </cell>
          <cell r="C36">
            <v>0.11370504349287258</v>
          </cell>
          <cell r="D36">
            <v>0.34623691709629917</v>
          </cell>
          <cell r="E36">
            <v>33.345515161901005</v>
          </cell>
        </row>
        <row r="37">
          <cell r="B37"/>
          <cell r="C37"/>
          <cell r="D37"/>
          <cell r="E37">
            <v>0</v>
          </cell>
        </row>
        <row r="38">
          <cell r="B38">
            <v>141.78090273837498</v>
          </cell>
          <cell r="C38">
            <v>2.3646754419123788</v>
          </cell>
          <cell r="D38">
            <v>7.2005419442312792</v>
          </cell>
          <cell r="E38">
            <v>693.47250024320033</v>
          </cell>
        </row>
        <row r="39">
          <cell r="B39">
            <v>75.956410777469983</v>
          </cell>
          <cell r="C39">
            <v>1.2668297052158453</v>
          </cell>
          <cell r="D39">
            <v>3.8575528239206216</v>
          </cell>
          <cell r="E39">
            <v>371.51464741728449</v>
          </cell>
        </row>
        <row r="40">
          <cell r="B40">
            <v>17.456339443959997</v>
          </cell>
          <cell r="C40">
            <v>0.2911434219387713</v>
          </cell>
          <cell r="D40">
            <v>0.88654467513805557</v>
          </cell>
          <cell r="E40">
            <v>85.381677824656833</v>
          </cell>
        </row>
        <row r="41">
          <cell r="B41">
            <v>0.98542693282499993</v>
          </cell>
          <cell r="C41">
            <v>1.6435322549400104E-2</v>
          </cell>
          <cell r="D41">
            <v>5.0046288503854099E-2</v>
          </cell>
          <cell r="E41">
            <v>4.8198767655905064</v>
          </cell>
        </row>
        <row r="42">
          <cell r="B42">
            <v>47.382725584120003</v>
          </cell>
          <cell r="C42">
            <v>0.79026699220836227</v>
          </cell>
          <cell r="D42">
            <v>2.406398156668748</v>
          </cell>
          <cell r="E42">
            <v>231.75629823566862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GOVDetalhado"/>
      <sheetName val="AD ESFERA"/>
      <sheetName val="PRINCIPAIS TRIBUTOS"/>
      <sheetName val="Bases de Incidência"/>
      <sheetName val="RD ESFERA"/>
      <sheetName val="RD ESFERA DETALHADA"/>
      <sheetName val="Impostos"/>
      <sheetName val="Contribuições"/>
      <sheetName val="Patrimoniais"/>
      <sheetName val="Multas"/>
      <sheetName val="Estados"/>
      <sheetName val="Municipios"/>
      <sheetName val="Transferencias"/>
      <sheetName val="Gráficos"/>
      <sheetName val="CTB2016"/>
    </sheetNames>
    <sheetDataSet>
      <sheetData sheetId="0">
        <row r="5">
          <cell r="B5">
            <v>6267.2049999999999</v>
          </cell>
          <cell r="C5"/>
          <cell r="D5"/>
          <cell r="E5"/>
        </row>
        <row r="6">
          <cell r="B6">
            <v>206081432</v>
          </cell>
          <cell r="C6"/>
          <cell r="D6"/>
          <cell r="E6"/>
        </row>
        <row r="7">
          <cell r="B7">
            <v>2086.1564913820675</v>
          </cell>
          <cell r="C7">
            <v>33.286871761527962</v>
          </cell>
          <cell r="D7">
            <v>99.999999999999972</v>
          </cell>
          <cell r="E7">
            <v>10122.971638619376</v>
          </cell>
        </row>
        <row r="8">
          <cell r="B8"/>
          <cell r="C8"/>
          <cell r="D8"/>
          <cell r="E8"/>
        </row>
        <row r="9">
          <cell r="B9">
            <v>1374.5453953713395</v>
          </cell>
          <cell r="C9">
            <v>21.93235095024561</v>
          </cell>
          <cell r="D9">
            <v>65.888891895195769</v>
          </cell>
          <cell r="E9">
            <v>6669.9138395512491</v>
          </cell>
        </row>
        <row r="10">
          <cell r="B10">
            <v>333.76770803288002</v>
          </cell>
          <cell r="C10">
            <v>5.3256229536592476</v>
          </cell>
          <cell r="D10">
            <v>15.999169257516273</v>
          </cell>
          <cell r="E10">
            <v>1619.5913663530832</v>
          </cell>
        </row>
        <row r="11">
          <cell r="B11">
            <v>41.757059205250002</v>
          </cell>
          <cell r="C11">
            <v>0.66627881496217212</v>
          </cell>
          <cell r="D11">
            <v>2.0016264061564311</v>
          </cell>
          <cell r="E11">
            <v>202.62407340633192</v>
          </cell>
        </row>
        <row r="12">
          <cell r="B12">
            <v>33.642583159099999</v>
          </cell>
          <cell r="C12">
            <v>0.53680361754721595</v>
          </cell>
          <cell r="D12">
            <v>1.6126586523148103</v>
          </cell>
          <cell r="E12">
            <v>163.24897800156978</v>
          </cell>
        </row>
        <row r="13">
          <cell r="B13">
            <v>31.443843066339998</v>
          </cell>
          <cell r="C13">
            <v>0.50172035327295017</v>
          </cell>
          <cell r="D13">
            <v>1.5072619526020603</v>
          </cell>
          <cell r="E13">
            <v>152.57969998160726</v>
          </cell>
        </row>
        <row r="14">
          <cell r="B14">
            <v>1.11894155858</v>
          </cell>
          <cell r="C14">
            <v>1.7853916675455803E-2</v>
          </cell>
          <cell r="D14">
            <v>5.3636511124757792E-2</v>
          </cell>
          <cell r="E14">
            <v>5.4296088091041597</v>
          </cell>
        </row>
        <row r="15">
          <cell r="B15">
            <v>8.5112539117600008</v>
          </cell>
          <cell r="C15">
            <v>0.1358062152388505</v>
          </cell>
          <cell r="D15">
            <v>0.40798731767823115</v>
          </cell>
          <cell r="E15">
            <v>41.300440457731298</v>
          </cell>
        </row>
        <row r="16">
          <cell r="B16">
            <v>333.76555300312998</v>
          </cell>
          <cell r="C16">
            <v>5.325588567840529</v>
          </cell>
          <cell r="D16">
            <v>15.999065956073697</v>
          </cell>
          <cell r="E16">
            <v>1619.580909177349</v>
          </cell>
        </row>
        <row r="17">
          <cell r="B17">
            <v>200.94414766266004</v>
          </cell>
          <cell r="C17">
            <v>3.2062801147028064</v>
          </cell>
          <cell r="D17">
            <v>9.6322662510105133</v>
          </cell>
          <cell r="E17">
            <v>975.07158074610061</v>
          </cell>
        </row>
        <row r="18">
          <cell r="B18">
            <v>-2.8827680000000007E-4</v>
          </cell>
          <cell r="C18">
            <v>-4.5997665626064578E-6</v>
          </cell>
          <cell r="D18">
            <v>-1.3818560649254941E-5</v>
          </cell>
          <cell r="E18">
            <v>-1.3988489753894958E-3</v>
          </cell>
        </row>
        <row r="19">
          <cell r="B19">
            <v>66.329487429979977</v>
          </cell>
          <cell r="C19">
            <v>1.0583583500137617</v>
          </cell>
          <cell r="D19">
            <v>3.17950679654128</v>
          </cell>
          <cell r="E19">
            <v>321.86057126184943</v>
          </cell>
        </row>
        <row r="20">
          <cell r="B20">
            <v>52.680544936609991</v>
          </cell>
          <cell r="C20">
            <v>0.8405747847183872</v>
          </cell>
          <cell r="D20">
            <v>2.5252441585391034</v>
          </cell>
          <cell r="E20">
            <v>255.62974997480603</v>
          </cell>
        </row>
        <row r="21">
          <cell r="B21">
            <v>15.370795990720001</v>
          </cell>
          <cell r="C21">
            <v>0.24525759075568776</v>
          </cell>
          <cell r="D21">
            <v>0.7367997585136542</v>
          </cell>
          <cell r="E21">
            <v>74.586030587753299</v>
          </cell>
        </row>
        <row r="22">
          <cell r="B22">
            <v>15.340308320610003</v>
          </cell>
          <cell r="C22">
            <v>0.24477112717088403</v>
          </cell>
          <cell r="D22">
            <v>0.7353383307523168</v>
          </cell>
          <cell r="E22">
            <v>74.438090669954207</v>
          </cell>
        </row>
        <row r="23">
          <cell r="B23">
            <v>119.08933892390002</v>
          </cell>
          <cell r="C23">
            <v>1.9001985561969015</v>
          </cell>
          <cell r="D23">
            <v>5.7085525182726782</v>
          </cell>
          <cell r="E23">
            <v>577.87515240043558</v>
          </cell>
        </row>
        <row r="24">
          <cell r="B24">
            <v>39.06126773127</v>
          </cell>
          <cell r="C24">
            <v>0.62326456101675309</v>
          </cell>
          <cell r="D24">
            <v>1.8724035273783368</v>
          </cell>
          <cell r="E24">
            <v>189.54287803701789</v>
          </cell>
        </row>
        <row r="25">
          <cell r="B25">
            <v>19.469833709560003</v>
          </cell>
          <cell r="C25">
            <v>0.3106621485903206</v>
          </cell>
          <cell r="D25">
            <v>0.93328730562592321</v>
          </cell>
          <cell r="E25">
            <v>94.476409255347178</v>
          </cell>
        </row>
        <row r="26">
          <cell r="B26">
            <v>15.895638885439999</v>
          </cell>
          <cell r="C26">
            <v>0.2536320239315612</v>
          </cell>
          <cell r="D26">
            <v>0.76195812495874737</v>
          </cell>
          <cell r="E26">
            <v>77.132804887730003</v>
          </cell>
        </row>
        <row r="27">
          <cell r="B27">
            <v>46.357378120349921</v>
          </cell>
          <cell r="C27">
            <v>0.739681853718682</v>
          </cell>
          <cell r="D27">
            <v>2.2221428886975967</v>
          </cell>
          <cell r="E27">
            <v>224.94689439245514</v>
          </cell>
        </row>
        <row r="28">
          <cell r="B28"/>
          <cell r="C28"/>
          <cell r="D28"/>
          <cell r="E28"/>
        </row>
        <row r="29">
          <cell r="B29">
            <v>560.81875335838015</v>
          </cell>
          <cell r="C29">
            <v>8.9484667145622332</v>
          </cell>
          <cell r="D29">
            <v>26.882870756586449</v>
          </cell>
          <cell r="E29">
            <v>2721.34538233595</v>
          </cell>
        </row>
        <row r="30">
          <cell r="B30">
            <v>411.93840124417</v>
          </cell>
          <cell r="C30">
            <v>6.5729204843972706</v>
          </cell>
          <cell r="D30">
            <v>19.746284756004222</v>
          </cell>
          <cell r="E30">
            <v>1998.91080553133</v>
          </cell>
        </row>
        <row r="31">
          <cell r="B31">
            <v>37.704100321029998</v>
          </cell>
          <cell r="C31">
            <v>0.60160949451996548</v>
          </cell>
          <cell r="D31">
            <v>1.8073476499383427</v>
          </cell>
          <cell r="E31">
            <v>182.95729001451232</v>
          </cell>
        </row>
        <row r="32">
          <cell r="B32">
            <v>7.3011862136599994</v>
          </cell>
          <cell r="C32">
            <v>0.11649828294526825</v>
          </cell>
          <cell r="D32">
            <v>0.34998267118604309</v>
          </cell>
          <cell r="E32">
            <v>35.428646544245673</v>
          </cell>
        </row>
        <row r="33">
          <cell r="B33">
            <v>36.470125300989999</v>
          </cell>
          <cell r="C33">
            <v>0.5819200951778345</v>
          </cell>
          <cell r="D33">
            <v>1.7481970049537714</v>
          </cell>
          <cell r="E33">
            <v>176.96948699866371</v>
          </cell>
        </row>
        <row r="34">
          <cell r="B34">
            <v>20.88790148703</v>
          </cell>
          <cell r="C34">
            <v>0.33328894598198078</v>
          </cell>
          <cell r="D34">
            <v>1.0012624447551328</v>
          </cell>
          <cell r="E34">
            <v>101.35751331070914</v>
          </cell>
        </row>
        <row r="35">
          <cell r="B35">
            <v>31.774143399399993</v>
          </cell>
          <cell r="C35">
            <v>0.50699065052762748</v>
          </cell>
          <cell r="D35">
            <v>1.5230949130930145</v>
          </cell>
          <cell r="E35">
            <v>154.18246608166035</v>
          </cell>
        </row>
        <row r="36">
          <cell r="B36">
            <v>1.0451031018399999</v>
          </cell>
          <cell r="C36">
            <v>1.6675744639596118E-2</v>
          </cell>
          <cell r="D36">
            <v>5.0097061565483235E-2</v>
          </cell>
          <cell r="E36">
            <v>5.0713113340555589</v>
          </cell>
        </row>
        <row r="37">
          <cell r="B37">
            <v>13.697792290259999</v>
          </cell>
          <cell r="C37">
            <v>0.21856301637268924</v>
          </cell>
          <cell r="D37">
            <v>0.65660425509043563</v>
          </cell>
          <cell r="E37">
            <v>66.467862520772854</v>
          </cell>
        </row>
        <row r="38">
          <cell r="B38"/>
          <cell r="C38"/>
          <cell r="D38"/>
          <cell r="E38"/>
        </row>
        <row r="39">
          <cell r="B39">
            <v>150.792342652348</v>
          </cell>
          <cell r="C39">
            <v>2.4060540967201169</v>
          </cell>
          <cell r="D39">
            <v>7.2282373482177649</v>
          </cell>
          <cell r="E39">
            <v>731.71241673217799</v>
          </cell>
        </row>
        <row r="40">
          <cell r="B40">
            <v>53.986153537223601</v>
          </cell>
          <cell r="C40">
            <v>0.86140717492444552</v>
          </cell>
          <cell r="D40">
            <v>2.5878285622502859</v>
          </cell>
          <cell r="E40">
            <v>261.96515141268816</v>
          </cell>
        </row>
        <row r="41">
          <cell r="B41">
            <v>31.866790050081548</v>
          </cell>
          <cell r="C41">
            <v>0.50846892753757933</v>
          </cell>
          <cell r="D41">
            <v>1.5275359342275399</v>
          </cell>
          <cell r="E41">
            <v>154.63202939157347</v>
          </cell>
        </row>
        <row r="42">
          <cell r="B42">
            <v>9.7763205583815616</v>
          </cell>
          <cell r="C42">
            <v>0.1559917149412148</v>
          </cell>
          <cell r="D42">
            <v>0.46862834110325041</v>
          </cell>
          <cell r="E42">
            <v>47.439114060414532</v>
          </cell>
        </row>
        <row r="43">
          <cell r="B43">
            <v>14.665265627040004</v>
          </cell>
          <cell r="C43">
            <v>0.23400009457230142</v>
          </cell>
          <cell r="D43">
            <v>0.70298013057133291</v>
          </cell>
          <cell r="E43">
            <v>71.16247924286553</v>
          </cell>
        </row>
        <row r="44">
          <cell r="B44">
            <v>7.7504554408313</v>
          </cell>
          <cell r="C44">
            <v>0.12366685692954515</v>
          </cell>
          <cell r="D44">
            <v>0.37151841066806357</v>
          </cell>
          <cell r="E44">
            <v>37.608703344177556</v>
          </cell>
        </row>
        <row r="45">
          <cell r="B45">
            <v>12.048673100610005</v>
          </cell>
          <cell r="C45">
            <v>0.19224954506211309</v>
          </cell>
          <cell r="D45">
            <v>0.57755365670711589</v>
          </cell>
          <cell r="E45">
            <v>58.465592866270477</v>
          </cell>
        </row>
        <row r="46">
          <cell r="B46">
            <v>7.6690951849099998</v>
          </cell>
          <cell r="C46">
            <v>0.12236866649343688</v>
          </cell>
          <cell r="D46">
            <v>0.36761840334563117</v>
          </cell>
          <cell r="E46">
            <v>37.213906709023647</v>
          </cell>
        </row>
        <row r="47">
          <cell r="B47">
            <v>13.029589153270006</v>
          </cell>
          <cell r="C47">
            <v>0.20790111625948099</v>
          </cell>
          <cell r="D47">
            <v>0.62457390934454615</v>
          </cell>
          <cell r="E47">
            <v>63.225439705164732</v>
          </cell>
        </row>
      </sheetData>
      <sheetData sheetId="1">
        <row r="5">
          <cell r="B5">
            <v>6267.2049999999999</v>
          </cell>
          <cell r="C5"/>
          <cell r="D5"/>
          <cell r="E5"/>
        </row>
        <row r="6">
          <cell r="B6">
            <v>206081432</v>
          </cell>
          <cell r="C6"/>
          <cell r="D6"/>
          <cell r="E6"/>
        </row>
        <row r="7">
          <cell r="B7">
            <v>2086.156491382068</v>
          </cell>
          <cell r="C7">
            <v>33.286871761527955</v>
          </cell>
          <cell r="D7">
            <v>100.00000000000001</v>
          </cell>
          <cell r="E7">
            <v>10122.97163861938</v>
          </cell>
        </row>
        <row r="8">
          <cell r="B8"/>
          <cell r="C8"/>
          <cell r="D8"/>
          <cell r="E8">
            <v>0</v>
          </cell>
        </row>
        <row r="9">
          <cell r="B9">
            <v>1374.54539537134</v>
          </cell>
          <cell r="C9">
            <v>21.932350950245603</v>
          </cell>
          <cell r="D9">
            <v>65.888891895195783</v>
          </cell>
          <cell r="E9">
            <v>6669.91383955125</v>
          </cell>
        </row>
        <row r="10">
          <cell r="B10">
            <v>441.73013502215002</v>
          </cell>
          <cell r="C10">
            <v>7.0482796561170415</v>
          </cell>
          <cell r="D10">
            <v>21.174352779714336</v>
          </cell>
          <cell r="E10">
            <v>2143.4737265516965</v>
          </cell>
        </row>
        <row r="11">
          <cell r="B11">
            <v>386.03046865878002</v>
          </cell>
          <cell r="C11">
            <v>6.1595315401168467</v>
          </cell>
          <cell r="D11">
            <v>18.504386907380894</v>
          </cell>
          <cell r="E11">
            <v>1873.1938385345654</v>
          </cell>
        </row>
        <row r="12">
          <cell r="B12">
            <v>333.76555300312998</v>
          </cell>
          <cell r="C12">
            <v>5.325588567840529</v>
          </cell>
          <cell r="D12">
            <v>15.9990659560737</v>
          </cell>
          <cell r="E12">
            <v>1619.580909177349</v>
          </cell>
        </row>
        <row r="13">
          <cell r="B13">
            <v>119.08933892390002</v>
          </cell>
          <cell r="C13">
            <v>1.9001985561969015</v>
          </cell>
          <cell r="D13">
            <v>5.70855251827268</v>
          </cell>
          <cell r="E13">
            <v>577.87515240043558</v>
          </cell>
        </row>
        <row r="14">
          <cell r="B14">
            <v>93.929899763379922</v>
          </cell>
          <cell r="C14">
            <v>1.4987526299742855</v>
          </cell>
          <cell r="D14">
            <v>4.5025337337541655</v>
          </cell>
          <cell r="E14">
            <v>455.79021288720435</v>
          </cell>
        </row>
        <row r="15">
          <cell r="B15"/>
          <cell r="C15"/>
          <cell r="D15"/>
          <cell r="E15">
            <v>0</v>
          </cell>
        </row>
        <row r="16">
          <cell r="B16">
            <v>560.81875335838004</v>
          </cell>
          <cell r="C16">
            <v>8.9484667145622314</v>
          </cell>
          <cell r="D16">
            <v>26.882870756586453</v>
          </cell>
          <cell r="E16">
            <v>2721.3453823359496</v>
          </cell>
        </row>
        <row r="17">
          <cell r="B17">
            <v>411.93840124417</v>
          </cell>
          <cell r="C17">
            <v>6.5729204843972706</v>
          </cell>
          <cell r="D17">
            <v>19.746284756004229</v>
          </cell>
          <cell r="E17">
            <v>1998.91080553133</v>
          </cell>
        </row>
        <row r="18">
          <cell r="B18">
            <v>37.704100321029998</v>
          </cell>
          <cell r="C18">
            <v>0.60160949451996548</v>
          </cell>
          <cell r="D18">
            <v>1.8073476499383432</v>
          </cell>
          <cell r="E18">
            <v>182.95729001451232</v>
          </cell>
        </row>
        <row r="19">
          <cell r="B19">
            <v>111.17625179317999</v>
          </cell>
          <cell r="C19">
            <v>1.7739367356449962</v>
          </cell>
          <cell r="D19">
            <v>5.3292383506438812</v>
          </cell>
          <cell r="E19">
            <v>539.47728679010731</v>
          </cell>
        </row>
        <row r="20">
          <cell r="B20"/>
          <cell r="C20"/>
          <cell r="D20"/>
          <cell r="E20">
            <v>0</v>
          </cell>
        </row>
        <row r="21">
          <cell r="B21">
            <v>150.79234265234803</v>
          </cell>
          <cell r="C21">
            <v>2.4060540967201174</v>
          </cell>
          <cell r="D21">
            <v>7.2282373482177684</v>
          </cell>
          <cell r="E21">
            <v>731.7124167321781</v>
          </cell>
        </row>
        <row r="22">
          <cell r="B22">
            <v>53.986153537223601</v>
          </cell>
          <cell r="C22">
            <v>0.86140717492444552</v>
          </cell>
          <cell r="D22">
            <v>2.5878285622502868</v>
          </cell>
          <cell r="E22">
            <v>261.96515141268816</v>
          </cell>
        </row>
        <row r="23">
          <cell r="B23">
            <v>31.866790050081548</v>
          </cell>
          <cell r="C23">
            <v>0.50846892753757933</v>
          </cell>
          <cell r="D23">
            <v>1.5275359342275403</v>
          </cell>
          <cell r="E23">
            <v>154.63202939157347</v>
          </cell>
        </row>
        <row r="24">
          <cell r="B24">
            <v>64.939399065042878</v>
          </cell>
          <cell r="C24">
            <v>1.0361779942580924</v>
          </cell>
          <cell r="D24">
            <v>3.1128728517399411</v>
          </cell>
          <cell r="E24">
            <v>315.1152359279165</v>
          </cell>
        </row>
      </sheetData>
      <sheetData sheetId="2">
        <row r="5">
          <cell r="B5">
            <v>6267.2049999999999</v>
          </cell>
          <cell r="C5"/>
          <cell r="D5"/>
          <cell r="E5"/>
        </row>
        <row r="6">
          <cell r="B6">
            <v>206081432</v>
          </cell>
          <cell r="C6"/>
          <cell r="D6"/>
          <cell r="E6"/>
        </row>
        <row r="7">
          <cell r="B7">
            <v>2086.156491382068</v>
          </cell>
          <cell r="C7">
            <v>33.286871761527955</v>
          </cell>
          <cell r="D7">
            <v>99.999986181439397</v>
          </cell>
          <cell r="E7">
            <v>10122.97163861938</v>
          </cell>
        </row>
        <row r="8">
          <cell r="B8"/>
          <cell r="C8"/>
          <cell r="D8"/>
          <cell r="E8">
            <v>0</v>
          </cell>
        </row>
        <row r="9">
          <cell r="B9">
            <v>411.93840124417</v>
          </cell>
          <cell r="C9">
            <v>6.5729204843972706</v>
          </cell>
          <cell r="D9">
            <v>19.746284756004229</v>
          </cell>
          <cell r="E9">
            <v>1998.91080553133</v>
          </cell>
        </row>
        <row r="10">
          <cell r="B10">
            <v>384.90309896091003</v>
          </cell>
          <cell r="C10">
            <v>6.1415431434093826</v>
          </cell>
          <cell r="D10">
            <v>18.450346393041382</v>
          </cell>
          <cell r="E10">
            <v>1867.7233325946127</v>
          </cell>
        </row>
        <row r="11">
          <cell r="B11">
            <v>369.13102559813001</v>
          </cell>
          <cell r="C11">
            <v>5.8898827403624106</v>
          </cell>
          <cell r="D11">
            <v>17.69431138665837</v>
          </cell>
          <cell r="E11">
            <v>1791.1901233204262</v>
          </cell>
        </row>
        <row r="12">
          <cell r="B12">
            <v>200.94414766266004</v>
          </cell>
          <cell r="C12">
            <v>3.2062801147028064</v>
          </cell>
          <cell r="D12">
            <v>9.632266251010515</v>
          </cell>
          <cell r="E12">
            <v>975.07158074610061</v>
          </cell>
        </row>
        <row r="13">
          <cell r="B13">
            <v>119.08933892390002</v>
          </cell>
          <cell r="C13">
            <v>1.9001985561969015</v>
          </cell>
          <cell r="D13">
            <v>5.70855251827268</v>
          </cell>
          <cell r="E13">
            <v>577.87515240043558</v>
          </cell>
        </row>
        <row r="14">
          <cell r="B14">
            <v>66.329487429979977</v>
          </cell>
          <cell r="C14">
            <v>1.0583583500137617</v>
          </cell>
          <cell r="D14">
            <v>3.1795067965412809</v>
          </cell>
          <cell r="E14">
            <v>321.86057126184943</v>
          </cell>
        </row>
        <row r="15">
          <cell r="B15">
            <v>53.986153537223601</v>
          </cell>
          <cell r="C15">
            <v>0.86140717492444552</v>
          </cell>
          <cell r="D15">
            <v>2.5878285622502868</v>
          </cell>
          <cell r="E15">
            <v>261.96515141268816</v>
          </cell>
        </row>
        <row r="16">
          <cell r="B16">
            <v>52.680544936609991</v>
          </cell>
          <cell r="C16">
            <v>0.8405747847183872</v>
          </cell>
          <cell r="D16">
            <v>2.5252441585391039</v>
          </cell>
          <cell r="E16">
            <v>255.62974997480603</v>
          </cell>
        </row>
        <row r="17">
          <cell r="B17">
            <v>41.757059205250002</v>
          </cell>
          <cell r="C17">
            <v>0.66627881496217212</v>
          </cell>
          <cell r="D17">
            <v>2.0016264061564319</v>
          </cell>
          <cell r="E17">
            <v>202.62407340633192</v>
          </cell>
        </row>
        <row r="18">
          <cell r="B18">
            <v>37.704100321029998</v>
          </cell>
          <cell r="C18">
            <v>0.60160949451996548</v>
          </cell>
          <cell r="D18">
            <v>1.8073476499383432</v>
          </cell>
          <cell r="E18">
            <v>182.95729001451232</v>
          </cell>
        </row>
        <row r="19">
          <cell r="B19">
            <v>33.642583159099999</v>
          </cell>
          <cell r="C19">
            <v>0.53680361754721595</v>
          </cell>
          <cell r="D19">
            <v>1.6126586523148108</v>
          </cell>
          <cell r="E19">
            <v>163.24897800156978</v>
          </cell>
        </row>
        <row r="20">
          <cell r="B20">
            <v>31.866790050081548</v>
          </cell>
          <cell r="C20">
            <v>0.50846892753757933</v>
          </cell>
          <cell r="D20">
            <v>1.5275359342275403</v>
          </cell>
          <cell r="E20">
            <v>154.63202939157347</v>
          </cell>
        </row>
        <row r="21">
          <cell r="B21">
            <v>31.443843066339998</v>
          </cell>
          <cell r="C21">
            <v>0.50172035327295017</v>
          </cell>
          <cell r="D21">
            <v>1.5072619526020605</v>
          </cell>
          <cell r="E21">
            <v>152.57969998160726</v>
          </cell>
        </row>
        <row r="22">
          <cell r="B22">
            <v>9.7763205583815616</v>
          </cell>
          <cell r="C22">
            <v>0.1559917149412148</v>
          </cell>
          <cell r="D22">
            <v>0.46862834110325052</v>
          </cell>
          <cell r="E22">
            <v>47.439114060414532</v>
          </cell>
        </row>
        <row r="23">
          <cell r="B23">
            <v>7.3011862136599994</v>
          </cell>
          <cell r="C23">
            <v>0.11649828294526825</v>
          </cell>
          <cell r="D23">
            <v>0.3499826711860432</v>
          </cell>
          <cell r="E23">
            <v>35.428646544245673</v>
          </cell>
        </row>
        <row r="24">
          <cell r="B24">
            <v>1.11894155858</v>
          </cell>
          <cell r="C24">
            <v>1.7853916675455803E-2</v>
          </cell>
          <cell r="D24">
            <v>5.3636511124757799E-2</v>
          </cell>
          <cell r="E24">
            <v>5.4296088091041597</v>
          </cell>
        </row>
        <row r="25">
          <cell r="B25">
            <v>-2.8827680000000007E-4</v>
          </cell>
          <cell r="C25">
            <v>-4.5997665626064578E-6</v>
          </cell>
          <cell r="D25">
            <v>-1.3818560649254944E-5</v>
          </cell>
          <cell r="E25">
            <v>-1.3988489753894958E-3</v>
          </cell>
        </row>
        <row r="26">
          <cell r="B26">
            <v>232.54346895606159</v>
          </cell>
          <cell r="C26">
            <v>3.7104812904007702</v>
          </cell>
          <cell r="D26">
            <v>11.14698105902893</v>
          </cell>
          <cell r="E26">
            <v>1128.4057311677725</v>
          </cell>
        </row>
      </sheetData>
      <sheetData sheetId="3">
        <row r="5">
          <cell r="B5">
            <v>6267.2049999999999</v>
          </cell>
          <cell r="C5"/>
          <cell r="D5"/>
          <cell r="E5"/>
        </row>
        <row r="6">
          <cell r="B6">
            <v>206081432</v>
          </cell>
          <cell r="C6"/>
          <cell r="D6"/>
          <cell r="E6"/>
        </row>
        <row r="7">
          <cell r="B7">
            <v>2086.156491382068</v>
          </cell>
          <cell r="C7">
            <v>33.286871761527962</v>
          </cell>
          <cell r="D7">
            <v>100.00000000000001</v>
          </cell>
          <cell r="E7">
            <v>10122.97163861938</v>
          </cell>
        </row>
        <row r="8">
          <cell r="B8"/>
          <cell r="C8"/>
          <cell r="D8"/>
          <cell r="E8">
            <v>0</v>
          </cell>
        </row>
        <row r="9">
          <cell r="B9">
            <v>809.0817726039337</v>
          </cell>
          <cell r="C9">
            <v>12.90977034585487</v>
          </cell>
          <cell r="D9">
            <v>38.783369126250022</v>
          </cell>
          <cell r="E9">
            <v>3926.0294571513541</v>
          </cell>
        </row>
        <row r="10">
          <cell r="B10">
            <v>553.03808990056007</v>
          </cell>
          <cell r="C10">
            <v>8.8243178562143747</v>
          </cell>
          <cell r="D10">
            <v>26.509904323341303</v>
          </cell>
          <cell r="E10">
            <v>2683.5900960769723</v>
          </cell>
        </row>
        <row r="11">
          <cell r="B11">
            <v>455.48729661954997</v>
          </cell>
          <cell r="C11">
            <v>7.2677899736732723</v>
          </cell>
          <cell r="D11">
            <v>21.83380290506356</v>
          </cell>
          <cell r="E11">
            <v>2210.2296757116383</v>
          </cell>
        </row>
        <row r="12">
          <cell r="B12">
            <v>87.767338701733095</v>
          </cell>
          <cell r="C12">
            <v>1.4004223366194835</v>
          </cell>
          <cell r="D12">
            <v>4.2071311075799347</v>
          </cell>
          <cell r="E12">
            <v>425.88668881985006</v>
          </cell>
        </row>
        <row r="13">
          <cell r="B13">
            <v>31.443843066339998</v>
          </cell>
          <cell r="C13">
            <v>0.50172035327295017</v>
          </cell>
          <cell r="D13">
            <v>1.5072619526020605</v>
          </cell>
          <cell r="E13">
            <v>152.57969998160726</v>
          </cell>
        </row>
        <row r="14">
          <cell r="B14">
            <v>37.149610839621303</v>
          </cell>
          <cell r="C14">
            <v>0.59276201815037655</v>
          </cell>
          <cell r="D14">
            <v>1.780768173101428</v>
          </cell>
          <cell r="E14">
            <v>180.26665711261799</v>
          </cell>
        </row>
        <row r="15">
          <cell r="B15">
            <v>33.6422948823</v>
          </cell>
          <cell r="C15">
            <v>0.53679901778065342</v>
          </cell>
          <cell r="D15">
            <v>1.6126448337541615</v>
          </cell>
          <cell r="E15">
            <v>163.2475791525944</v>
          </cell>
        </row>
        <row r="16">
          <cell r="B16">
            <v>78.546244768029936</v>
          </cell>
          <cell r="C16">
            <v>1.2532898599619757</v>
          </cell>
          <cell r="D16">
            <v>3.7651175783075344</v>
          </cell>
          <cell r="E16">
            <v>381.14178461274446</v>
          </cell>
        </row>
      </sheetData>
      <sheetData sheetId="4">
        <row r="5">
          <cell r="B5">
            <v>6267.2049999999999</v>
          </cell>
          <cell r="C5"/>
          <cell r="D5"/>
          <cell r="E5"/>
        </row>
        <row r="6">
          <cell r="B6">
            <v>206081432</v>
          </cell>
          <cell r="C6"/>
          <cell r="D6"/>
          <cell r="E6"/>
        </row>
        <row r="7">
          <cell r="B7">
            <v>2086.156491382068</v>
          </cell>
          <cell r="C7">
            <v>33.286871761527948</v>
          </cell>
          <cell r="D7">
            <v>100.00000000000001</v>
          </cell>
          <cell r="E7">
            <v>10122.97163861938</v>
          </cell>
        </row>
        <row r="8">
          <cell r="B8"/>
          <cell r="C8"/>
          <cell r="D8"/>
          <cell r="E8">
            <v>0</v>
          </cell>
        </row>
        <row r="9">
          <cell r="B9">
            <v>1139.0405635949403</v>
          </cell>
          <cell r="C9">
            <v>18.174617929283311</v>
          </cell>
          <cell r="D9">
            <v>54.599957783623978</v>
          </cell>
          <cell r="E9">
            <v>5527.1382411344084</v>
          </cell>
        </row>
        <row r="10">
          <cell r="B10"/>
          <cell r="C10"/>
          <cell r="D10"/>
          <cell r="E10">
            <v>0</v>
          </cell>
        </row>
        <row r="11">
          <cell r="B11">
            <v>526.75498832160918</v>
          </cell>
          <cell r="C11">
            <v>8.4049426869172006</v>
          </cell>
          <cell r="D11">
            <v>25.250022733080623</v>
          </cell>
          <cell r="E11">
            <v>2556.0526400146969</v>
          </cell>
        </row>
        <row r="12">
          <cell r="B12"/>
          <cell r="C12"/>
          <cell r="D12"/>
          <cell r="E12">
            <v>0</v>
          </cell>
        </row>
        <row r="13">
          <cell r="B13">
            <v>420.36093946551853</v>
          </cell>
          <cell r="C13">
            <v>6.7073111453274397</v>
          </cell>
          <cell r="D13">
            <v>20.150019483295413</v>
          </cell>
          <cell r="E13">
            <v>2039.7807574702729</v>
          </cell>
        </row>
        <row r="14">
          <cell r="B14"/>
          <cell r="C14"/>
          <cell r="D14"/>
          <cell r="E14">
            <v>0</v>
          </cell>
        </row>
        <row r="15">
          <cell r="B15"/>
          <cell r="C15"/>
          <cell r="D15"/>
          <cell r="E15">
            <v>0</v>
          </cell>
        </row>
        <row r="16">
          <cell r="B16"/>
          <cell r="C16"/>
          <cell r="D16"/>
          <cell r="E16">
            <v>0</v>
          </cell>
        </row>
        <row r="17">
          <cell r="B17">
            <v>115.70615867906668</v>
          </cell>
          <cell r="C17">
            <v>1.8462162747040611</v>
          </cell>
          <cell r="D17">
            <v>5.5463796295747674</v>
          </cell>
          <cell r="E17">
            <v>561.45843687201614</v>
          </cell>
        </row>
        <row r="18">
          <cell r="B18">
            <v>69.910784809969996</v>
          </cell>
          <cell r="C18">
            <v>1.1155018035945847</v>
          </cell>
          <cell r="D18">
            <v>3.3511764385256866</v>
          </cell>
          <cell r="E18">
            <v>339.2386404320502</v>
          </cell>
        </row>
        <row r="19">
          <cell r="B19">
            <v>3.4075951514900003</v>
          </cell>
          <cell r="C19">
            <v>5.4371847601761877E-2</v>
          </cell>
          <cell r="D19">
            <v>0.16334321828524412</v>
          </cell>
          <cell r="E19">
            <v>16.5351876606234</v>
          </cell>
        </row>
        <row r="20">
          <cell r="B20">
            <v>9.0168847599999997E-3</v>
          </cell>
          <cell r="C20">
            <v>1.4387409953878962E-4</v>
          </cell>
          <cell r="D20">
            <v>4.3222475385949408E-4</v>
          </cell>
          <cell r="E20">
            <v>4.3753989248288994E-2</v>
          </cell>
        </row>
        <row r="21">
          <cell r="B21">
            <v>1.1731580264400001</v>
          </cell>
          <cell r="C21">
            <v>1.8718998763244545E-2</v>
          </cell>
          <cell r="D21">
            <v>5.6235379813850364E-2</v>
          </cell>
          <cell r="E21">
            <v>5.6926915494259571</v>
          </cell>
        </row>
        <row r="22">
          <cell r="B22">
            <v>18.924297512229998</v>
          </cell>
          <cell r="C22">
            <v>0.30195753150295862</v>
          </cell>
          <cell r="D22">
            <v>0.90713700484150883</v>
          </cell>
          <cell r="E22">
            <v>91.829221723527226</v>
          </cell>
        </row>
        <row r="23">
          <cell r="B23">
            <v>12.979889139706675</v>
          </cell>
          <cell r="C23">
            <v>0.20710809906021385</v>
          </cell>
          <cell r="D23">
            <v>0.62219153708394948</v>
          </cell>
          <cell r="E23">
            <v>62.984272836898157</v>
          </cell>
        </row>
        <row r="24">
          <cell r="B24">
            <v>1.4624999999999999</v>
          </cell>
          <cell r="C24">
            <v>2.3335761316248628E-2</v>
          </cell>
          <cell r="D24">
            <v>7.0104999602934925E-2</v>
          </cell>
          <cell r="E24">
            <v>7.0967092270593302</v>
          </cell>
        </row>
        <row r="25">
          <cell r="B25">
            <v>0.93391278678</v>
          </cell>
          <cell r="C25">
            <v>1.4901583509395336E-2</v>
          </cell>
          <cell r="D25">
            <v>4.4767149091547186E-2</v>
          </cell>
          <cell r="E25">
            <v>4.5317658059557733</v>
          </cell>
        </row>
        <row r="26">
          <cell r="B26">
            <v>6.9050043676900001</v>
          </cell>
          <cell r="C26">
            <v>0.11017677525611497</v>
          </cell>
          <cell r="D26">
            <v>0.33099167757618564</v>
          </cell>
          <cell r="E26">
            <v>33.506193647227768</v>
          </cell>
        </row>
        <row r="27">
          <cell r="B27"/>
          <cell r="C27"/>
          <cell r="D27"/>
          <cell r="E27">
            <v>0</v>
          </cell>
        </row>
        <row r="28">
          <cell r="B28">
            <v>119.79867309733299</v>
          </cell>
          <cell r="C28">
            <v>1.9115167462582279</v>
          </cell>
          <cell r="D28">
            <v>5.7425544819970344</v>
          </cell>
          <cell r="E28">
            <v>581.31716154482558</v>
          </cell>
        </row>
        <row r="29">
          <cell r="B29">
            <v>79.910745230149999</v>
          </cell>
          <cell r="C29">
            <v>1.2750619331927071</v>
          </cell>
          <cell r="D29">
            <v>3.8305249659007869</v>
          </cell>
          <cell r="E29">
            <v>387.76295590837117</v>
          </cell>
        </row>
        <row r="30">
          <cell r="B30">
            <v>0.89710617325999997</v>
          </cell>
          <cell r="C30">
            <v>1.4314294382583624E-2</v>
          </cell>
          <cell r="D30">
            <v>4.3002822509526695E-2</v>
          </cell>
          <cell r="E30">
            <v>4.3531635264452158</v>
          </cell>
        </row>
        <row r="31">
          <cell r="B31">
            <v>2.1039395849999996E-2</v>
          </cell>
          <cell r="C31">
            <v>3.3570620156832265E-4</v>
          </cell>
          <cell r="D31">
            <v>1.0085243334770877E-3</v>
          </cell>
          <cell r="E31">
            <v>0.1020926322464607</v>
          </cell>
        </row>
        <row r="32">
          <cell r="B32">
            <v>0.38684224295999997</v>
          </cell>
          <cell r="C32">
            <v>6.1724842726542366E-3</v>
          </cell>
          <cell r="D32">
            <v>1.8543299342980688E-2</v>
          </cell>
          <cell r="E32">
            <v>1.8771329333542286</v>
          </cell>
        </row>
        <row r="33">
          <cell r="B33">
            <v>31.984850682889999</v>
          </cell>
          <cell r="C33">
            <v>0.51035271198069954</v>
          </cell>
          <cell r="D33">
            <v>1.5331951756744868</v>
          </cell>
          <cell r="E33">
            <v>155.20491279820882</v>
          </cell>
        </row>
        <row r="34">
          <cell r="B34">
            <v>0.4875000000000001</v>
          </cell>
          <cell r="C34">
            <v>7.7785871054162122E-3</v>
          </cell>
          <cell r="D34">
            <v>2.3368333200978319E-2</v>
          </cell>
          <cell r="E34">
            <v>2.3655697423531108</v>
          </cell>
        </row>
        <row r="35">
          <cell r="B35">
            <v>0.30536850070999999</v>
          </cell>
          <cell r="C35">
            <v>4.8724830400473573E-3</v>
          </cell>
          <cell r="D35">
            <v>1.4637852048563001E-2</v>
          </cell>
          <cell r="E35">
            <v>1.4817856113790979</v>
          </cell>
        </row>
        <row r="36">
          <cell r="B36">
            <v>5.8052208715129936</v>
          </cell>
          <cell r="C36">
            <v>9.2628546082551846E-2</v>
          </cell>
          <cell r="D36">
            <v>0.27827350898623454</v>
          </cell>
          <cell r="E36">
            <v>28.169548392467469</v>
          </cell>
        </row>
        <row r="37">
          <cell r="B37"/>
          <cell r="C37"/>
          <cell r="D37"/>
          <cell r="E37">
            <v>0</v>
          </cell>
        </row>
        <row r="38">
          <cell r="B38">
            <v>149.76992371583751</v>
          </cell>
          <cell r="C38">
            <v>2.3897403023490935</v>
          </cell>
          <cell r="D38">
            <v>7.1792276530806047</v>
          </cell>
          <cell r="E38">
            <v>726.75117919326908</v>
          </cell>
        </row>
        <row r="39">
          <cell r="B39">
            <v>80.131864278530003</v>
          </cell>
          <cell r="C39">
            <v>1.2785901255588417</v>
          </cell>
          <cell r="D39">
            <v>3.8411243168743807</v>
          </cell>
          <cell r="E39">
            <v>388.83592520130583</v>
          </cell>
        </row>
        <row r="40">
          <cell r="B40">
            <v>18.852050160514999</v>
          </cell>
          <cell r="C40">
            <v>0.30080474725998274</v>
          </cell>
          <cell r="D40">
            <v>0.90367382496917181</v>
          </cell>
          <cell r="E40">
            <v>91.478645007256162</v>
          </cell>
        </row>
        <row r="41">
          <cell r="B41">
            <v>0.85189878787250006</v>
          </cell>
          <cell r="C41">
            <v>1.3592961900440469E-2</v>
          </cell>
          <cell r="D41">
            <v>4.083580457131103E-2</v>
          </cell>
          <cell r="E41">
            <v>4.13379691515585</v>
          </cell>
        </row>
        <row r="42">
          <cell r="B42">
            <v>49.934110488919998</v>
          </cell>
          <cell r="C42">
            <v>0.79675246762982865</v>
          </cell>
          <cell r="D42">
            <v>2.3935937066657411</v>
          </cell>
          <cell r="E42">
            <v>242.30281206955121</v>
          </cell>
        </row>
        <row r="43">
          <cell r="B43"/>
        </row>
        <row r="44">
          <cell r="B44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GOVDetalhado"/>
      <sheetName val="AD ESFERA"/>
      <sheetName val="PRINCIPAIS TRIBUTOS"/>
      <sheetName val="Bases de Incidência"/>
      <sheetName val="RD ESFERA"/>
      <sheetName val="RD ESFERA DETALHADA"/>
      <sheetName val="Impostos"/>
      <sheetName val="Contribuições"/>
      <sheetName val="Patrimoniais"/>
      <sheetName val="Multas"/>
      <sheetName val="Estados"/>
      <sheetName val="Municipios"/>
      <sheetName val="Transferencias"/>
      <sheetName val="Gráficos"/>
    </sheetNames>
    <sheetDataSet>
      <sheetData sheetId="0">
        <row r="5">
          <cell r="B5">
            <v>6553.8426904999897</v>
          </cell>
          <cell r="C5"/>
          <cell r="D5"/>
          <cell r="E5"/>
        </row>
        <row r="6">
          <cell r="B6">
            <v>207660929</v>
          </cell>
          <cell r="C6"/>
          <cell r="D6"/>
          <cell r="E6"/>
        </row>
        <row r="7">
          <cell r="B7">
            <v>2203.4044596355443</v>
          </cell>
          <cell r="C7">
            <v>33.620038864061399</v>
          </cell>
          <cell r="D7">
            <v>100.00000000000001</v>
          </cell>
          <cell r="E7">
            <v>10610.587510352245</v>
          </cell>
        </row>
        <row r="8">
          <cell r="B8"/>
          <cell r="C8"/>
          <cell r="D8"/>
          <cell r="E8"/>
        </row>
        <row r="9">
          <cell r="B9">
            <v>1439.7472453331</v>
          </cell>
          <cell r="C9">
            <v>21.967986009491209</v>
          </cell>
          <cell r="D9">
            <v>65.341941150978826</v>
          </cell>
          <cell r="E9">
            <v>6933.1638467874709</v>
          </cell>
        </row>
        <row r="10">
          <cell r="B10">
            <v>352.07921321182005</v>
          </cell>
          <cell r="C10">
            <v>5.372103509932737</v>
          </cell>
          <cell r="D10">
            <v>15.978873586833716</v>
          </cell>
          <cell r="E10">
            <v>1695.4523650995516</v>
          </cell>
        </row>
        <row r="11">
          <cell r="B11">
            <v>47.576969316800003</v>
          </cell>
          <cell r="C11">
            <v>0.72594005629345337</v>
          </cell>
          <cell r="D11">
            <v>2.1592481175548457</v>
          </cell>
          <cell r="E11">
            <v>229.10891107879038</v>
          </cell>
        </row>
        <row r="12">
          <cell r="B12">
            <v>34.408094746450004</v>
          </cell>
          <cell r="C12">
            <v>0.52500641793440761</v>
          </cell>
          <cell r="D12">
            <v>1.5615877782212215</v>
          </cell>
          <cell r="E12">
            <v>165.69363775912802</v>
          </cell>
        </row>
        <row r="13">
          <cell r="B13">
            <v>32.430855851270003</v>
          </cell>
          <cell r="C13">
            <v>0.49483726391967869</v>
          </cell>
          <cell r="D13">
            <v>1.4718521472283059</v>
          </cell>
          <cell r="E13">
            <v>156.17216010465793</v>
          </cell>
        </row>
        <row r="14">
          <cell r="B14">
            <v>1.2712081235600001</v>
          </cell>
          <cell r="C14">
            <v>1.9396378332404256E-2</v>
          </cell>
          <cell r="D14">
            <v>5.7692908716825669E-2</v>
          </cell>
          <cell r="E14">
            <v>6.1215565666664249</v>
          </cell>
        </row>
        <row r="15">
          <cell r="B15">
            <v>8.30670145725</v>
          </cell>
          <cell r="C15">
            <v>0.12674551174825782</v>
          </cell>
          <cell r="D15">
            <v>0.37699394774865708</v>
          </cell>
          <cell r="E15">
            <v>40.001272734602857</v>
          </cell>
        </row>
        <row r="16">
          <cell r="B16">
            <v>351.88658371320003</v>
          </cell>
          <cell r="C16">
            <v>5.3691643258888586</v>
          </cell>
          <cell r="D16">
            <v>15.970131229170887</v>
          </cell>
          <cell r="E16">
            <v>1694.5247495892693</v>
          </cell>
        </row>
        <row r="17">
          <cell r="B17">
            <v>214.80577774813</v>
          </cell>
          <cell r="C17">
            <v>3.2775546788679875</v>
          </cell>
          <cell r="D17">
            <v>9.7488128794865077</v>
          </cell>
          <cell r="E17">
            <v>1034.4063217984062</v>
          </cell>
        </row>
        <row r="18">
          <cell r="B18">
            <v>9.8953080000000005E-5</v>
          </cell>
          <cell r="C18">
            <v>1.5098482626602519E-6</v>
          </cell>
          <cell r="D18">
            <v>4.4909176600453753E-6</v>
          </cell>
          <cell r="E18">
            <v>4.7651274833697773E-4</v>
          </cell>
        </row>
        <row r="19">
          <cell r="B19">
            <v>67.348213325779994</v>
          </cell>
          <cell r="C19">
            <v>1.0276141266466992</v>
          </cell>
          <cell r="D19">
            <v>3.0565524650394775</v>
          </cell>
          <cell r="E19">
            <v>324.31817410284236</v>
          </cell>
        </row>
        <row r="20">
          <cell r="B20">
            <v>57.142050989510004</v>
          </cell>
          <cell r="C20">
            <v>0.87188621527854626</v>
          </cell>
          <cell r="D20">
            <v>2.5933527882103697</v>
          </cell>
          <cell r="E20">
            <v>275.16996704522114</v>
          </cell>
        </row>
        <row r="21">
          <cell r="B21">
            <v>17.133172159530002</v>
          </cell>
          <cell r="C21">
            <v>0.26142177907878528</v>
          </cell>
          <cell r="D21">
            <v>0.77757726615312062</v>
          </cell>
          <cell r="E21">
            <v>82.505516285781439</v>
          </cell>
        </row>
        <row r="22">
          <cell r="B22">
            <v>14.342964326560002</v>
          </cell>
          <cell r="C22">
            <v>0.218848162885426</v>
          </cell>
          <cell r="D22">
            <v>0.65094559756552428</v>
          </cell>
          <cell r="E22">
            <v>69.0691522744753</v>
          </cell>
        </row>
        <row r="23">
          <cell r="B23">
            <v>123.53500958701999</v>
          </cell>
          <cell r="C23">
            <v>1.8849248512798153</v>
          </cell>
          <cell r="D23">
            <v>5.6065516726535725</v>
          </cell>
          <cell r="E23">
            <v>594.88807154002473</v>
          </cell>
        </row>
        <row r="24">
          <cell r="B24">
            <v>51.731544939350002</v>
          </cell>
          <cell r="C24">
            <v>0.78933150187349754</v>
          </cell>
          <cell r="D24">
            <v>2.3478006823997584</v>
          </cell>
          <cell r="E24">
            <v>249.11544597467343</v>
          </cell>
        </row>
        <row r="25">
          <cell r="B25">
            <v>20.076972003449999</v>
          </cell>
          <cell r="C25">
            <v>0.30633893658375766</v>
          </cell>
          <cell r="D25">
            <v>0.9111796028029665</v>
          </cell>
          <cell r="E25">
            <v>96.681509131888745</v>
          </cell>
        </row>
        <row r="26">
          <cell r="B26">
            <v>16.471161694499997</v>
          </cell>
          <cell r="C26">
            <v>0.25132067509608502</v>
          </cell>
          <cell r="D26">
            <v>0.74753237529638228</v>
          </cell>
          <cell r="E26">
            <v>79.317576849037394</v>
          </cell>
        </row>
        <row r="27">
          <cell r="B27">
            <v>29.200653185840014</v>
          </cell>
          <cell r="C27">
            <v>0.44555010800255129</v>
          </cell>
          <cell r="D27">
            <v>1.3252516149790303</v>
          </cell>
          <cell r="E27">
            <v>140.61698233970637</v>
          </cell>
        </row>
        <row r="28">
          <cell r="B28"/>
          <cell r="C28"/>
          <cell r="D28"/>
          <cell r="E28"/>
        </row>
        <row r="29">
          <cell r="B29">
            <v>599.89914551422009</v>
          </cell>
          <cell r="C29">
            <v>9.1533955550046002</v>
          </cell>
          <cell r="D29">
            <v>27.226011225076981</v>
          </cell>
          <cell r="E29">
            <v>2888.8397466151182</v>
          </cell>
        </row>
        <row r="30">
          <cell r="B30">
            <v>445.13303929963001</v>
          </cell>
          <cell r="C30">
            <v>6.7919396348170666</v>
          </cell>
          <cell r="D30">
            <v>20.202057654601354</v>
          </cell>
          <cell r="E30">
            <v>2143.5570063332907</v>
          </cell>
        </row>
        <row r="31">
          <cell r="B31">
            <v>39.125595798160013</v>
          </cell>
          <cell r="C31">
            <v>0.59698710582226588</v>
          </cell>
          <cell r="D31">
            <v>1.7756883275361808</v>
          </cell>
          <cell r="E31">
            <v>188.41096390433663</v>
          </cell>
        </row>
        <row r="32">
          <cell r="B32">
            <v>7.0893822337499994</v>
          </cell>
          <cell r="C32">
            <v>0.10817138232546064</v>
          </cell>
          <cell r="D32">
            <v>0.32174674979656825</v>
          </cell>
          <cell r="E32">
            <v>34.139220448878945</v>
          </cell>
        </row>
        <row r="33">
          <cell r="B33">
            <v>39.398750086290001</v>
          </cell>
          <cell r="C33">
            <v>0.60115495514409867</v>
          </cell>
          <cell r="D33">
            <v>1.7880852475358422</v>
          </cell>
          <cell r="E33">
            <v>189.72634994948905</v>
          </cell>
        </row>
        <row r="34">
          <cell r="B34">
            <v>23.096097037250004</v>
          </cell>
          <cell r="C34">
            <v>0.35240542271068781</v>
          </cell>
          <cell r="D34">
            <v>1.048200521527048</v>
          </cell>
          <cell r="E34">
            <v>111.22023362059602</v>
          </cell>
        </row>
        <row r="35">
          <cell r="B35">
            <v>32.842180946660001</v>
          </cell>
          <cell r="C35">
            <v>0.50111335437247861</v>
          </cell>
          <cell r="D35">
            <v>1.4905198545387484</v>
          </cell>
          <cell r="E35">
            <v>158.15291352500884</v>
          </cell>
        </row>
        <row r="36">
          <cell r="B36">
            <v>1.7578071930200003</v>
          </cell>
          <cell r="C36">
            <v>2.6821015944859333E-2</v>
          </cell>
          <cell r="D36">
            <v>7.977687370709742E-2</v>
          </cell>
          <cell r="E36">
            <v>8.4647949977147618</v>
          </cell>
        </row>
        <row r="37">
          <cell r="B37">
            <v>11.456292919460001</v>
          </cell>
          <cell r="C37">
            <v>0.17480268386768383</v>
          </cell>
          <cell r="D37">
            <v>0.51993599583414385</v>
          </cell>
          <cell r="E37">
            <v>55.168263835803224</v>
          </cell>
        </row>
        <row r="38">
          <cell r="B38"/>
          <cell r="C38"/>
          <cell r="D38"/>
          <cell r="E38"/>
        </row>
        <row r="39">
          <cell r="B39">
            <v>163.75806878822408</v>
          </cell>
          <cell r="C39">
            <v>2.4986572995655933</v>
          </cell>
          <cell r="D39">
            <v>7.4320476239442055</v>
          </cell>
          <cell r="E39">
            <v>788.58391694965451</v>
          </cell>
        </row>
        <row r="40">
          <cell r="B40">
            <v>56.279560322004087</v>
          </cell>
          <cell r="C40">
            <v>0.85872613945377663</v>
          </cell>
          <cell r="D40">
            <v>2.554209240881407</v>
          </cell>
          <cell r="E40">
            <v>271.01660670122538</v>
          </cell>
        </row>
        <row r="41">
          <cell r="B41">
            <v>35.284886591271473</v>
          </cell>
          <cell r="C41">
            <v>0.53838470432648733</v>
          </cell>
          <cell r="D41">
            <v>1.6013803746729189</v>
          </cell>
          <cell r="E41">
            <v>169.91586602827664</v>
          </cell>
        </row>
        <row r="42">
          <cell r="B42">
            <v>10.293095183890959</v>
          </cell>
          <cell r="C42">
            <v>0.15705435223233444</v>
          </cell>
          <cell r="D42">
            <v>0.46714506448777438</v>
          </cell>
          <cell r="E42">
            <v>49.56683586776672</v>
          </cell>
        </row>
        <row r="43">
          <cell r="B43">
            <v>16.22476628627</v>
          </cell>
          <cell r="C43">
            <v>0.24756111875843972</v>
          </cell>
          <cell r="D43">
            <v>0.7363498887060288</v>
          </cell>
          <cell r="E43">
            <v>78.131049323534526</v>
          </cell>
        </row>
        <row r="44">
          <cell r="B44">
            <v>8.6444444293475708</v>
          </cell>
          <cell r="C44">
            <v>0.13189886967958472</v>
          </cell>
          <cell r="D44">
            <v>0.39232218086630422</v>
          </cell>
          <cell r="E44">
            <v>41.627688323341609</v>
          </cell>
        </row>
        <row r="45">
          <cell r="B45">
            <v>12.823354349399997</v>
          </cell>
          <cell r="C45">
            <v>0.19566161342242575</v>
          </cell>
          <cell r="D45">
            <v>0.58197914111152593</v>
          </cell>
          <cell r="E45">
            <v>61.751406059634824</v>
          </cell>
        </row>
        <row r="46">
          <cell r="B46">
            <v>7.9531406867099976</v>
          </cell>
          <cell r="C46">
            <v>0.12135080230470494</v>
          </cell>
          <cell r="D46">
            <v>0.36094783469874131</v>
          </cell>
          <cell r="E46">
            <v>38.298685867431502</v>
          </cell>
        </row>
        <row r="47">
          <cell r="B47">
            <v>16.254820939330003</v>
          </cell>
          <cell r="C47">
            <v>0.24801969938784008</v>
          </cell>
          <cell r="D47">
            <v>0.73771389851950508</v>
          </cell>
          <cell r="E47">
            <v>78.275778778443211</v>
          </cell>
        </row>
      </sheetData>
      <sheetData sheetId="1">
        <row r="5">
          <cell r="B5">
            <v>6553.8426904999897</v>
          </cell>
          <cell r="C5"/>
          <cell r="D5"/>
          <cell r="E5"/>
        </row>
        <row r="6">
          <cell r="B6">
            <v>207660929</v>
          </cell>
          <cell r="C6"/>
          <cell r="D6"/>
          <cell r="E6"/>
        </row>
        <row r="7">
          <cell r="B7">
            <v>2203.4044596355438</v>
          </cell>
          <cell r="C7">
            <v>33.620038864061399</v>
          </cell>
          <cell r="D7">
            <v>100.00000000000001</v>
          </cell>
          <cell r="E7">
            <v>10610.587510352243</v>
          </cell>
        </row>
        <row r="8">
          <cell r="B8"/>
          <cell r="C8"/>
          <cell r="D8"/>
          <cell r="E8">
            <v>0</v>
          </cell>
        </row>
        <row r="9">
          <cell r="B9">
            <v>1439.7472453330997</v>
          </cell>
          <cell r="C9">
            <v>21.967986009491206</v>
          </cell>
          <cell r="D9">
            <v>65.341941150978826</v>
          </cell>
          <cell r="E9">
            <v>6933.16384678747</v>
          </cell>
        </row>
        <row r="10">
          <cell r="B10">
            <v>467.76634124989999</v>
          </cell>
          <cell r="C10">
            <v>7.13728362641268</v>
          </cell>
          <cell r="D10">
            <v>21.229254538554912</v>
          </cell>
          <cell r="E10">
            <v>2252.5486306087942</v>
          </cell>
        </row>
        <row r="11">
          <cell r="B11">
            <v>407.32041120053992</v>
          </cell>
          <cell r="C11">
            <v>6.214986084285548</v>
          </cell>
          <cell r="D11">
            <v>18.485957465472005</v>
          </cell>
          <cell r="E11">
            <v>1961.4686940004005</v>
          </cell>
        </row>
        <row r="12">
          <cell r="B12">
            <v>351.88658371320003</v>
          </cell>
          <cell r="C12">
            <v>5.3691643258888586</v>
          </cell>
          <cell r="D12">
            <v>15.970131229170887</v>
          </cell>
          <cell r="E12">
            <v>1694.5247495892693</v>
          </cell>
        </row>
        <row r="13">
          <cell r="B13">
            <v>123.53500958701999</v>
          </cell>
          <cell r="C13">
            <v>1.8849248512798153</v>
          </cell>
          <cell r="D13">
            <v>5.6065516726535725</v>
          </cell>
          <cell r="E13">
            <v>594.88807154002473</v>
          </cell>
        </row>
        <row r="14">
          <cell r="B14">
            <v>89.238899582440013</v>
          </cell>
          <cell r="C14">
            <v>1.3616271216243065</v>
          </cell>
          <cell r="D14">
            <v>4.0500462451274455</v>
          </cell>
          <cell r="E14">
            <v>429.73370104898265</v>
          </cell>
        </row>
        <row r="15">
          <cell r="B15"/>
          <cell r="C15"/>
          <cell r="D15"/>
          <cell r="E15">
            <v>0</v>
          </cell>
        </row>
        <row r="16">
          <cell r="B16">
            <v>599.89914551421998</v>
          </cell>
          <cell r="C16">
            <v>9.153395555004602</v>
          </cell>
          <cell r="D16">
            <v>27.226011225076981</v>
          </cell>
          <cell r="E16">
            <v>2888.8397466151177</v>
          </cell>
        </row>
        <row r="17">
          <cell r="B17">
            <v>445.13303929963001</v>
          </cell>
          <cell r="C17">
            <v>6.7919396348170666</v>
          </cell>
          <cell r="D17">
            <v>20.202057654601354</v>
          </cell>
          <cell r="E17">
            <v>2143.5570063332907</v>
          </cell>
        </row>
        <row r="18">
          <cell r="B18">
            <v>39.125595798160013</v>
          </cell>
          <cell r="C18">
            <v>0.59698710582226588</v>
          </cell>
          <cell r="D18">
            <v>1.7756883275361808</v>
          </cell>
          <cell r="E18">
            <v>188.41096390433663</v>
          </cell>
        </row>
        <row r="19">
          <cell r="B19">
            <v>115.64051041643</v>
          </cell>
          <cell r="C19">
            <v>1.7644688143652689</v>
          </cell>
          <cell r="D19">
            <v>5.2482652429394481</v>
          </cell>
          <cell r="E19">
            <v>556.87177637749085</v>
          </cell>
        </row>
        <row r="20">
          <cell r="B20"/>
          <cell r="C20"/>
          <cell r="D20"/>
          <cell r="E20">
            <v>0</v>
          </cell>
        </row>
        <row r="21">
          <cell r="B21">
            <v>163.75806878822408</v>
          </cell>
          <cell r="C21">
            <v>2.4986572995655938</v>
          </cell>
          <cell r="D21">
            <v>7.4320476239442055</v>
          </cell>
          <cell r="E21">
            <v>788.58391694965451</v>
          </cell>
        </row>
        <row r="22">
          <cell r="B22">
            <v>56.279560322004087</v>
          </cell>
          <cell r="C22">
            <v>0.85872613945377663</v>
          </cell>
          <cell r="D22">
            <v>2.554209240881407</v>
          </cell>
          <cell r="E22">
            <v>271.01660670122538</v>
          </cell>
        </row>
        <row r="23">
          <cell r="B23">
            <v>35.284886591271473</v>
          </cell>
          <cell r="C23">
            <v>0.53838470432648733</v>
          </cell>
          <cell r="D23">
            <v>1.6013803746729189</v>
          </cell>
          <cell r="E23">
            <v>169.91586602827664</v>
          </cell>
        </row>
        <row r="24">
          <cell r="B24">
            <v>72.193621874948533</v>
          </cell>
          <cell r="C24">
            <v>1.1015464557853298</v>
          </cell>
          <cell r="D24">
            <v>3.2764580083898798</v>
          </cell>
          <cell r="E24">
            <v>347.65144422015243</v>
          </cell>
        </row>
      </sheetData>
      <sheetData sheetId="2">
        <row r="5">
          <cell r="B5">
            <v>6553.8426904999897</v>
          </cell>
          <cell r="C5"/>
          <cell r="D5"/>
          <cell r="E5"/>
        </row>
        <row r="6">
          <cell r="B6">
            <v>207660929</v>
          </cell>
          <cell r="C6"/>
          <cell r="D6"/>
          <cell r="E6"/>
        </row>
        <row r="7">
          <cell r="B7">
            <v>2203.4044596355438</v>
          </cell>
          <cell r="C7">
            <v>33.620038864061399</v>
          </cell>
          <cell r="D7">
            <v>100.00000449091769</v>
          </cell>
          <cell r="E7">
            <v>10610.587510352243</v>
          </cell>
        </row>
        <row r="8">
          <cell r="B8"/>
          <cell r="C8"/>
          <cell r="D8"/>
          <cell r="E8">
            <v>0</v>
          </cell>
        </row>
        <row r="9">
          <cell r="B9">
            <v>445.13303929963001</v>
          </cell>
          <cell r="C9">
            <v>6.7919396348170666</v>
          </cell>
          <cell r="D9">
            <v>20.202057654601354</v>
          </cell>
          <cell r="E9">
            <v>2143.5570063332907</v>
          </cell>
        </row>
        <row r="10">
          <cell r="B10">
            <v>388.43471741115002</v>
          </cell>
          <cell r="C10">
            <v>5.9268239375687015</v>
          </cell>
          <cell r="D10">
            <v>17.628843207270236</v>
          </cell>
          <cell r="E10">
            <v>1870.5238355701954</v>
          </cell>
        </row>
        <row r="11">
          <cell r="B11">
            <v>407.70272958438005</v>
          </cell>
          <cell r="C11">
            <v>6.2208195838352749</v>
          </cell>
          <cell r="D11">
            <v>18.503308723075584</v>
          </cell>
          <cell r="E11">
            <v>1963.3097643725753</v>
          </cell>
        </row>
        <row r="12">
          <cell r="B12">
            <v>214.80577774813</v>
          </cell>
          <cell r="C12">
            <v>3.2775546788679875</v>
          </cell>
          <cell r="D12">
            <v>9.7488128794865077</v>
          </cell>
          <cell r="E12">
            <v>1034.4063217984062</v>
          </cell>
        </row>
        <row r="13">
          <cell r="B13">
            <v>123.53500958701999</v>
          </cell>
          <cell r="C13">
            <v>1.8849248512798153</v>
          </cell>
          <cell r="D13">
            <v>5.6065516726535725</v>
          </cell>
          <cell r="E13">
            <v>594.88807154002473</v>
          </cell>
        </row>
        <row r="14">
          <cell r="B14">
            <v>47.576969316800003</v>
          </cell>
          <cell r="C14">
            <v>0.72594005629345337</v>
          </cell>
          <cell r="D14">
            <v>2.1592481175548457</v>
          </cell>
          <cell r="E14">
            <v>229.10891107879038</v>
          </cell>
        </row>
        <row r="15">
          <cell r="B15">
            <v>67.348213325779994</v>
          </cell>
          <cell r="C15">
            <v>1.0276141266466992</v>
          </cell>
          <cell r="D15">
            <v>3.0565524650394775</v>
          </cell>
          <cell r="E15">
            <v>324.31817410284236</v>
          </cell>
        </row>
        <row r="16">
          <cell r="B16">
            <v>57.142050989510004</v>
          </cell>
          <cell r="C16">
            <v>0.87188621527854626</v>
          </cell>
          <cell r="D16">
            <v>2.5933527882103697</v>
          </cell>
          <cell r="E16">
            <v>275.16996704522114</v>
          </cell>
        </row>
        <row r="17">
          <cell r="B17">
            <v>56.279560322004087</v>
          </cell>
          <cell r="C17">
            <v>0.85872613945377663</v>
          </cell>
          <cell r="D17">
            <v>2.554209240881407</v>
          </cell>
          <cell r="E17">
            <v>271.01660670122538</v>
          </cell>
        </row>
        <row r="18">
          <cell r="B18">
            <v>32.430855851270003</v>
          </cell>
          <cell r="C18">
            <v>0.49483726391967869</v>
          </cell>
          <cell r="D18">
            <v>1.4718521472283059</v>
          </cell>
          <cell r="E18">
            <v>156.17216010465793</v>
          </cell>
        </row>
        <row r="19">
          <cell r="B19">
            <v>39.125595798160013</v>
          </cell>
          <cell r="C19">
            <v>0.59698710582226588</v>
          </cell>
          <cell r="D19">
            <v>1.7756883275361808</v>
          </cell>
          <cell r="E19">
            <v>188.41096390433663</v>
          </cell>
        </row>
        <row r="20">
          <cell r="B20">
            <v>35.284886591271473</v>
          </cell>
          <cell r="C20">
            <v>0.53838470432648733</v>
          </cell>
          <cell r="D20">
            <v>1.6013803746729189</v>
          </cell>
          <cell r="E20">
            <v>169.91586602827664</v>
          </cell>
        </row>
        <row r="21">
          <cell r="B21">
            <v>34.408094746450004</v>
          </cell>
          <cell r="C21">
            <v>0.52500641793440761</v>
          </cell>
          <cell r="D21">
            <v>1.5615877782212215</v>
          </cell>
          <cell r="E21">
            <v>165.69363775912802</v>
          </cell>
        </row>
        <row r="22">
          <cell r="B22">
            <v>10.293095183890959</v>
          </cell>
          <cell r="C22">
            <v>0.15705435223233444</v>
          </cell>
          <cell r="D22">
            <v>0.46714506448777438</v>
          </cell>
          <cell r="E22">
            <v>49.56683586776672</v>
          </cell>
        </row>
        <row r="23">
          <cell r="B23">
            <v>7.0893822337499994</v>
          </cell>
          <cell r="C23">
            <v>0.10817138232546064</v>
          </cell>
          <cell r="D23">
            <v>0.32174674979656825</v>
          </cell>
          <cell r="E23">
            <v>34.139220448878945</v>
          </cell>
        </row>
        <row r="24">
          <cell r="B24">
            <v>1.2712081235600001</v>
          </cell>
          <cell r="C24">
            <v>1.9396378332404256E-2</v>
          </cell>
          <cell r="D24">
            <v>5.7692908716825669E-2</v>
          </cell>
          <cell r="E24">
            <v>6.1215565666664249</v>
          </cell>
        </row>
        <row r="25">
          <cell r="B25">
            <v>9.8953080000000005E-5</v>
          </cell>
          <cell r="C25">
            <v>1.5098482626602519E-6</v>
          </cell>
          <cell r="D25">
            <v>4.4909176600453753E-6</v>
          </cell>
          <cell r="E25">
            <v>4.7651274833697773E-4</v>
          </cell>
        </row>
        <row r="26">
          <cell r="B26">
            <v>235.54327352278756</v>
          </cell>
          <cell r="C26">
            <v>3.5939720351270452</v>
          </cell>
          <cell r="D26">
            <v>10.689969900566863</v>
          </cell>
          <cell r="E26">
            <v>1134.2686111299615</v>
          </cell>
        </row>
      </sheetData>
      <sheetData sheetId="3">
        <row r="5">
          <cell r="B5">
            <v>6553.8426904999897</v>
          </cell>
          <cell r="C5"/>
          <cell r="D5"/>
          <cell r="E5"/>
        </row>
        <row r="6">
          <cell r="B6">
            <v>207660929</v>
          </cell>
          <cell r="C6"/>
          <cell r="D6"/>
          <cell r="E6"/>
        </row>
        <row r="7">
          <cell r="B7">
            <v>2203.4044596355438</v>
          </cell>
          <cell r="C7">
            <v>33.620038864061399</v>
          </cell>
          <cell r="D7">
            <v>100.00000000000003</v>
          </cell>
          <cell r="E7">
            <v>10610.587510352243</v>
          </cell>
        </row>
        <row r="8">
          <cell r="B8"/>
          <cell r="C8"/>
          <cell r="D8"/>
          <cell r="E8">
            <v>0</v>
          </cell>
        </row>
        <row r="9">
          <cell r="B9">
            <v>882.37989049515409</v>
          </cell>
          <cell r="C9">
            <v>13.463550044833891</v>
          </cell>
          <cell r="D9">
            <v>40.046206071540084</v>
          </cell>
          <cell r="E9">
            <v>4249.1377397967535</v>
          </cell>
        </row>
        <row r="10">
          <cell r="B10">
            <v>579.97642892685997</v>
          </cell>
          <cell r="C10">
            <v>8.8494102821167022</v>
          </cell>
          <cell r="D10">
            <v>26.321832398523487</v>
          </cell>
          <cell r="E10">
            <v>2792.9010609735833</v>
          </cell>
        </row>
        <row r="11">
          <cell r="B11">
            <v>479.62541119630009</v>
          </cell>
          <cell r="C11">
            <v>7.3182319723897686</v>
          </cell>
          <cell r="D11">
            <v>21.76747029347635</v>
          </cell>
          <cell r="E11">
            <v>2309.6564842792363</v>
          </cell>
        </row>
        <row r="12">
          <cell r="B12">
            <v>93.064167930632436</v>
          </cell>
          <cell r="C12">
            <v>1.4199939230389524</v>
          </cell>
          <cell r="D12">
            <v>4.2236534252102675</v>
          </cell>
          <cell r="E12">
            <v>448.15444281592534</v>
          </cell>
        </row>
        <row r="13">
          <cell r="B13">
            <v>32.430855851270003</v>
          </cell>
          <cell r="C13">
            <v>0.49483726391967869</v>
          </cell>
          <cell r="D13">
            <v>1.4718521472283059</v>
          </cell>
          <cell r="E13">
            <v>156.17216010465793</v>
          </cell>
        </row>
        <row r="14">
          <cell r="B14">
            <v>40.047242923847577</v>
          </cell>
          <cell r="C14">
            <v>0.61104980413853038</v>
          </cell>
          <cell r="D14">
            <v>1.8175166501420092</v>
          </cell>
          <cell r="E14">
            <v>192.84919467854053</v>
          </cell>
        </row>
        <row r="15">
          <cell r="B15">
            <v>34.408193699530003</v>
          </cell>
          <cell r="C15">
            <v>0.52500792778267025</v>
          </cell>
          <cell r="D15">
            <v>1.5615922691388817</v>
          </cell>
          <cell r="E15">
            <v>165.69411427187637</v>
          </cell>
        </row>
        <row r="16">
          <cell r="B16">
            <v>61.472268611950014</v>
          </cell>
          <cell r="C16">
            <v>0.93795764584121144</v>
          </cell>
          <cell r="D16">
            <v>2.7898767447406314</v>
          </cell>
          <cell r="E16">
            <v>296.02231343167119</v>
          </cell>
        </row>
      </sheetData>
      <sheetData sheetId="4">
        <row r="5">
          <cell r="B5">
            <v>6553.8426904999897</v>
          </cell>
          <cell r="C5"/>
          <cell r="D5"/>
          <cell r="E5"/>
        </row>
        <row r="6">
          <cell r="B6">
            <v>207660929</v>
          </cell>
          <cell r="C6"/>
          <cell r="D6"/>
          <cell r="E6"/>
        </row>
        <row r="7">
          <cell r="B7">
            <v>2203.4044596355438</v>
          </cell>
          <cell r="C7">
            <v>33.620038864061399</v>
          </cell>
          <cell r="D7">
            <v>99.999999999999986</v>
          </cell>
          <cell r="E7">
            <v>10610.587510352243</v>
          </cell>
        </row>
        <row r="8">
          <cell r="B8"/>
          <cell r="C8"/>
          <cell r="D8"/>
          <cell r="E8">
            <v>0</v>
          </cell>
        </row>
        <row r="9">
          <cell r="B9">
            <v>1204.5048407596769</v>
          </cell>
          <cell r="C9">
            <v>18.378604700195904</v>
          </cell>
          <cell r="D9">
            <v>54.665625981301183</v>
          </cell>
          <cell r="E9">
            <v>5800.3440828278153</v>
          </cell>
        </row>
        <row r="10">
          <cell r="B10"/>
          <cell r="C10"/>
          <cell r="D10"/>
          <cell r="E10">
            <v>0</v>
          </cell>
        </row>
        <row r="11">
          <cell r="B11">
            <v>556.61217740582003</v>
          </cell>
          <cell r="C11">
            <v>8.4929132982188857</v>
          </cell>
          <cell r="D11">
            <v>25.261461869687192</v>
          </cell>
          <cell r="E11">
            <v>2680.3895180774234</v>
          </cell>
        </row>
        <row r="12">
          <cell r="B12"/>
          <cell r="C12"/>
          <cell r="D12"/>
          <cell r="E12">
            <v>0</v>
          </cell>
        </row>
        <row r="13">
          <cell r="B13">
            <v>442.28744147004687</v>
          </cell>
          <cell r="C13">
            <v>6.7485208656466078</v>
          </cell>
          <cell r="D13">
            <v>20.072912149011618</v>
          </cell>
          <cell r="E13">
            <v>2129.8539094470048</v>
          </cell>
        </row>
        <row r="14">
          <cell r="B14"/>
          <cell r="C14"/>
          <cell r="D14"/>
          <cell r="E14">
            <v>0</v>
          </cell>
        </row>
        <row r="15">
          <cell r="B15"/>
          <cell r="C15"/>
          <cell r="D15"/>
          <cell r="E15">
            <v>0</v>
          </cell>
        </row>
        <row r="16">
          <cell r="B16"/>
          <cell r="C16"/>
          <cell r="D16"/>
          <cell r="E16">
            <v>0</v>
          </cell>
        </row>
        <row r="17">
          <cell r="B17">
            <v>117.37093437285002</v>
          </cell>
          <cell r="C17">
            <v>1.7908720107515403</v>
          </cell>
          <cell r="D17">
            <v>5.3267993472366779</v>
          </cell>
          <cell r="E17">
            <v>565.20470623941981</v>
          </cell>
        </row>
        <row r="18">
          <cell r="B18">
            <v>66.657570164069995</v>
          </cell>
          <cell r="C18">
            <v>1.0170761385635991</v>
          </cell>
          <cell r="D18">
            <v>3.0252080988841943</v>
          </cell>
          <cell r="E18">
            <v>320.99235270237085</v>
          </cell>
        </row>
        <row r="19">
          <cell r="B19">
            <v>3.7813824400199998</v>
          </cell>
          <cell r="C19">
            <v>5.7697180396185557E-2</v>
          </cell>
          <cell r="D19">
            <v>0.17161544824346336</v>
          </cell>
          <cell r="E19">
            <v>18.209407317155939</v>
          </cell>
        </row>
        <row r="20">
          <cell r="B20">
            <v>5.3314022400000015E-3</v>
          </cell>
          <cell r="C20">
            <v>8.1347729748351203E-5</v>
          </cell>
          <cell r="D20">
            <v>2.4196203364687055E-4</v>
          </cell>
          <cell r="E20">
            <v>2.5673593321929141E-2</v>
          </cell>
        </row>
        <row r="21">
          <cell r="B21">
            <v>1.1731580264400001</v>
          </cell>
          <cell r="C21">
            <v>1.7900307984818301E-2</v>
          </cell>
          <cell r="D21">
            <v>5.3242972315398124E-2</v>
          </cell>
          <cell r="E21">
            <v>5.6493921706379346</v>
          </cell>
        </row>
        <row r="22">
          <cell r="B22">
            <v>18.213932134800004</v>
          </cell>
          <cell r="C22">
            <v>0.27791225689932558</v>
          </cell>
          <cell r="D22">
            <v>0.82662681629557444</v>
          </cell>
          <cell r="E22">
            <v>87.709961727080611</v>
          </cell>
        </row>
        <row r="23">
          <cell r="B23">
            <v>13.384648002300006</v>
          </cell>
          <cell r="C23">
            <v>0.20422595772250518</v>
          </cell>
          <cell r="D23">
            <v>0.60745306853531122</v>
          </cell>
          <cell r="E23">
            <v>64.454339421259192</v>
          </cell>
        </row>
        <row r="24">
          <cell r="B24">
            <v>1.43281192202</v>
          </cell>
          <cell r="C24">
            <v>2.1862165292690163E-2</v>
          </cell>
          <cell r="D24">
            <v>6.5027186259620964E-2</v>
          </cell>
          <cell r="E24">
            <v>6.8997665035968323</v>
          </cell>
        </row>
        <row r="25">
          <cell r="B25">
            <v>1.2801290139200001</v>
          </cell>
          <cell r="C25">
            <v>1.9532495276024693E-2</v>
          </cell>
          <cell r="D25">
            <v>5.8097777206629654E-2</v>
          </cell>
          <cell r="E25">
            <v>6.1645154920789169</v>
          </cell>
        </row>
        <row r="26">
          <cell r="B26">
            <v>11.441971267040001</v>
          </cell>
          <cell r="C26">
            <v>0.17458416088664311</v>
          </cell>
          <cell r="D26">
            <v>0.51928601746283898</v>
          </cell>
          <cell r="E26">
            <v>55.099297311917546</v>
          </cell>
        </row>
        <row r="27">
          <cell r="B27"/>
          <cell r="C27"/>
          <cell r="D27"/>
          <cell r="E27">
            <v>0</v>
          </cell>
        </row>
        <row r="28">
          <cell r="B28">
            <v>117.87147020057277</v>
          </cell>
          <cell r="C28">
            <v>1.7985092985437585</v>
          </cell>
          <cell r="D28">
            <v>5.3495158224409423</v>
          </cell>
          <cell r="E28">
            <v>567.61505772023565</v>
          </cell>
        </row>
        <row r="29">
          <cell r="B29">
            <v>77.634613207520019</v>
          </cell>
          <cell r="C29">
            <v>1.1845663204588956</v>
          </cell>
          <cell r="D29">
            <v>3.5233936678316993</v>
          </cell>
          <cell r="E29">
            <v>373.85276845949204</v>
          </cell>
        </row>
        <row r="30">
          <cell r="B30">
            <v>0.98379395950000026</v>
          </cell>
          <cell r="C30">
            <v>1.5010948629054553E-2</v>
          </cell>
          <cell r="D30">
            <v>4.4648814029482613E-2</v>
          </cell>
          <cell r="E30">
            <v>4.7375014849326815</v>
          </cell>
        </row>
        <row r="31">
          <cell r="B31">
            <v>1.243993667E-2</v>
          </cell>
          <cell r="C31">
            <v>1.8981134057477603E-4</v>
          </cell>
          <cell r="D31">
            <v>5.6457799273301095E-4</v>
          </cell>
          <cell r="E31">
            <v>5.9905041983126253E-2</v>
          </cell>
        </row>
        <row r="32">
          <cell r="B32">
            <v>0.38684224477999996</v>
          </cell>
          <cell r="C32">
            <v>5.9025256334080236E-3</v>
          </cell>
          <cell r="D32">
            <v>1.7556569929244221E-2</v>
          </cell>
          <cell r="E32">
            <v>1.8628552161586447</v>
          </cell>
        </row>
        <row r="33">
          <cell r="B33">
            <v>30.22865184498</v>
          </cell>
          <cell r="C33">
            <v>0.46123554184169574</v>
          </cell>
          <cell r="D33">
            <v>1.3719066289799557</v>
          </cell>
          <cell r="E33">
            <v>145.56735342824166</v>
          </cell>
        </row>
        <row r="34">
          <cell r="B34">
            <v>0.47760397397999987</v>
          </cell>
          <cell r="C34">
            <v>7.2873884304898327E-3</v>
          </cell>
          <cell r="D34">
            <v>2.1675728751996734E-2</v>
          </cell>
          <cell r="E34">
            <v>2.2999221677371957</v>
          </cell>
        </row>
        <row r="35">
          <cell r="B35">
            <v>0.41858523197999997</v>
          </cell>
          <cell r="C35">
            <v>6.3868672433464576E-3</v>
          </cell>
          <cell r="D35">
            <v>1.8997203629570417E-2</v>
          </cell>
          <cell r="E35">
            <v>2.0157149156353817</v>
          </cell>
        </row>
        <row r="36">
          <cell r="B36">
            <v>7.728939801162741</v>
          </cell>
          <cell r="C36">
            <v>0.1179298949662935</v>
          </cell>
          <cell r="D36">
            <v>0.35077263129626024</v>
          </cell>
          <cell r="E36">
            <v>37.219037006054904</v>
          </cell>
        </row>
        <row r="37">
          <cell r="B37"/>
          <cell r="C37"/>
          <cell r="D37"/>
          <cell r="E37">
            <v>0</v>
          </cell>
        </row>
        <row r="38">
          <cell r="B38">
            <v>160.65790248125001</v>
          </cell>
          <cell r="C38">
            <v>2.4513542675372557</v>
          </cell>
          <cell r="D38">
            <v>7.2913487026264701</v>
          </cell>
          <cell r="E38">
            <v>773.65493477711448</v>
          </cell>
        </row>
        <row r="39">
          <cell r="B39">
            <v>87.14076164211501</v>
          </cell>
          <cell r="C39">
            <v>1.3296132628942774</v>
          </cell>
          <cell r="D39">
            <v>3.9548236938999661</v>
          </cell>
          <cell r="E39">
            <v>419.63002892140105</v>
          </cell>
        </row>
        <row r="40">
          <cell r="B40">
            <v>19.562797899080007</v>
          </cell>
          <cell r="C40">
            <v>0.29849355291113294</v>
          </cell>
          <cell r="D40">
            <v>0.88784416376809039</v>
          </cell>
          <cell r="E40">
            <v>94.205481952168313</v>
          </cell>
        </row>
        <row r="41">
          <cell r="B41">
            <v>0.94534561000499995</v>
          </cell>
          <cell r="C41">
            <v>1.4424295099046389E-2</v>
          </cell>
          <cell r="D41">
            <v>4.2903862060865841E-2</v>
          </cell>
          <cell r="E41">
            <v>4.5523518292889849</v>
          </cell>
        </row>
        <row r="42">
          <cell r="B42">
            <v>53.008997330049993</v>
          </cell>
          <cell r="C42">
            <v>0.80882315663279925</v>
          </cell>
          <cell r="D42">
            <v>2.4057769828975473</v>
          </cell>
          <cell r="E42">
            <v>255.26707207425619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GOVDetalhado"/>
      <sheetName val="AD ESFERA"/>
      <sheetName val="PRINCIPAIS TRIBUTOS"/>
      <sheetName val="Bases de Incidência"/>
      <sheetName val="RD ESFERA"/>
      <sheetName val="RD ESFERA DETALHADA"/>
      <sheetName val="Impostos"/>
      <sheetName val="Contribuições"/>
      <sheetName val="Patrimoniais"/>
      <sheetName val="Multas"/>
      <sheetName val="Estados"/>
      <sheetName val="Municipios"/>
      <sheetName val="Transferencias"/>
      <sheetName val="Gráficos"/>
    </sheetNames>
    <sheetDataSet>
      <sheetData sheetId="0">
        <row r="5">
          <cell r="B5">
            <v>6889.1760999999997</v>
          </cell>
          <cell r="C5"/>
          <cell r="D5"/>
          <cell r="E5"/>
        </row>
        <row r="6">
          <cell r="B6">
            <v>208494900</v>
          </cell>
          <cell r="C6"/>
          <cell r="D6"/>
          <cell r="E6"/>
        </row>
        <row r="7">
          <cell r="B7">
            <v>2372.7995314657519</v>
          </cell>
          <cell r="C7">
            <v>34.442428194944114</v>
          </cell>
          <cell r="D7">
            <v>100.00000000000003</v>
          </cell>
          <cell r="E7">
            <v>11380.611858926775</v>
          </cell>
        </row>
        <row r="8">
          <cell r="B8"/>
          <cell r="C8"/>
          <cell r="D8"/>
          <cell r="E8"/>
        </row>
        <row r="9">
          <cell r="B9">
            <v>1550.4920455762201</v>
          </cell>
          <cell r="C9">
            <v>22.506204269857751</v>
          </cell>
          <cell r="D9">
            <v>65.344418060401154</v>
          </cell>
          <cell r="E9">
            <v>7436.5945909287002</v>
          </cell>
        </row>
        <row r="10">
          <cell r="B10">
            <v>350.80170560281999</v>
          </cell>
          <cell r="C10">
            <v>5.0920705249909348</v>
          </cell>
          <cell r="D10">
            <v>14.784295974052178</v>
          </cell>
          <cell r="E10">
            <v>1682.5433408818153</v>
          </cell>
        </row>
        <row r="11">
          <cell r="B11">
            <v>53.762110791090002</v>
          </cell>
          <cell r="C11">
            <v>0.7803852015205418</v>
          </cell>
          <cell r="D11">
            <v>2.2657670855944367</v>
          </cell>
          <cell r="E11">
            <v>257.85815763881999</v>
          </cell>
        </row>
        <row r="12">
          <cell r="B12">
            <v>36.612378865470006</v>
          </cell>
          <cell r="C12">
            <v>0.53144785869924283</v>
          </cell>
          <cell r="D12">
            <v>1.543003459835202</v>
          </cell>
          <cell r="E12">
            <v>175.6032347336554</v>
          </cell>
        </row>
        <row r="13">
          <cell r="B13">
            <v>40.69489102032</v>
          </cell>
          <cell r="C13">
            <v>0.59070766125894214</v>
          </cell>
          <cell r="D13">
            <v>1.7150581193507535</v>
          </cell>
          <cell r="E13">
            <v>195.1841077183183</v>
          </cell>
        </row>
        <row r="14">
          <cell r="B14">
            <v>1.41398496744</v>
          </cell>
          <cell r="C14">
            <v>2.052473252120816E-2</v>
          </cell>
          <cell r="D14">
            <v>5.9591421385966729E-2</v>
          </cell>
          <cell r="E14">
            <v>6.7818683691543535</v>
          </cell>
        </row>
        <row r="15">
          <cell r="B15">
            <v>9.6090796581499998</v>
          </cell>
          <cell r="C15">
            <v>0.13948082497339559</v>
          </cell>
          <cell r="D15">
            <v>0.40496803588856817</v>
          </cell>
          <cell r="E15">
            <v>46.087840317197205</v>
          </cell>
        </row>
        <row r="16">
          <cell r="B16">
            <v>371.29670191572995</v>
          </cell>
          <cell r="C16">
            <v>5.3895661328171007</v>
          </cell>
          <cell r="D16">
            <v>15.648043460560219</v>
          </cell>
          <cell r="E16">
            <v>1780.8430897625312</v>
          </cell>
        </row>
        <row r="17">
          <cell r="B17">
            <v>243.26353049001</v>
          </cell>
          <cell r="C17">
            <v>3.531097579143172</v>
          </cell>
          <cell r="D17">
            <v>10.252173740937087</v>
          </cell>
          <cell r="E17">
            <v>1166.7601005588626</v>
          </cell>
        </row>
        <row r="18">
          <cell r="B18">
            <v>8.2160000000000002E-8</v>
          </cell>
          <cell r="C18">
            <v>1.1925954396781934E-9</v>
          </cell>
          <cell r="D18">
            <v>3.4625765434658216E-9</v>
          </cell>
          <cell r="E18">
            <v>3.9406239673008785E-7</v>
          </cell>
        </row>
        <row r="19">
          <cell r="B19">
            <v>74.914335688860007</v>
          </cell>
          <cell r="C19">
            <v>1.0874208265464429</v>
          </cell>
          <cell r="D19">
            <v>3.1572130175945836</v>
          </cell>
          <cell r="E19">
            <v>359.310159091949</v>
          </cell>
        </row>
        <row r="20">
          <cell r="B20">
            <v>63.690798612759998</v>
          </cell>
          <cell r="C20">
            <v>0.92450530641479767</v>
          </cell>
          <cell r="D20">
            <v>2.6842047871366628</v>
          </cell>
          <cell r="E20">
            <v>305.47892832275511</v>
          </cell>
        </row>
        <row r="21">
          <cell r="B21">
            <v>17.415899348989999</v>
          </cell>
          <cell r="C21">
            <v>0.25280090240384478</v>
          </cell>
          <cell r="D21">
            <v>0.7339810682713539</v>
          </cell>
          <cell r="E21">
            <v>83.531536497967082</v>
          </cell>
        </row>
        <row r="22">
          <cell r="B22">
            <v>12.741866038170002</v>
          </cell>
          <cell r="C22">
            <v>0.18495486039571557</v>
          </cell>
          <cell r="D22">
            <v>0.53699715754322319</v>
          </cell>
          <cell r="E22">
            <v>61.113562193463736</v>
          </cell>
        </row>
        <row r="23">
          <cell r="B23">
            <v>120.65828096146998</v>
          </cell>
          <cell r="C23">
            <v>1.7514181552344119</v>
          </cell>
          <cell r="D23">
            <v>5.0850600466418534</v>
          </cell>
          <cell r="E23">
            <v>578.71094670166985</v>
          </cell>
        </row>
        <row r="24">
          <cell r="B24">
            <v>76.378795549439999</v>
          </cell>
          <cell r="C24">
            <v>1.1086782285829506</v>
          </cell>
          <cell r="D24">
            <v>3.2189316685450655</v>
          </cell>
          <cell r="E24">
            <v>366.33411920118908</v>
          </cell>
        </row>
        <row r="25">
          <cell r="B25">
            <v>21.898636786800001</v>
          </cell>
          <cell r="C25">
            <v>0.31787018460451316</v>
          </cell>
          <cell r="D25">
            <v>0.9229029463467795</v>
          </cell>
          <cell r="E25">
            <v>105.03200215832616</v>
          </cell>
        </row>
        <row r="26">
          <cell r="B26">
            <v>17.082723697430001</v>
          </cell>
          <cell r="C26">
            <v>0.24796468328672863</v>
          </cell>
          <cell r="D26">
            <v>0.71993961019022445</v>
          </cell>
          <cell r="E26">
            <v>81.933532654419849</v>
          </cell>
        </row>
        <row r="27">
          <cell r="B27">
            <v>38.256325499110012</v>
          </cell>
          <cell r="C27">
            <v>0.55531060527121689</v>
          </cell>
          <cell r="D27">
            <v>1.6122864570644071</v>
          </cell>
          <cell r="E27">
            <v>183.4880637325422</v>
          </cell>
        </row>
        <row r="28">
          <cell r="B28"/>
          <cell r="C28"/>
          <cell r="D28"/>
          <cell r="E28"/>
        </row>
        <row r="29">
          <cell r="B29">
            <v>650.27291626083013</v>
          </cell>
          <cell r="C29">
            <v>9.4390520262768458</v>
          </cell>
          <cell r="D29">
            <v>27.405303635538754</v>
          </cell>
          <cell r="E29">
            <v>3118.8912355210132</v>
          </cell>
        </row>
        <row r="30">
          <cell r="B30">
            <v>491.64151949620009</v>
          </cell>
          <cell r="C30">
            <v>7.1364342028678891</v>
          </cell>
          <cell r="D30">
            <v>20.719892809170357</v>
          </cell>
          <cell r="E30">
            <v>2358.0505781973566</v>
          </cell>
        </row>
        <row r="31">
          <cell r="B31">
            <v>44.770656425719999</v>
          </cell>
          <cell r="C31">
            <v>0.64986953121607671</v>
          </cell>
          <cell r="D31">
            <v>1.8868284417632104</v>
          </cell>
          <cell r="E31">
            <v>214.73262140090716</v>
          </cell>
        </row>
        <row r="32">
          <cell r="B32">
            <v>7.7539016101600007</v>
          </cell>
          <cell r="C32">
            <v>0.11255194376813799</v>
          </cell>
          <cell r="D32">
            <v>0.32678283636419037</v>
          </cell>
          <cell r="E32">
            <v>37.189886228200308</v>
          </cell>
        </row>
        <row r="33">
          <cell r="B33">
            <v>43.068644492869993</v>
          </cell>
          <cell r="C33">
            <v>0.62516393640844792</v>
          </cell>
          <cell r="D33">
            <v>1.8150983225399226</v>
          </cell>
          <cell r="E33">
            <v>206.56929494615932</v>
          </cell>
        </row>
        <row r="34">
          <cell r="B34">
            <v>24.812432161820002</v>
          </cell>
          <cell r="C34">
            <v>0.36016545087038787</v>
          </cell>
          <cell r="D34">
            <v>1.0457028431092366</v>
          </cell>
          <cell r="E34">
            <v>119.00738177202417</v>
          </cell>
        </row>
        <row r="35">
          <cell r="B35">
            <v>34.886256256289997</v>
          </cell>
          <cell r="C35">
            <v>0.50639228479425857</v>
          </cell>
          <cell r="D35">
            <v>1.4702572127844142</v>
          </cell>
          <cell r="E35">
            <v>167.32426671486925</v>
          </cell>
        </row>
        <row r="36">
          <cell r="B36">
            <v>3.3395058177699992</v>
          </cell>
          <cell r="C36">
            <v>4.8474676351646741E-2</v>
          </cell>
          <cell r="D36">
            <v>0.14074116980742507</v>
          </cell>
          <cell r="E36">
            <v>16.017206261496082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/>
          <cell r="C38"/>
          <cell r="D38"/>
          <cell r="E38"/>
        </row>
        <row r="39">
          <cell r="B39">
            <v>172.03456962870155</v>
          </cell>
          <cell r="C39">
            <v>2.4971718988095186</v>
          </cell>
          <cell r="D39">
            <v>7.2502783040601191</v>
          </cell>
          <cell r="E39">
            <v>825.12603247706079</v>
          </cell>
        </row>
        <row r="40">
          <cell r="B40">
            <v>63.776391482763628</v>
          </cell>
          <cell r="C40">
            <v>0.92574773176089431</v>
          </cell>
          <cell r="D40">
            <v>2.6878120396191667</v>
          </cell>
          <cell r="E40">
            <v>305.88945572656036</v>
          </cell>
        </row>
        <row r="41">
          <cell r="B41">
            <v>45.062242620379266</v>
          </cell>
          <cell r="C41">
            <v>0.65410205757955975</v>
          </cell>
          <cell r="D41">
            <v>1.8991171408628413</v>
          </cell>
          <cell r="E41">
            <v>216.13115054794753</v>
          </cell>
        </row>
        <row r="42">
          <cell r="B42">
            <v>11.493558029060191</v>
          </cell>
          <cell r="C42">
            <v>0.1668350157148718</v>
          </cell>
          <cell r="D42">
            <v>0.48438807731727201</v>
          </cell>
          <cell r="E42">
            <v>55.126326970396832</v>
          </cell>
        </row>
        <row r="43">
          <cell r="B43">
            <v>18.048038600970003</v>
          </cell>
          <cell r="C43">
            <v>0.26197673479372963</v>
          </cell>
          <cell r="D43">
            <v>0.76062214113053095</v>
          </cell>
          <cell r="E43">
            <v>86.563453595123917</v>
          </cell>
        </row>
        <row r="44">
          <cell r="B44">
            <v>10.919361757948431</v>
          </cell>
          <cell r="C44">
            <v>0.15850025604583445</v>
          </cell>
          <cell r="D44">
            <v>0.46018897143001403</v>
          </cell>
          <cell r="E44">
            <v>52.372320656037296</v>
          </cell>
        </row>
        <row r="45">
          <cell r="B45">
            <v>13.547790774740001</v>
          </cell>
          <cell r="C45">
            <v>0.19665328013229333</v>
          </cell>
          <cell r="D45">
            <v>0.5709622998100945</v>
          </cell>
          <cell r="E45">
            <v>64.97900320218865</v>
          </cell>
        </row>
        <row r="46">
          <cell r="B46">
            <v>9.1871863628399986</v>
          </cell>
          <cell r="C46">
            <v>0.13335682278233532</v>
          </cell>
          <cell r="D46">
            <v>0.38718763389020028</v>
          </cell>
          <cell r="E46">
            <v>44.064321778806089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</sheetData>
      <sheetData sheetId="1">
        <row r="5">
          <cell r="B5">
            <v>6889.1760999999997</v>
          </cell>
          <cell r="C5"/>
          <cell r="D5"/>
          <cell r="E5"/>
        </row>
        <row r="6">
          <cell r="B6">
            <v>208494900</v>
          </cell>
          <cell r="C6"/>
          <cell r="D6"/>
          <cell r="E6"/>
        </row>
        <row r="7">
          <cell r="B7">
            <v>2372.799531465751</v>
          </cell>
          <cell r="C7">
            <v>34.442428194944114</v>
          </cell>
          <cell r="D7">
            <v>100.00000000000001</v>
          </cell>
          <cell r="E7">
            <v>11380.61185892677</v>
          </cell>
        </row>
        <row r="8">
          <cell r="B8"/>
          <cell r="C8"/>
          <cell r="D8"/>
          <cell r="E8">
            <v>0</v>
          </cell>
        </row>
        <row r="9">
          <cell r="B9">
            <v>1550.4920455762199</v>
          </cell>
          <cell r="C9">
            <v>22.506204269857754</v>
          </cell>
          <cell r="D9">
            <v>65.344418060401139</v>
          </cell>
          <cell r="E9">
            <v>7436.5945909286984</v>
          </cell>
        </row>
        <row r="10">
          <cell r="B10">
            <v>483.28507124713997</v>
          </cell>
          <cell r="C10">
            <v>7.0151359789908687</v>
          </cell>
          <cell r="D10">
            <v>20.367716060218534</v>
          </cell>
          <cell r="E10">
            <v>2317.9707093417633</v>
          </cell>
        </row>
        <row r="11">
          <cell r="B11">
            <v>451.00779074517999</v>
          </cell>
          <cell r="C11">
            <v>6.5466143439878097</v>
          </cell>
          <cell r="D11">
            <v>19.007412331482492</v>
          </cell>
          <cell r="E11">
            <v>2163.1598218718059</v>
          </cell>
        </row>
        <row r="12">
          <cell r="B12">
            <v>371.29670191572995</v>
          </cell>
          <cell r="C12">
            <v>5.3895661328171007</v>
          </cell>
          <cell r="D12">
            <v>15.648043460560219</v>
          </cell>
          <cell r="E12">
            <v>1780.8430897625312</v>
          </cell>
        </row>
        <row r="13">
          <cell r="B13">
            <v>120.65828096146998</v>
          </cell>
          <cell r="C13">
            <v>1.7514181552344119</v>
          </cell>
          <cell r="D13">
            <v>5.0850600466418534</v>
          </cell>
          <cell r="E13">
            <v>578.71094670166985</v>
          </cell>
        </row>
        <row r="14">
          <cell r="B14">
            <v>124.24420070670001</v>
          </cell>
          <cell r="C14">
            <v>1.8034696588275632</v>
          </cell>
          <cell r="D14">
            <v>5.2361861614980407</v>
          </cell>
          <cell r="E14">
            <v>595.91002325092848</v>
          </cell>
        </row>
        <row r="15">
          <cell r="B15"/>
          <cell r="C15"/>
          <cell r="D15"/>
          <cell r="E15">
            <v>0</v>
          </cell>
        </row>
        <row r="16">
          <cell r="B16">
            <v>650.27291626083002</v>
          </cell>
          <cell r="C16">
            <v>9.439052026276844</v>
          </cell>
          <cell r="D16">
            <v>27.405303635538758</v>
          </cell>
          <cell r="E16">
            <v>3118.8912355210127</v>
          </cell>
        </row>
        <row r="17">
          <cell r="B17">
            <v>491.64151949620009</v>
          </cell>
          <cell r="C17">
            <v>7.1364342028678891</v>
          </cell>
          <cell r="D17">
            <v>20.719892809170357</v>
          </cell>
          <cell r="E17">
            <v>2358.0505781973566</v>
          </cell>
        </row>
        <row r="18">
          <cell r="B18">
            <v>44.770656425719999</v>
          </cell>
          <cell r="C18">
            <v>0.64986953121607671</v>
          </cell>
          <cell r="D18">
            <v>1.8868284417632104</v>
          </cell>
          <cell r="E18">
            <v>214.73262140090716</v>
          </cell>
        </row>
        <row r="19">
          <cell r="B19">
            <v>113.86074033890999</v>
          </cell>
          <cell r="C19">
            <v>1.6527482921928789</v>
          </cell>
          <cell r="D19">
            <v>4.7985823846051883</v>
          </cell>
          <cell r="E19">
            <v>546.10803592274908</v>
          </cell>
        </row>
        <row r="20">
          <cell r="B20"/>
          <cell r="C20"/>
          <cell r="D20"/>
          <cell r="E20">
            <v>0</v>
          </cell>
        </row>
        <row r="21">
          <cell r="B21">
            <v>172.03456962870152</v>
          </cell>
          <cell r="C21">
            <v>2.4971718988095186</v>
          </cell>
          <cell r="D21">
            <v>7.2502783040601191</v>
          </cell>
          <cell r="E21">
            <v>825.12603247706068</v>
          </cell>
        </row>
        <row r="22">
          <cell r="B22">
            <v>63.776391482763628</v>
          </cell>
          <cell r="C22">
            <v>0.92574773176089431</v>
          </cell>
          <cell r="D22">
            <v>2.6878120396191667</v>
          </cell>
          <cell r="E22">
            <v>305.88945572656036</v>
          </cell>
        </row>
        <row r="23">
          <cell r="B23">
            <v>45.062242620379266</v>
          </cell>
          <cell r="C23">
            <v>0.65410205757955975</v>
          </cell>
          <cell r="D23">
            <v>1.8991171408628413</v>
          </cell>
          <cell r="E23">
            <v>216.13115054794753</v>
          </cell>
        </row>
        <row r="24">
          <cell r="B24">
            <v>63.195935525558625</v>
          </cell>
          <cell r="C24">
            <v>0.91732210946906445</v>
          </cell>
          <cell r="D24">
            <v>2.6633491235781115</v>
          </cell>
          <cell r="E24">
            <v>303.10542620255279</v>
          </cell>
        </row>
      </sheetData>
      <sheetData sheetId="2">
        <row r="5">
          <cell r="B5">
            <v>6889.1760999999997</v>
          </cell>
          <cell r="C5"/>
          <cell r="D5"/>
          <cell r="E5"/>
        </row>
        <row r="6">
          <cell r="B6">
            <v>208494900</v>
          </cell>
          <cell r="C6"/>
          <cell r="D6"/>
          <cell r="E6"/>
        </row>
        <row r="7">
          <cell r="B7">
            <v>2372.799531465751</v>
          </cell>
          <cell r="C7">
            <v>34.442428194944114</v>
          </cell>
          <cell r="D7">
            <v>100.00000000346259</v>
          </cell>
          <cell r="E7">
            <v>11380.61185892677</v>
          </cell>
        </row>
        <row r="8">
          <cell r="B8"/>
          <cell r="C8"/>
          <cell r="D8"/>
          <cell r="E8">
            <v>0</v>
          </cell>
        </row>
        <row r="9">
          <cell r="B9">
            <v>491.64151949620009</v>
          </cell>
          <cell r="C9">
            <v>7.1364342028678891</v>
          </cell>
          <cell r="D9">
            <v>20.719892809170357</v>
          </cell>
          <cell r="E9">
            <v>2358.0505781973566</v>
          </cell>
        </row>
        <row r="10">
          <cell r="B10">
            <v>410.27806239995999</v>
          </cell>
          <cell r="C10">
            <v>5.9554010007083438</v>
          </cell>
          <cell r="D10">
            <v>17.290886017097222</v>
          </cell>
          <cell r="E10">
            <v>1967.8086245752775</v>
          </cell>
        </row>
        <row r="11">
          <cell r="B11">
            <v>411.91838869666003</v>
          </cell>
          <cell r="C11">
            <v>5.9792111961931127</v>
          </cell>
          <cell r="D11">
            <v>17.360016437722635</v>
          </cell>
          <cell r="E11">
            <v>1975.6760894230988</v>
          </cell>
        </row>
        <row r="12">
          <cell r="B12">
            <v>243.26353049001</v>
          </cell>
          <cell r="C12">
            <v>3.531097579143172</v>
          </cell>
          <cell r="D12">
            <v>10.252173740937087</v>
          </cell>
          <cell r="E12">
            <v>1166.7601005588626</v>
          </cell>
        </row>
        <row r="13">
          <cell r="B13">
            <v>120.65828096146998</v>
          </cell>
          <cell r="C13">
            <v>1.7514181552344119</v>
          </cell>
          <cell r="D13">
            <v>5.0850600466418534</v>
          </cell>
          <cell r="E13">
            <v>578.71094670166985</v>
          </cell>
        </row>
        <row r="14">
          <cell r="B14">
            <v>53.762110791090002</v>
          </cell>
          <cell r="C14">
            <v>0.7803852015205418</v>
          </cell>
          <cell r="D14">
            <v>2.2657670855944367</v>
          </cell>
          <cell r="E14">
            <v>257.85815763881999</v>
          </cell>
        </row>
        <row r="15">
          <cell r="B15">
            <v>74.914335688860007</v>
          </cell>
          <cell r="C15">
            <v>1.0874208265464429</v>
          </cell>
          <cell r="D15">
            <v>3.1572130175945836</v>
          </cell>
          <cell r="E15">
            <v>359.310159091949</v>
          </cell>
        </row>
        <row r="16">
          <cell r="B16">
            <v>63.690798612759998</v>
          </cell>
          <cell r="C16">
            <v>0.92450530641479767</v>
          </cell>
          <cell r="D16">
            <v>2.6842047871366628</v>
          </cell>
          <cell r="E16">
            <v>305.47892832275511</v>
          </cell>
        </row>
        <row r="17">
          <cell r="B17">
            <v>63.776391482763628</v>
          </cell>
          <cell r="C17">
            <v>0.92574773176089431</v>
          </cell>
          <cell r="D17">
            <v>2.6878120396191667</v>
          </cell>
          <cell r="E17">
            <v>305.88945572656036</v>
          </cell>
        </row>
        <row r="18">
          <cell r="B18">
            <v>40.69489102032</v>
          </cell>
          <cell r="C18">
            <v>0.59070766125894214</v>
          </cell>
          <cell r="D18">
            <v>1.7150581193507535</v>
          </cell>
          <cell r="E18">
            <v>195.1841077183183</v>
          </cell>
        </row>
        <row r="19">
          <cell r="B19">
            <v>44.770656425719999</v>
          </cell>
          <cell r="C19">
            <v>0.64986953121607671</v>
          </cell>
          <cell r="D19">
            <v>1.8868284417632104</v>
          </cell>
          <cell r="E19">
            <v>214.73262140090716</v>
          </cell>
        </row>
        <row r="20">
          <cell r="B20">
            <v>45.062242620379266</v>
          </cell>
          <cell r="C20">
            <v>0.65410205757955975</v>
          </cell>
          <cell r="D20">
            <v>1.8991171408628413</v>
          </cell>
          <cell r="E20">
            <v>216.13115054794753</v>
          </cell>
        </row>
        <row r="21">
          <cell r="B21">
            <v>36.612378865470006</v>
          </cell>
          <cell r="C21">
            <v>0.53144785869924283</v>
          </cell>
          <cell r="D21">
            <v>1.543003459835202</v>
          </cell>
          <cell r="E21">
            <v>175.6032347336554</v>
          </cell>
        </row>
        <row r="22">
          <cell r="B22">
            <v>11.493558029060191</v>
          </cell>
          <cell r="C22">
            <v>0.1668350157148718</v>
          </cell>
          <cell r="D22">
            <v>0.48438807731727201</v>
          </cell>
          <cell r="E22">
            <v>55.126326970396832</v>
          </cell>
        </row>
        <row r="23">
          <cell r="B23">
            <v>7.7539016101600007</v>
          </cell>
          <cell r="C23">
            <v>0.11255194376813799</v>
          </cell>
          <cell r="D23">
            <v>0.32678283636419037</v>
          </cell>
          <cell r="E23">
            <v>37.189886228200308</v>
          </cell>
        </row>
        <row r="24">
          <cell r="B24">
            <v>1.41398496744</v>
          </cell>
          <cell r="C24">
            <v>2.052473252120816E-2</v>
          </cell>
          <cell r="D24">
            <v>5.9591421385966729E-2</v>
          </cell>
          <cell r="E24">
            <v>6.7818683691543535</v>
          </cell>
        </row>
        <row r="25">
          <cell r="B25">
            <v>8.2160000000000002E-8</v>
          </cell>
          <cell r="C25">
            <v>1.1925954396781934E-9</v>
          </cell>
          <cell r="D25">
            <v>3.4625765434658216E-9</v>
          </cell>
          <cell r="E25">
            <v>3.9406239673008785E-7</v>
          </cell>
        </row>
        <row r="26">
          <cell r="B26">
            <v>251.09449930742812</v>
          </cell>
          <cell r="C26">
            <v>3.6447681937964709</v>
          </cell>
          <cell r="D26">
            <v>10.582204521606567</v>
          </cell>
          <cell r="E26">
            <v>1204.3196227218418</v>
          </cell>
        </row>
      </sheetData>
      <sheetData sheetId="3">
        <row r="5">
          <cell r="B5">
            <v>6889.1760999999997</v>
          </cell>
          <cell r="C5"/>
          <cell r="D5"/>
          <cell r="E5"/>
        </row>
        <row r="6">
          <cell r="B6">
            <v>208494900</v>
          </cell>
          <cell r="C6"/>
          <cell r="D6"/>
          <cell r="E6"/>
        </row>
        <row r="7">
          <cell r="B7">
            <v>2372.7995314657519</v>
          </cell>
          <cell r="C7">
            <v>34.442428194944121</v>
          </cell>
          <cell r="D7">
            <v>99.999999999999986</v>
          </cell>
          <cell r="E7">
            <v>11380.611858926775</v>
          </cell>
        </row>
        <row r="8">
          <cell r="B8"/>
          <cell r="C8"/>
          <cell r="D8"/>
          <cell r="E8">
            <v>0</v>
          </cell>
        </row>
        <row r="9">
          <cell r="B9">
            <v>1005.0398386028737</v>
          </cell>
          <cell r="C9">
            <v>14.588679749424227</v>
          </cell>
          <cell r="D9">
            <v>42.356710934700388</v>
          </cell>
          <cell r="E9">
            <v>4820.4528676858454</v>
          </cell>
        </row>
        <row r="10">
          <cell r="B10">
            <v>601.81618787642003</v>
          </cell>
          <cell r="C10">
            <v>8.7356772296243097</v>
          </cell>
          <cell r="D10">
            <v>25.363128232946824</v>
          </cell>
          <cell r="E10">
            <v>2886.4791794735511</v>
          </cell>
        </row>
        <row r="11">
          <cell r="B11">
            <v>491.39494227213999</v>
          </cell>
          <cell r="C11">
            <v>7.1328550052906907</v>
          </cell>
          <cell r="D11">
            <v>20.709500982098987</v>
          </cell>
          <cell r="E11">
            <v>2356.8679246933139</v>
          </cell>
        </row>
        <row r="12">
          <cell r="B12">
            <v>110.49434365275947</v>
          </cell>
          <cell r="C12">
            <v>1.6038832807998546</v>
          </cell>
          <cell r="D12">
            <v>4.6567079176934802</v>
          </cell>
          <cell r="E12">
            <v>529.96185351660631</v>
          </cell>
        </row>
        <row r="13">
          <cell r="B13">
            <v>40.69489102032</v>
          </cell>
          <cell r="C13">
            <v>0.59070766125894214</v>
          </cell>
          <cell r="D13">
            <v>1.7150581193507528</v>
          </cell>
          <cell r="E13">
            <v>195.1841077183183</v>
          </cell>
        </row>
        <row r="14">
          <cell r="B14">
            <v>45.34087357791843</v>
          </cell>
          <cell r="C14">
            <v>0.6581465318896178</v>
          </cell>
          <cell r="D14">
            <v>1.9108598504278178</v>
          </cell>
          <cell r="E14">
            <v>217.46754274525864</v>
          </cell>
        </row>
        <row r="15">
          <cell r="B15">
            <v>36.612378947630006</v>
          </cell>
          <cell r="C15">
            <v>0.53144785989183829</v>
          </cell>
          <cell r="D15">
            <v>1.5430034632977783</v>
          </cell>
          <cell r="E15">
            <v>175.60323512771777</v>
          </cell>
        </row>
        <row r="16">
          <cell r="B16">
            <v>41.406075515690013</v>
          </cell>
          <cell r="C16">
            <v>0.60103087676463973</v>
          </cell>
          <cell r="D16">
            <v>1.7450304994839658</v>
          </cell>
          <cell r="E16">
            <v>198.59514796616133</v>
          </cell>
        </row>
      </sheetData>
      <sheetData sheetId="4">
        <row r="5">
          <cell r="B5">
            <v>6889.1760999999997</v>
          </cell>
          <cell r="C5"/>
          <cell r="D5"/>
          <cell r="E5"/>
        </row>
        <row r="6">
          <cell r="B6">
            <v>208494900</v>
          </cell>
          <cell r="C6"/>
          <cell r="D6"/>
          <cell r="E6"/>
        </row>
        <row r="7">
          <cell r="B7">
            <v>2372.799531465751</v>
          </cell>
          <cell r="C7">
            <v>34.442428194944114</v>
          </cell>
          <cell r="D7">
            <v>100</v>
          </cell>
          <cell r="E7">
            <v>11380.61185892677</v>
          </cell>
        </row>
        <row r="8">
          <cell r="B8"/>
          <cell r="C8"/>
          <cell r="D8"/>
          <cell r="E8">
            <v>0</v>
          </cell>
        </row>
        <row r="9">
          <cell r="B9">
            <v>1289.2356214043475</v>
          </cell>
          <cell r="C9">
            <v>18.713930413309477</v>
          </cell>
          <cell r="D9">
            <v>54.333946222922044</v>
          </cell>
          <cell r="E9">
            <v>6183.5355272687602</v>
          </cell>
        </row>
        <row r="10">
          <cell r="B10"/>
          <cell r="C10"/>
          <cell r="D10"/>
          <cell r="E10">
            <v>0</v>
          </cell>
        </row>
        <row r="11">
          <cell r="B11">
            <v>603.72019408179415</v>
          </cell>
          <cell r="C11">
            <v>8.7633148771127232</v>
          </cell>
          <cell r="D11">
            <v>25.443371261492853</v>
          </cell>
          <cell r="E11">
            <v>2895.6113270962223</v>
          </cell>
        </row>
        <row r="12">
          <cell r="B12"/>
          <cell r="C12"/>
          <cell r="D12"/>
          <cell r="E12">
            <v>0</v>
          </cell>
        </row>
        <row r="13">
          <cell r="B13">
            <v>479.84371597960961</v>
          </cell>
          <cell r="C13">
            <v>6.9651829045219156</v>
          </cell>
          <cell r="D13">
            <v>20.222682515585099</v>
          </cell>
          <cell r="E13">
            <v>2301.4650045617882</v>
          </cell>
        </row>
        <row r="14">
          <cell r="B14"/>
          <cell r="C14"/>
          <cell r="D14"/>
          <cell r="E14">
            <v>0</v>
          </cell>
        </row>
        <row r="15">
          <cell r="B15"/>
          <cell r="C15"/>
          <cell r="D15"/>
          <cell r="E15">
            <v>0</v>
          </cell>
        </row>
        <row r="16">
          <cell r="B16"/>
          <cell r="C16"/>
          <cell r="D16"/>
          <cell r="E16">
            <v>0</v>
          </cell>
        </row>
        <row r="17">
          <cell r="B17">
            <v>131.24408988596667</v>
          </cell>
          <cell r="C17">
            <v>1.9050767171703837</v>
          </cell>
          <cell r="D17">
            <v>5.5311916639200085</v>
          </cell>
          <cell r="E17">
            <v>629.48345444404958</v>
          </cell>
        </row>
        <row r="18">
          <cell r="B18">
            <v>71.480906494440006</v>
          </cell>
          <cell r="C18">
            <v>1.0375828031807752</v>
          </cell>
          <cell r="D18">
            <v>3.0125135118466604</v>
          </cell>
          <cell r="E18">
            <v>342.84246998099235</v>
          </cell>
        </row>
        <row r="19">
          <cell r="B19">
            <v>4.4534328588599985</v>
          </cell>
          <cell r="C19">
            <v>6.4643910885947578E-2</v>
          </cell>
          <cell r="D19">
            <v>0.18768685680365826</v>
          </cell>
          <cell r="E19">
            <v>21.35991268304404</v>
          </cell>
        </row>
        <row r="20">
          <cell r="B20">
            <v>4.6462816600000003E-3</v>
          </cell>
          <cell r="C20">
            <v>6.7443212258719876E-5</v>
          </cell>
          <cell r="D20">
            <v>1.9581433654152186E-4</v>
          </cell>
          <cell r="E20">
            <v>2.2284869605923217E-2</v>
          </cell>
        </row>
        <row r="21">
          <cell r="B21">
            <v>1.1490932464800001</v>
          </cell>
          <cell r="C21">
            <v>1.6679690427422813E-2</v>
          </cell>
          <cell r="D21">
            <v>4.8427742472208352E-2</v>
          </cell>
          <cell r="E21">
            <v>5.5113734028026586</v>
          </cell>
        </row>
        <row r="22">
          <cell r="B22">
            <v>19.145073852950002</v>
          </cell>
          <cell r="C22">
            <v>0.27790077616030173</v>
          </cell>
          <cell r="D22">
            <v>0.80685593532309507</v>
          </cell>
          <cell r="E22">
            <v>91.825142259834664</v>
          </cell>
        </row>
        <row r="23">
          <cell r="B23">
            <v>14.599091191200007</v>
          </cell>
          <cell r="C23">
            <v>0.21191345640300888</v>
          </cell>
          <cell r="D23">
            <v>0.61526863089785333</v>
          </cell>
          <cell r="E23">
            <v>70.021334772217486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1.0224420964300003</v>
          </cell>
          <cell r="C25">
            <v>1.4841282637992087E-2</v>
          </cell>
          <cell r="D25">
            <v>4.3090117090439854E-2</v>
          </cell>
          <cell r="E25">
            <v>4.9039189756200283</v>
          </cell>
        </row>
        <row r="26">
          <cell r="B26">
            <v>19.389403863946647</v>
          </cell>
          <cell r="C26">
            <v>0.28144735426267659</v>
          </cell>
          <cell r="D26">
            <v>0.81715305514955228</v>
          </cell>
          <cell r="E26">
            <v>92.997017499932355</v>
          </cell>
        </row>
        <row r="28">
          <cell r="B28">
            <v>130.01233428590555</v>
          </cell>
          <cell r="C28">
            <v>1.8871971393778939</v>
          </cell>
          <cell r="D28">
            <v>5.4792801735590748</v>
          </cell>
          <cell r="E28">
            <v>623.57560921588754</v>
          </cell>
        </row>
        <row r="29">
          <cell r="B29">
            <v>83.010505468440016</v>
          </cell>
          <cell r="C29">
            <v>1.2049409720915687</v>
          </cell>
          <cell r="D29">
            <v>3.4984205099350247</v>
          </cell>
          <cell r="E29">
            <v>398.14165942879185</v>
          </cell>
        </row>
        <row r="30">
          <cell r="B30">
            <v>1.08602465344</v>
          </cell>
          <cell r="C30">
            <v>1.5764216760840243E-2</v>
          </cell>
          <cell r="D30">
            <v>4.5769760109870272E-2</v>
          </cell>
          <cell r="E30">
            <v>5.2088787468662305</v>
          </cell>
        </row>
        <row r="31">
          <cell r="B31">
            <v>1.0841321960000002E-2</v>
          </cell>
          <cell r="C31">
            <v>1.5736746749731077E-4</v>
          </cell>
          <cell r="D31">
            <v>4.5690003796077048E-4</v>
          </cell>
          <cell r="E31">
            <v>5.1998019903604371E-2</v>
          </cell>
        </row>
        <row r="32">
          <cell r="B32">
            <v>0.37890702314999997</v>
          </cell>
          <cell r="C32">
            <v>5.5000339322143323E-3</v>
          </cell>
          <cell r="D32">
            <v>1.5968775200993802E-2</v>
          </cell>
          <cell r="E32">
            <v>1.8173443242496579</v>
          </cell>
        </row>
        <row r="33">
          <cell r="B33">
            <v>33.00810899599</v>
          </cell>
          <cell r="C33">
            <v>0.47912999343985418</v>
          </cell>
          <cell r="D33">
            <v>1.3911039916465204</v>
          </cell>
          <cell r="E33">
            <v>158.3161458433276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0.3343193317</v>
          </cell>
          <cell r="C35">
            <v>4.8528202334673955E-3</v>
          </cell>
          <cell r="D35">
            <v>1.4089657691961893E-2</v>
          </cell>
          <cell r="E35">
            <v>1.6034892541736032</v>
          </cell>
        </row>
        <row r="36">
          <cell r="B36">
            <v>12.183627491225533</v>
          </cell>
          <cell r="C36">
            <v>0.17685173545245175</v>
          </cell>
          <cell r="D36">
            <v>0.51347057893674353</v>
          </cell>
          <cell r="E36">
            <v>58.436093598574992</v>
          </cell>
        </row>
        <row r="38">
          <cell r="B38">
            <v>177.79681206500254</v>
          </cell>
          <cell r="C38">
            <v>2.5808138663345028</v>
          </cell>
          <cell r="D38">
            <v>7.4931240379659023</v>
          </cell>
          <cell r="E38">
            <v>852.76336286884009</v>
          </cell>
        </row>
        <row r="39">
          <cell r="B39">
            <v>97.799862822337516</v>
          </cell>
          <cell r="C39">
            <v>1.4196162415174365</v>
          </cell>
          <cell r="D39">
            <v>4.1217077770545378</v>
          </cell>
          <cell r="E39">
            <v>469.07556406577578</v>
          </cell>
        </row>
        <row r="40">
          <cell r="B40">
            <v>22.385328212859999</v>
          </cell>
          <cell r="C40">
            <v>0.32493476560803836</v>
          </cell>
          <cell r="D40">
            <v>0.9434142208816052</v>
          </cell>
          <cell r="E40">
            <v>107.36631070045358</v>
          </cell>
        </row>
        <row r="41">
          <cell r="B41">
            <v>1.1133582147149996</v>
          </cell>
          <cell r="C41">
            <v>1.6160977721486895E-2</v>
          </cell>
          <cell r="D41">
            <v>4.6921714200914566E-2</v>
          </cell>
          <cell r="E41">
            <v>5.3399781707610101</v>
          </cell>
        </row>
        <row r="42">
          <cell r="B42">
            <v>56.498262815090008</v>
          </cell>
          <cell r="C42">
            <v>0.82010188148754115</v>
          </cell>
          <cell r="D42">
            <v>2.3810803258288447</v>
          </cell>
          <cell r="E42">
            <v>270.9815099318497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GOVDetalhado"/>
      <sheetName val="AD ESFERA"/>
      <sheetName val="PRINCIPAIS TRIBUTOS"/>
      <sheetName val="Bases de Incidência"/>
      <sheetName val="RD ESFERA"/>
      <sheetName val="RD ESFERA DETALHADA"/>
      <sheetName val="Impostos"/>
      <sheetName val="Contribuições"/>
      <sheetName val="Patrimoniais"/>
      <sheetName val="Multas"/>
      <sheetName val="Estados"/>
      <sheetName val="Municipios"/>
      <sheetName val="Transferencias"/>
      <sheetName val="Gráficos"/>
    </sheetNames>
    <sheetDataSet>
      <sheetData sheetId="0">
        <row r="5">
          <cell r="B5">
            <v>7389.1310000000003</v>
          </cell>
          <cell r="C5"/>
          <cell r="D5"/>
          <cell r="E5"/>
        </row>
        <row r="6">
          <cell r="B6">
            <v>210147125</v>
          </cell>
          <cell r="C6"/>
          <cell r="D6"/>
          <cell r="E6"/>
        </row>
        <row r="7">
          <cell r="B7">
            <v>2496.9242893211763</v>
          </cell>
          <cell r="C7">
            <v>33.791853051748255</v>
          </cell>
          <cell r="D7">
            <v>100</v>
          </cell>
          <cell r="E7">
            <v>11881.791337003428</v>
          </cell>
        </row>
        <row r="8">
          <cell r="B8"/>
          <cell r="C8"/>
          <cell r="D8"/>
          <cell r="E8"/>
        </row>
        <row r="9">
          <cell r="B9">
            <v>1610.6225090690798</v>
          </cell>
          <cell r="C9">
            <v>21.797184392441821</v>
          </cell>
          <cell r="D9">
            <v>64.504258937981263</v>
          </cell>
          <cell r="E9">
            <v>7664.2614504913154</v>
          </cell>
        </row>
        <row r="10">
          <cell r="B10">
            <v>388.12890352641</v>
          </cell>
          <cell r="C10">
            <v>5.2527002637578084</v>
          </cell>
          <cell r="D10">
            <v>15.544280024282523</v>
          </cell>
          <cell r="E10">
            <v>1846.938917324755</v>
          </cell>
        </row>
        <row r="11">
          <cell r="B11">
            <v>52.258162229589985</v>
          </cell>
          <cell r="C11">
            <v>0.70723014965616371</v>
          </cell>
          <cell r="D11">
            <v>2.0929013527998119</v>
          </cell>
          <cell r="E11">
            <v>248.67417162899554</v>
          </cell>
        </row>
        <row r="12">
          <cell r="B12">
            <v>40.941984042829986</v>
          </cell>
          <cell r="C12">
            <v>0.55408388405659592</v>
          </cell>
          <cell r="D12">
            <v>1.639696654717578</v>
          </cell>
          <cell r="E12">
            <v>194.82533507336817</v>
          </cell>
        </row>
        <row r="13">
          <cell r="B13">
            <v>42.926630044120003</v>
          </cell>
          <cell r="C13">
            <v>0.58094287466442263</v>
          </cell>
          <cell r="D13">
            <v>1.7191802822259461</v>
          </cell>
          <cell r="E13">
            <v>204.26941384099356</v>
          </cell>
        </row>
        <row r="14">
          <cell r="B14">
            <v>1.6252833120500001</v>
          </cell>
          <cell r="C14">
            <v>2.1995594773593811E-2</v>
          </cell>
          <cell r="D14">
            <v>6.5091413424147357E-2</v>
          </cell>
          <cell r="E14">
            <v>7.7340259213634264</v>
          </cell>
        </row>
        <row r="15">
          <cell r="B15">
            <v>8.5844524122799992</v>
          </cell>
          <cell r="C15">
            <v>0.11617675220915692</v>
          </cell>
          <cell r="D15">
            <v>0.34380106953958955</v>
          </cell>
          <cell r="E15">
            <v>40.849725697080075</v>
          </cell>
        </row>
        <row r="16">
          <cell r="B16">
            <v>394.94102854339002</v>
          </cell>
          <cell r="C16">
            <v>5.3448914161000802</v>
          </cell>
          <cell r="D16">
            <v>15.817100671913453</v>
          </cell>
          <cell r="E16">
            <v>1879.3548974005237</v>
          </cell>
        </row>
        <row r="17">
          <cell r="B17">
            <v>236.27308958230998</v>
          </cell>
          <cell r="C17">
            <v>3.1975761369274678</v>
          </cell>
          <cell r="D17">
            <v>9.4625652284612958</v>
          </cell>
          <cell r="E17">
            <v>1124.3222555736129</v>
          </cell>
        </row>
        <row r="18">
          <cell r="B18">
            <v>-3.6175415450000005E-2</v>
          </cell>
          <cell r="C18">
            <v>-4.8957604689915505E-4</v>
          </cell>
          <cell r="D18">
            <v>-1.4487990526871281E-3</v>
          </cell>
          <cell r="E18">
            <v>-0.17214328033276688</v>
          </cell>
        </row>
        <row r="19">
          <cell r="B19">
            <v>79.552491322690003</v>
          </cell>
          <cell r="C19">
            <v>1.0766149811485275</v>
          </cell>
          <cell r="D19">
            <v>3.1860193624179711</v>
          </cell>
          <cell r="E19">
            <v>378.55617259903033</v>
          </cell>
        </row>
        <row r="20">
          <cell r="B20">
            <v>63.740820517509995</v>
          </cell>
          <cell r="C20">
            <v>0.86262945558158322</v>
          </cell>
          <cell r="D20">
            <v>2.552773457734228</v>
          </cell>
          <cell r="E20">
            <v>303.31521555438837</v>
          </cell>
        </row>
        <row r="21">
          <cell r="B21">
            <v>17.74305029289</v>
          </cell>
          <cell r="C21">
            <v>0.24012363961188396</v>
          </cell>
          <cell r="D21">
            <v>0.71059624710181712</v>
          </cell>
          <cell r="E21">
            <v>84.43156332921518</v>
          </cell>
        </row>
        <row r="22">
          <cell r="B22">
            <v>9.5587720438399959</v>
          </cell>
          <cell r="C22">
            <v>0.12936260087742382</v>
          </cell>
          <cell r="D22">
            <v>0.38282186146856223</v>
          </cell>
          <cell r="E22">
            <v>45.48609477212689</v>
          </cell>
        </row>
        <row r="23">
          <cell r="B23">
            <v>128.70962267991001</v>
          </cell>
          <cell r="C23">
            <v>1.7418776670749241</v>
          </cell>
          <cell r="D23">
            <v>5.1547266863626655</v>
          </cell>
          <cell r="E23">
            <v>612.47386886644301</v>
          </cell>
        </row>
        <row r="24">
          <cell r="B24">
            <v>79.082841236640036</v>
          </cell>
          <cell r="C24">
            <v>1.070259022835568</v>
          </cell>
          <cell r="D24">
            <v>3.1672102183819035</v>
          </cell>
          <cell r="E24">
            <v>376.32130935238837</v>
          </cell>
        </row>
        <row r="25">
          <cell r="B25">
            <v>21.896450521729996</v>
          </cell>
          <cell r="C25">
            <v>0.29633322946541341</v>
          </cell>
          <cell r="D25">
            <v>0.87693690254752787</v>
          </cell>
          <cell r="E25">
            <v>104.19581291787834</v>
          </cell>
        </row>
        <row r="26">
          <cell r="B26">
            <v>17.791306115000001</v>
          </cell>
          <cell r="C26">
            <v>0.24077670452723063</v>
          </cell>
          <cell r="D26">
            <v>0.71252885764657348</v>
          </cell>
          <cell r="E26">
            <v>84.661192081500047</v>
          </cell>
        </row>
        <row r="27">
          <cell r="B27">
            <v>26.903796061339992</v>
          </cell>
          <cell r="C27">
            <v>0.36409959522087226</v>
          </cell>
          <cell r="D27">
            <v>1.0774774460083514</v>
          </cell>
          <cell r="E27">
            <v>128.0236218379861</v>
          </cell>
        </row>
        <row r="28">
          <cell r="B28"/>
          <cell r="C28"/>
          <cell r="D28"/>
          <cell r="E28"/>
        </row>
        <row r="29">
          <cell r="B29">
            <v>694.77879676619898</v>
          </cell>
          <cell r="C29">
            <v>9.4027132116915926</v>
          </cell>
          <cell r="D29">
            <v>27.825385004167838</v>
          </cell>
          <cell r="E29">
            <v>3306.1541849130649</v>
          </cell>
        </row>
        <row r="30">
          <cell r="B30">
            <v>524.20016894637001</v>
          </cell>
          <cell r="C30">
            <v>7.0942059214590998</v>
          </cell>
          <cell r="D30">
            <v>20.993835143030353</v>
          </cell>
          <cell r="E30">
            <v>2494.4436853293614</v>
          </cell>
        </row>
        <row r="31">
          <cell r="B31">
            <v>47.941197879910014</v>
          </cell>
          <cell r="C31">
            <v>0.64880698257900704</v>
          </cell>
          <cell r="D31">
            <v>1.9200100733908714</v>
          </cell>
          <cell r="E31">
            <v>228.1315905697497</v>
          </cell>
        </row>
        <row r="32">
          <cell r="B32">
            <v>8.9722656768699984</v>
          </cell>
          <cell r="C32">
            <v>0.1214251808077296</v>
          </cell>
          <cell r="D32">
            <v>0.3593327084542573</v>
          </cell>
          <cell r="E32">
            <v>42.69516262413773</v>
          </cell>
        </row>
        <row r="33">
          <cell r="B33">
            <v>45.282098915399089</v>
          </cell>
          <cell r="C33">
            <v>0.61282035621508246</v>
          </cell>
          <cell r="D33">
            <v>1.8135150957144019</v>
          </cell>
          <cell r="E33">
            <v>215.47807953784323</v>
          </cell>
        </row>
        <row r="34">
          <cell r="B34">
            <v>28.59400080891</v>
          </cell>
          <cell r="C34">
            <v>0.38697379717466096</v>
          </cell>
          <cell r="D34">
            <v>1.1451689156615827</v>
          </cell>
          <cell r="E34">
            <v>136.06658101513403</v>
          </cell>
        </row>
        <row r="35">
          <cell r="B35">
            <v>35.719831834100006</v>
          </cell>
          <cell r="C35">
            <v>0.48341045562867957</v>
          </cell>
          <cell r="D35">
            <v>1.4305532605400277</v>
          </cell>
          <cell r="E35">
            <v>169.97535338206509</v>
          </cell>
        </row>
        <row r="36">
          <cell r="B36">
            <v>4.0692327046400001</v>
          </cell>
          <cell r="C36">
            <v>5.5070517827333153E-2</v>
          </cell>
          <cell r="D36">
            <v>0.16296980737634933</v>
          </cell>
          <cell r="E36">
            <v>19.363732454774244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/>
          <cell r="C38"/>
          <cell r="D38"/>
          <cell r="E38"/>
        </row>
        <row r="39">
          <cell r="B39">
            <v>191.52298348589721</v>
          </cell>
          <cell r="C39">
            <v>2.5919554476148443</v>
          </cell>
          <cell r="D39">
            <v>7.6703560578508938</v>
          </cell>
          <cell r="E39">
            <v>911.37570159904499</v>
          </cell>
        </row>
        <row r="40">
          <cell r="B40">
            <v>71.31485364559488</v>
          </cell>
          <cell r="C40">
            <v>0.96513180840338175</v>
          </cell>
          <cell r="D40">
            <v>2.8561079705377379</v>
          </cell>
          <cell r="E40">
            <v>339.3567894188173</v>
          </cell>
        </row>
        <row r="41">
          <cell r="B41">
            <v>50.587825506897673</v>
          </cell>
          <cell r="C41">
            <v>0.68462482945420333</v>
          </cell>
          <cell r="D41">
            <v>2.0260055830787995</v>
          </cell>
          <cell r="E41">
            <v>240.72575585746259</v>
          </cell>
        </row>
        <row r="42">
          <cell r="B42">
            <v>12.808551159474884</v>
          </cell>
          <cell r="C42">
            <v>0.17334313276452784</v>
          </cell>
          <cell r="D42">
            <v>0.51297314917614367</v>
          </cell>
          <cell r="E42">
            <v>60.950399199964714</v>
          </cell>
        </row>
        <row r="43">
          <cell r="B43">
            <v>19.194820557189999</v>
          </cell>
          <cell r="C43">
            <v>0.25977101444256434</v>
          </cell>
          <cell r="D43">
            <v>0.7687385892829125</v>
          </cell>
          <cell r="E43">
            <v>91.339915105619454</v>
          </cell>
        </row>
        <row r="44">
          <cell r="B44">
            <v>12.058536149209797</v>
          </cell>
          <cell r="C44">
            <v>0.16319288627052081</v>
          </cell>
          <cell r="D44">
            <v>0.48293559403389347</v>
          </cell>
          <cell r="E44">
            <v>57.381399575225203</v>
          </cell>
        </row>
        <row r="45">
          <cell r="B45">
            <v>14.835991900159994</v>
          </cell>
          <cell r="C45">
            <v>0.20078128131927822</v>
          </cell>
          <cell r="D45">
            <v>0.59417067484226227</v>
          </cell>
          <cell r="E45">
            <v>70.598119770422713</v>
          </cell>
        </row>
        <row r="46">
          <cell r="B46">
            <v>10.722404567369995</v>
          </cell>
          <cell r="C46">
            <v>0.14511049496036807</v>
          </cell>
          <cell r="D46">
            <v>0.42942449689914425</v>
          </cell>
          <cell r="E46">
            <v>51.023322671533073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</sheetData>
      <sheetData sheetId="1">
        <row r="5">
          <cell r="B5">
            <v>7389.1310000000003</v>
          </cell>
          <cell r="C5"/>
          <cell r="D5"/>
          <cell r="E5"/>
        </row>
        <row r="6">
          <cell r="B6">
            <v>210147125</v>
          </cell>
          <cell r="C6"/>
          <cell r="D6"/>
          <cell r="E6"/>
        </row>
        <row r="7">
          <cell r="B7">
            <v>2496.9242893211767</v>
          </cell>
          <cell r="C7">
            <v>33.791853051748248</v>
          </cell>
          <cell r="D7">
            <v>100.00000000000001</v>
          </cell>
          <cell r="E7">
            <v>11881.791337003429</v>
          </cell>
        </row>
        <row r="8">
          <cell r="B8"/>
          <cell r="C8"/>
          <cell r="D8"/>
          <cell r="E8">
            <v>0</v>
          </cell>
        </row>
        <row r="9">
          <cell r="B9">
            <v>1610.62250906908</v>
          </cell>
          <cell r="C9">
            <v>21.797184392441814</v>
          </cell>
          <cell r="D9">
            <v>64.504258937981263</v>
          </cell>
          <cell r="E9">
            <v>7664.2614504913172</v>
          </cell>
        </row>
        <row r="10">
          <cell r="B10">
            <v>525.8809631549999</v>
          </cell>
          <cell r="C10">
            <v>7.1169527669085841</v>
          </cell>
          <cell r="D10">
            <v>21.061149727450008</v>
          </cell>
          <cell r="E10">
            <v>2502.4418637894755</v>
          </cell>
        </row>
        <row r="11">
          <cell r="B11">
            <v>446.51980498051995</v>
          </cell>
          <cell r="C11">
            <v>6.0429271720926314</v>
          </cell>
          <cell r="D11">
            <v>17.882793118325292</v>
          </cell>
          <cell r="E11">
            <v>2124.7961635474194</v>
          </cell>
        </row>
        <row r="12">
          <cell r="B12">
            <v>394.94102854339002</v>
          </cell>
          <cell r="C12">
            <v>5.3448914161000802</v>
          </cell>
          <cell r="D12">
            <v>15.817100671913456</v>
          </cell>
          <cell r="E12">
            <v>1879.3548974005237</v>
          </cell>
        </row>
        <row r="13">
          <cell r="B13">
            <v>128.70962267991001</v>
          </cell>
          <cell r="C13">
            <v>1.7418776670749241</v>
          </cell>
          <cell r="D13">
            <v>5.1547266863626664</v>
          </cell>
          <cell r="E13">
            <v>612.47386886644301</v>
          </cell>
        </row>
        <row r="14">
          <cell r="B14">
            <v>114.57108971026003</v>
          </cell>
          <cell r="C14">
            <v>1.5505353702655971</v>
          </cell>
          <cell r="D14">
            <v>4.5884887339298457</v>
          </cell>
          <cell r="E14">
            <v>545.19465688745458</v>
          </cell>
        </row>
        <row r="15">
          <cell r="B15"/>
          <cell r="C15"/>
          <cell r="D15"/>
          <cell r="E15">
            <v>0</v>
          </cell>
        </row>
        <row r="16">
          <cell r="B16">
            <v>694.77879676619909</v>
          </cell>
          <cell r="C16">
            <v>9.4027132116915926</v>
          </cell>
          <cell r="D16">
            <v>27.825385004167849</v>
          </cell>
          <cell r="E16">
            <v>3306.1541849130654</v>
          </cell>
        </row>
        <row r="17">
          <cell r="B17">
            <v>524.20016894637001</v>
          </cell>
          <cell r="C17">
            <v>7.0942059214590998</v>
          </cell>
          <cell r="D17">
            <v>20.993835143030356</v>
          </cell>
          <cell r="E17">
            <v>2494.4436853293614</v>
          </cell>
        </row>
        <row r="18">
          <cell r="B18">
            <v>47.941197879910014</v>
          </cell>
          <cell r="C18">
            <v>0.64880698257900704</v>
          </cell>
          <cell r="D18">
            <v>1.9200100733908716</v>
          </cell>
          <cell r="E18">
            <v>228.1315905697497</v>
          </cell>
        </row>
        <row r="19">
          <cell r="B19">
            <v>122.63742993991909</v>
          </cell>
          <cell r="C19">
            <v>1.6597003076534858</v>
          </cell>
          <cell r="D19">
            <v>4.9115397877466203</v>
          </cell>
          <cell r="E19">
            <v>583.57890901395433</v>
          </cell>
        </row>
        <row r="20">
          <cell r="B20"/>
          <cell r="C20"/>
          <cell r="D20"/>
          <cell r="E20">
            <v>0</v>
          </cell>
        </row>
        <row r="21">
          <cell r="B21">
            <v>191.52298348589721</v>
          </cell>
          <cell r="C21">
            <v>2.5919554476148443</v>
          </cell>
          <cell r="D21">
            <v>7.6703560578508947</v>
          </cell>
          <cell r="E21">
            <v>911.37570159904499</v>
          </cell>
        </row>
        <row r="22">
          <cell r="B22">
            <v>71.31485364559488</v>
          </cell>
          <cell r="C22">
            <v>0.96513180840338175</v>
          </cell>
          <cell r="D22">
            <v>2.8561079705377383</v>
          </cell>
          <cell r="E22">
            <v>339.3567894188173</v>
          </cell>
        </row>
        <row r="23">
          <cell r="B23">
            <v>50.587825506897673</v>
          </cell>
          <cell r="C23">
            <v>0.68462482945420333</v>
          </cell>
          <cell r="D23">
            <v>2.0260055830788</v>
          </cell>
          <cell r="E23">
            <v>240.72575585746259</v>
          </cell>
        </row>
        <row r="24">
          <cell r="B24">
            <v>69.620304333404675</v>
          </cell>
          <cell r="C24">
            <v>0.94219880975725934</v>
          </cell>
          <cell r="D24">
            <v>2.7882425042343568</v>
          </cell>
          <cell r="E24">
            <v>331.29315632276518</v>
          </cell>
        </row>
      </sheetData>
      <sheetData sheetId="2">
        <row r="5">
          <cell r="B5">
            <v>7389.1310000000003</v>
          </cell>
          <cell r="C5"/>
          <cell r="D5"/>
          <cell r="E5"/>
        </row>
        <row r="6">
          <cell r="B6">
            <v>210147125</v>
          </cell>
          <cell r="C6"/>
          <cell r="D6"/>
          <cell r="E6"/>
        </row>
        <row r="7">
          <cell r="B7">
            <v>2496.9242893211767</v>
          </cell>
          <cell r="C7">
            <v>33.791853051748262</v>
          </cell>
          <cell r="D7">
            <v>99.998551200947304</v>
          </cell>
          <cell r="E7">
            <v>11881.791337003429</v>
          </cell>
        </row>
        <row r="8">
          <cell r="B8"/>
          <cell r="C8"/>
          <cell r="D8"/>
          <cell r="E8">
            <v>0</v>
          </cell>
        </row>
        <row r="9">
          <cell r="B9">
            <v>524.20016894637001</v>
          </cell>
          <cell r="C9">
            <v>7.0942059214590998</v>
          </cell>
          <cell r="D9">
            <v>20.993835143030349</v>
          </cell>
          <cell r="E9">
            <v>2494.4436853293614</v>
          </cell>
        </row>
        <row r="10">
          <cell r="B10">
            <v>434.62878518012002</v>
          </cell>
          <cell r="C10">
            <v>5.8820013500927244</v>
          </cell>
          <cell r="D10">
            <v>17.40656643210755</v>
          </cell>
          <cell r="E10">
            <v>2068.2119023999021</v>
          </cell>
        </row>
        <row r="11">
          <cell r="B11">
            <v>452.60582299899909</v>
          </cell>
          <cell r="C11">
            <v>6.1252916344154551</v>
          </cell>
          <cell r="D11">
            <v>18.126533709279833</v>
          </cell>
          <cell r="E11">
            <v>2153.756911968218</v>
          </cell>
        </row>
        <row r="12">
          <cell r="B12">
            <v>236.27308958230998</v>
          </cell>
          <cell r="C12">
            <v>3.1975761369274678</v>
          </cell>
          <cell r="D12">
            <v>9.462565228461294</v>
          </cell>
          <cell r="E12">
            <v>1124.3222555736129</v>
          </cell>
        </row>
        <row r="13">
          <cell r="B13">
            <v>128.70962267991001</v>
          </cell>
          <cell r="C13">
            <v>1.7418776670749241</v>
          </cell>
          <cell r="D13">
            <v>5.1547266863626646</v>
          </cell>
          <cell r="E13">
            <v>612.47386886644301</v>
          </cell>
        </row>
        <row r="14">
          <cell r="B14">
            <v>52.258162229589985</v>
          </cell>
          <cell r="C14">
            <v>0.70723014965616371</v>
          </cell>
          <cell r="D14">
            <v>2.0929013527998115</v>
          </cell>
          <cell r="E14">
            <v>248.67417162899554</v>
          </cell>
        </row>
        <row r="15">
          <cell r="B15">
            <v>79.552491322690003</v>
          </cell>
          <cell r="C15">
            <v>1.0766149811485275</v>
          </cell>
          <cell r="D15">
            <v>3.1860193624179702</v>
          </cell>
          <cell r="E15">
            <v>378.55617259903033</v>
          </cell>
        </row>
        <row r="16">
          <cell r="B16">
            <v>63.740820517509995</v>
          </cell>
          <cell r="C16">
            <v>0.86262945558158322</v>
          </cell>
          <cell r="D16">
            <v>2.5527734577342276</v>
          </cell>
          <cell r="E16">
            <v>303.31521555438837</v>
          </cell>
        </row>
        <row r="17">
          <cell r="B17">
            <v>71.31485364559488</v>
          </cell>
          <cell r="C17">
            <v>0.96513180840338175</v>
          </cell>
          <cell r="D17">
            <v>2.8561079705377375</v>
          </cell>
          <cell r="E17">
            <v>339.3567894188173</v>
          </cell>
        </row>
        <row r="18">
          <cell r="B18">
            <v>42.926630044120003</v>
          </cell>
          <cell r="C18">
            <v>0.58094287466442263</v>
          </cell>
          <cell r="D18">
            <v>1.7191802822259457</v>
          </cell>
          <cell r="E18">
            <v>204.26941384099356</v>
          </cell>
        </row>
        <row r="19">
          <cell r="B19">
            <v>47.941197879910014</v>
          </cell>
          <cell r="C19">
            <v>0.64880698257900704</v>
          </cell>
          <cell r="D19">
            <v>1.9200100733908709</v>
          </cell>
          <cell r="E19">
            <v>228.1315905697497</v>
          </cell>
        </row>
        <row r="20">
          <cell r="B20">
            <v>50.587825506897673</v>
          </cell>
          <cell r="C20">
            <v>0.68462482945420333</v>
          </cell>
          <cell r="D20">
            <v>2.0260055830787991</v>
          </cell>
          <cell r="E20">
            <v>240.72575585746259</v>
          </cell>
        </row>
        <row r="21">
          <cell r="B21">
            <v>40.941984042829986</v>
          </cell>
          <cell r="C21">
            <v>0.55408388405659592</v>
          </cell>
          <cell r="D21">
            <v>1.6396966547175775</v>
          </cell>
          <cell r="E21">
            <v>194.82533507336817</v>
          </cell>
        </row>
        <row r="22">
          <cell r="B22">
            <v>12.808551159474884</v>
          </cell>
          <cell r="C22">
            <v>0.17334313276452784</v>
          </cell>
          <cell r="D22">
            <v>0.51297314917614356</v>
          </cell>
          <cell r="E22">
            <v>60.950399199964714</v>
          </cell>
        </row>
        <row r="23">
          <cell r="B23">
            <v>8.9722656768699984</v>
          </cell>
          <cell r="C23">
            <v>0.1214251808077296</v>
          </cell>
          <cell r="D23">
            <v>0.35933270845425719</v>
          </cell>
          <cell r="E23">
            <v>42.69516262413773</v>
          </cell>
        </row>
        <row r="24">
          <cell r="B24">
            <v>1.6252833120500001</v>
          </cell>
          <cell r="C24">
            <v>2.1995594773593811E-2</v>
          </cell>
          <cell r="D24">
            <v>6.5091413424147329E-2</v>
          </cell>
          <cell r="E24">
            <v>7.7340259213634264</v>
          </cell>
        </row>
        <row r="25">
          <cell r="B25">
            <v>-3.6175415450000005E-2</v>
          </cell>
          <cell r="C25">
            <v>-4.8957604689915505E-4</v>
          </cell>
          <cell r="D25">
            <v>-1.4487990526871276E-3</v>
          </cell>
          <cell r="E25">
            <v>-0.17214328033276688</v>
          </cell>
        </row>
        <row r="26">
          <cell r="B26">
            <v>247.83673459592956</v>
          </cell>
          <cell r="C26">
            <v>3.354071467888843</v>
          </cell>
          <cell r="D26">
            <v>9.9256807928007831</v>
          </cell>
          <cell r="E26">
            <v>1179.348680577617</v>
          </cell>
        </row>
      </sheetData>
      <sheetData sheetId="3">
        <row r="5">
          <cell r="B5">
            <v>7389.1310000000003</v>
          </cell>
          <cell r="C5"/>
          <cell r="D5"/>
          <cell r="E5"/>
        </row>
        <row r="6">
          <cell r="B6">
            <v>210147125</v>
          </cell>
          <cell r="C6"/>
          <cell r="D6"/>
          <cell r="E6"/>
        </row>
        <row r="7">
          <cell r="B7">
            <v>2496.9242893211758</v>
          </cell>
          <cell r="C7">
            <v>33.791853051748262</v>
          </cell>
          <cell r="D7">
            <v>100.00000000000001</v>
          </cell>
          <cell r="E7">
            <v>11881.791337003424</v>
          </cell>
        </row>
        <row r="8">
          <cell r="B8"/>
          <cell r="C8"/>
          <cell r="D8"/>
          <cell r="E8">
            <v>0</v>
          </cell>
        </row>
        <row r="9">
          <cell r="B9">
            <v>1041.6615734300246</v>
          </cell>
          <cell r="C9">
            <v>14.097213507650963</v>
          </cell>
          <cell r="D9">
            <v>41.717787675220826</v>
          </cell>
          <cell r="E9">
            <v>4956.8204819838702</v>
          </cell>
        </row>
        <row r="10">
          <cell r="B10">
            <v>636.93420441917999</v>
          </cell>
          <cell r="C10">
            <v>8.6198797181858051</v>
          </cell>
          <cell r="D10">
            <v>25.508751192145258</v>
          </cell>
          <cell r="E10">
            <v>3030.8965893260729</v>
          </cell>
        </row>
        <row r="11">
          <cell r="B11">
            <v>534.96109280654912</v>
          </cell>
          <cell r="C11">
            <v>7.239837713075449</v>
          </cell>
          <cell r="D11">
            <v>21.424802309564054</v>
          </cell>
          <cell r="E11">
            <v>2545.6503047878914</v>
          </cell>
        </row>
        <row r="12">
          <cell r="B12">
            <v>121.93512353520258</v>
          </cell>
          <cell r="C12">
            <v>1.6501957203790618</v>
          </cell>
          <cell r="D12">
            <v>4.8834129275242208</v>
          </cell>
          <cell r="E12">
            <v>580.23693417267816</v>
          </cell>
        </row>
        <row r="13">
          <cell r="B13">
            <v>42.926630044120003</v>
          </cell>
          <cell r="C13">
            <v>0.58094287466442263</v>
          </cell>
          <cell r="D13">
            <v>1.7191802822259468</v>
          </cell>
          <cell r="E13">
            <v>204.26941384099356</v>
          </cell>
        </row>
        <row r="14">
          <cell r="B14">
            <v>49.236989370399797</v>
          </cell>
          <cell r="C14">
            <v>0.66634343565433873</v>
          </cell>
          <cell r="D14">
            <v>1.9719055792350664</v>
          </cell>
          <cell r="E14">
            <v>234.29770628743933</v>
          </cell>
        </row>
        <row r="15">
          <cell r="B15">
            <v>40.905808627379983</v>
          </cell>
          <cell r="C15">
            <v>0.55359430800969667</v>
          </cell>
          <cell r="D15">
            <v>1.638247855664891</v>
          </cell>
          <cell r="E15">
            <v>194.65319179303538</v>
          </cell>
        </row>
        <row r="16">
          <cell r="B16">
            <v>28.362867088319987</v>
          </cell>
          <cell r="C16">
            <v>0.38384577412851367</v>
          </cell>
          <cell r="D16">
            <v>1.1359121784197483</v>
          </cell>
          <cell r="E16">
            <v>134.96671481144455</v>
          </cell>
        </row>
      </sheetData>
      <sheetData sheetId="4">
        <row r="5">
          <cell r="B5">
            <v>7389.1310000000003</v>
          </cell>
          <cell r="C5"/>
          <cell r="D5"/>
          <cell r="E5"/>
        </row>
        <row r="6">
          <cell r="B6">
            <v>210147125</v>
          </cell>
          <cell r="C6"/>
          <cell r="D6"/>
          <cell r="E6"/>
        </row>
        <row r="7">
          <cell r="B7">
            <v>2496.9242893211767</v>
          </cell>
          <cell r="C7">
            <v>33.791853051748255</v>
          </cell>
          <cell r="D7">
            <v>100.00000000000001</v>
          </cell>
          <cell r="E7">
            <v>11881.791337003429</v>
          </cell>
        </row>
        <row r="8">
          <cell r="B8"/>
          <cell r="C8"/>
          <cell r="D8"/>
          <cell r="E8"/>
        </row>
        <row r="9">
          <cell r="B9">
            <v>1332.5587995096546</v>
          </cell>
          <cell r="C9">
            <v>18.034039449424494</v>
          </cell>
          <cell r="D9">
            <v>53.3680098034502</v>
          </cell>
          <cell r="E9">
            <v>6341.0755655574849</v>
          </cell>
        </row>
        <row r="10">
          <cell r="B10"/>
          <cell r="C10"/>
          <cell r="D10"/>
          <cell r="E10"/>
        </row>
        <row r="11">
          <cell r="B11">
            <v>639.1769852127477</v>
          </cell>
          <cell r="C11">
            <v>8.6502321479040987</v>
          </cell>
          <cell r="D11">
            <v>25.598572930159481</v>
          </cell>
          <cell r="E11">
            <v>3041.5690208121937</v>
          </cell>
        </row>
        <row r="12">
          <cell r="B12"/>
          <cell r="C12"/>
          <cell r="D12"/>
          <cell r="E12"/>
        </row>
        <row r="13">
          <cell r="B13">
            <v>525.18850459877422</v>
          </cell>
          <cell r="C13">
            <v>7.1075814544196634</v>
          </cell>
          <cell r="D13">
            <v>21.033417266390327</v>
          </cell>
          <cell r="E13">
            <v>2499.146750633749</v>
          </cell>
        </row>
        <row r="14">
          <cell r="B14"/>
          <cell r="C14"/>
          <cell r="D14"/>
          <cell r="E14"/>
        </row>
        <row r="15">
          <cell r="B15"/>
          <cell r="C15"/>
          <cell r="D15"/>
          <cell r="E15"/>
        </row>
        <row r="16">
          <cell r="B16"/>
          <cell r="C16"/>
          <cell r="D16"/>
          <cell r="E16"/>
        </row>
        <row r="17">
          <cell r="B17">
            <v>137.18621680677109</v>
          </cell>
          <cell r="C17">
            <v>1.8565947309199293</v>
          </cell>
          <cell r="D17">
            <v>5.4942081100932008</v>
          </cell>
          <cell r="E17">
            <v>652.81034326199369</v>
          </cell>
        </row>
        <row r="18">
          <cell r="B18">
            <v>77.94996489687</v>
          </cell>
          <cell r="C18">
            <v>1.0549273642173891</v>
          </cell>
          <cell r="D18">
            <v>3.121839345720081</v>
          </cell>
          <cell r="E18">
            <v>370.93043693493308</v>
          </cell>
        </row>
        <row r="19">
          <cell r="B19">
            <v>4.28148546167</v>
          </cell>
          <cell r="C19">
            <v>5.7943017408542352E-2</v>
          </cell>
          <cell r="D19">
            <v>0.17147037577314694</v>
          </cell>
          <cell r="E19">
            <v>20.373752254140999</v>
          </cell>
        </row>
        <row r="20">
          <cell r="B20">
            <v>7.6850099200000003E-3</v>
          </cell>
          <cell r="C20">
            <v>1.0400424515413247E-4</v>
          </cell>
          <cell r="D20">
            <v>3.0777905252743075E-4</v>
          </cell>
          <cell r="E20">
            <v>3.6569664800315496E-2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20.414180363060002</v>
          </cell>
          <cell r="C22">
            <v>0.27627308763452701</v>
          </cell>
          <cell r="D22">
            <v>0.81757306180116029</v>
          </cell>
          <cell r="E22">
            <v>97.14232523076393</v>
          </cell>
        </row>
        <row r="23">
          <cell r="B23">
            <v>14.597633681153336</v>
          </cell>
          <cell r="C23">
            <v>0.1975554863102757</v>
          </cell>
          <cell r="D23">
            <v>0.58462460169835218</v>
          </cell>
          <cell r="E23">
            <v>69.46387527858559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0.61856222400999983</v>
          </cell>
          <cell r="C25">
            <v>8.3712445213110966E-3</v>
          </cell>
          <cell r="D25">
            <v>2.4772966751753795E-2</v>
          </cell>
          <cell r="E25">
            <v>2.9434722174286225</v>
          </cell>
        </row>
        <row r="26">
          <cell r="B26">
            <v>19.316705170087751</v>
          </cell>
          <cell r="C26">
            <v>0.26142052658273007</v>
          </cell>
          <cell r="D26">
            <v>0.77361997929617898</v>
          </cell>
          <cell r="E26">
            <v>91.919911681341105</v>
          </cell>
        </row>
        <row r="27">
          <cell r="B27"/>
          <cell r="C27"/>
          <cell r="D27"/>
          <cell r="E27"/>
        </row>
        <row r="28">
          <cell r="B28">
            <v>140.87749275265452</v>
          </cell>
          <cell r="C28">
            <v>1.9065502120973969</v>
          </cell>
          <cell r="D28">
            <v>5.6420410244378711</v>
          </cell>
          <cell r="E28">
            <v>670.37554167183828</v>
          </cell>
        </row>
        <row r="29">
          <cell r="B29">
            <v>90.409487778560006</v>
          </cell>
          <cell r="C29">
            <v>1.2235469607800971</v>
          </cell>
          <cell r="D29">
            <v>3.6208341664672212</v>
          </cell>
          <cell r="E29">
            <v>430.21996031856258</v>
          </cell>
        </row>
        <row r="30">
          <cell r="B30">
            <v>1.1272424905400003</v>
          </cell>
          <cell r="C30">
            <v>1.5255413532931007E-2</v>
          </cell>
          <cell r="D30">
            <v>4.5145241101661793E-2</v>
          </cell>
          <cell r="E30">
            <v>5.364063346286561</v>
          </cell>
        </row>
        <row r="31">
          <cell r="B31">
            <v>1.7931687880000002E-2</v>
          </cell>
          <cell r="C31">
            <v>2.426765458617529E-4</v>
          </cell>
          <cell r="D31">
            <v>7.1815104513541254E-4</v>
          </cell>
          <cell r="E31">
            <v>8.5329208667499032E-2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36.422178470149994</v>
          </cell>
          <cell r="C33">
            <v>0.49291558736947538</v>
          </cell>
          <cell r="D33">
            <v>1.4586817319980441</v>
          </cell>
          <cell r="E33">
            <v>173.31751966699517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0.20227289311999999</v>
          </cell>
          <cell r="C35">
            <v>2.7374381794016099E-3</v>
          </cell>
          <cell r="D35">
            <v>8.1008821126487048E-3</v>
          </cell>
          <cell r="E35">
            <v>0.96252990908155422</v>
          </cell>
        </row>
        <row r="36">
          <cell r="B36">
            <v>12.698379432404527</v>
          </cell>
          <cell r="C36">
            <v>0.17185213568963018</v>
          </cell>
          <cell r="D36">
            <v>0.50856085171315935</v>
          </cell>
          <cell r="E36">
            <v>60.42613922224502</v>
          </cell>
        </row>
        <row r="37">
          <cell r="B37"/>
          <cell r="C37"/>
          <cell r="D37"/>
          <cell r="E37"/>
        </row>
        <row r="38">
          <cell r="B38">
            <v>192.78802836022248</v>
          </cell>
          <cell r="C38">
            <v>2.6090757947074223</v>
          </cell>
          <cell r="D38">
            <v>7.7210201841015618</v>
          </cell>
          <cell r="E38">
            <v>917.39550736286526</v>
          </cell>
        </row>
        <row r="39">
          <cell r="B39">
            <v>104.16976849992001</v>
          </cell>
          <cell r="C39">
            <v>1.4097702219641255</v>
          </cell>
          <cell r="D39">
            <v>4.1719233917276686</v>
          </cell>
          <cell r="E39">
            <v>495.69923214471771</v>
          </cell>
        </row>
        <row r="40">
          <cell r="B40">
            <v>23.970598939955007</v>
          </cell>
          <cell r="C40">
            <v>0.32440349128950352</v>
          </cell>
          <cell r="D40">
            <v>0.96000503669543569</v>
          </cell>
          <cell r="E40">
            <v>114.06579528487485</v>
          </cell>
        </row>
        <row r="41">
          <cell r="B41">
            <v>1.0703713654175</v>
          </cell>
          <cell r="C41">
            <v>1.4485754352135588E-2</v>
          </cell>
          <cell r="D41">
            <v>4.2867593943286736E-2</v>
          </cell>
          <cell r="E41">
            <v>5.0934380635352499</v>
          </cell>
        </row>
        <row r="42">
          <cell r="B42">
            <v>63.57728955492999</v>
          </cell>
          <cell r="C42">
            <v>0.86041632710165772</v>
          </cell>
          <cell r="D42">
            <v>2.5462241617351706</v>
          </cell>
          <cell r="E42">
            <v>302.53704186973766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yGOVDetalhado"/>
      <sheetName val="AD ESFERA"/>
      <sheetName val="PRINCIPAIS TRIBUTOS"/>
      <sheetName val="Bases de Incidência"/>
      <sheetName val="RD ESFERA"/>
      <sheetName val="RD ESFERA DETALHADA"/>
      <sheetName val="Impostos"/>
      <sheetName val="Contribuições"/>
      <sheetName val="Patrimoniais"/>
      <sheetName val="Multas"/>
      <sheetName val="Estados"/>
      <sheetName val="Municipios"/>
      <sheetName val="Transferencias"/>
      <sheetName val="Gráficos"/>
    </sheetNames>
    <sheetDataSet>
      <sheetData sheetId="0">
        <row r="5">
          <cell r="B5">
            <v>7609.5969999999998</v>
          </cell>
          <cell r="C5"/>
          <cell r="D5"/>
          <cell r="E5"/>
        </row>
        <row r="6">
          <cell r="B6">
            <v>211755692</v>
          </cell>
          <cell r="C6"/>
          <cell r="D6"/>
          <cell r="E6"/>
        </row>
        <row r="7">
          <cell r="B7">
            <v>2451.5573404858737</v>
          </cell>
          <cell r="C7">
            <v>32.216651426953014</v>
          </cell>
          <cell r="D7">
            <v>100</v>
          </cell>
          <cell r="E7">
            <v>11577.291346132379</v>
          </cell>
        </row>
        <row r="8">
          <cell r="B8"/>
          <cell r="C8"/>
          <cell r="D8"/>
          <cell r="E8"/>
        </row>
        <row r="9">
          <cell r="B9">
            <v>1541.6975596177697</v>
          </cell>
          <cell r="C9">
            <v>20.25991073663651</v>
          </cell>
          <cell r="D9">
            <v>62.886457279935421</v>
          </cell>
          <cell r="E9">
            <v>7280.5483765591989</v>
          </cell>
        </row>
        <row r="10">
          <cell r="B10">
            <v>374.9158578534599</v>
          </cell>
          <cell r="C10">
            <v>4.9268819078521497</v>
          </cell>
          <cell r="D10">
            <v>15.29296711367785</v>
          </cell>
          <cell r="E10">
            <v>1770.5113582186962</v>
          </cell>
        </row>
        <row r="11">
          <cell r="B11">
            <v>55.675970292149998</v>
          </cell>
          <cell r="C11">
            <v>0.73165464993941198</v>
          </cell>
          <cell r="D11">
            <v>2.2710449954687002</v>
          </cell>
          <cell r="E11">
            <v>262.92549572717036</v>
          </cell>
        </row>
        <row r="12">
          <cell r="B12">
            <v>21.944817092709997</v>
          </cell>
          <cell r="C12">
            <v>0.28838343335014976</v>
          </cell>
          <cell r="D12">
            <v>0.8951378264870915</v>
          </cell>
          <cell r="E12">
            <v>103.63271412184753</v>
          </cell>
        </row>
        <row r="13">
          <cell r="B13">
            <v>45.713057662609998</v>
          </cell>
          <cell r="C13">
            <v>0.60072902234651848</v>
          </cell>
          <cell r="D13">
            <v>1.8646538226003775</v>
          </cell>
          <cell r="E13">
            <v>215.87640563924015</v>
          </cell>
        </row>
        <row r="14">
          <cell r="B14">
            <v>1.7570060383000001</v>
          </cell>
          <cell r="C14">
            <v>2.3089344130838994E-2</v>
          </cell>
          <cell r="D14">
            <v>7.166897584992972E-2</v>
          </cell>
          <cell r="E14">
            <v>8.2973261389356185</v>
          </cell>
        </row>
        <row r="15">
          <cell r="B15">
            <v>6.1198764065999978</v>
          </cell>
          <cell r="C15">
            <v>8.0423134189629195E-2</v>
          </cell>
          <cell r="D15">
            <v>0.24963219523909241</v>
          </cell>
          <cell r="E15">
            <v>28.900646536575731</v>
          </cell>
        </row>
        <row r="16">
          <cell r="B16">
            <v>386.78781830195993</v>
          </cell>
          <cell r="C16">
            <v>5.0828949062868896</v>
          </cell>
          <cell r="D16">
            <v>15.777229107164287</v>
          </cell>
          <cell r="E16">
            <v>1826.57578008321</v>
          </cell>
        </row>
        <row r="17">
          <cell r="B17">
            <v>217.36630498938004</v>
          </cell>
          <cell r="C17">
            <v>2.8564759078487345</v>
          </cell>
          <cell r="D17">
            <v>8.8664581243814702</v>
          </cell>
          <cell r="E17">
            <v>1026.4956891424672</v>
          </cell>
        </row>
        <row r="18">
          <cell r="B18">
            <v>-2.9404073600000002E-3</v>
          </cell>
          <cell r="C18">
            <v>-3.8640776377513815E-5</v>
          </cell>
          <cell r="D18">
            <v>-1.1994038693042526E-4</v>
          </cell>
          <cell r="E18">
            <v>-1.3885848036613817E-2</v>
          </cell>
        </row>
        <row r="19">
          <cell r="B19">
            <v>76.66360747856001</v>
          </cell>
          <cell r="C19">
            <v>1.0074594946166007</v>
          </cell>
          <cell r="D19">
            <v>3.1271390724789683</v>
          </cell>
          <cell r="E19">
            <v>362.03800121963195</v>
          </cell>
        </row>
        <row r="20">
          <cell r="B20">
            <v>61.010338544389995</v>
          </cell>
          <cell r="C20">
            <v>0.80175518551626312</v>
          </cell>
          <cell r="D20">
            <v>2.4886360003432908</v>
          </cell>
          <cell r="E20">
            <v>288.11664030447878</v>
          </cell>
        </row>
        <row r="21">
          <cell r="B21">
            <v>24.408299055279997</v>
          </cell>
          <cell r="C21">
            <v>0.32075678981791017</v>
          </cell>
          <cell r="D21">
            <v>0.99562423656966226</v>
          </cell>
          <cell r="E21">
            <v>115.26631858037609</v>
          </cell>
        </row>
        <row r="22">
          <cell r="B22">
            <v>3.5439453406299992</v>
          </cell>
          <cell r="C22">
            <v>4.6572050275855599E-2</v>
          </cell>
          <cell r="D22">
            <v>0.14455894145749923</v>
          </cell>
          <cell r="E22">
            <v>16.736009819419632</v>
          </cell>
        </row>
        <row r="23">
          <cell r="B23">
            <v>127.27413977588</v>
          </cell>
          <cell r="C23">
            <v>1.6725477022749038</v>
          </cell>
          <cell r="D23">
            <v>5.1915628353467591</v>
          </cell>
          <cell r="E23">
            <v>601.04235486562504</v>
          </cell>
        </row>
        <row r="24">
          <cell r="B24">
            <v>72.774795833329989</v>
          </cell>
          <cell r="C24">
            <v>0.95635545263868749</v>
          </cell>
          <cell r="D24">
            <v>2.968512897149155</v>
          </cell>
          <cell r="E24">
            <v>343.67338675047273</v>
          </cell>
        </row>
        <row r="25">
          <cell r="B25">
            <v>20.984450906750002</v>
          </cell>
          <cell r="C25">
            <v>0.27576297281905998</v>
          </cell>
          <cell r="D25">
            <v>0.8559641073943266</v>
          </cell>
          <cell r="E25">
            <v>99.097458531362662</v>
          </cell>
        </row>
        <row r="26">
          <cell r="B26">
            <v>15.93536187932</v>
          </cell>
          <cell r="C26">
            <v>0.20941137722956948</v>
          </cell>
          <cell r="D26">
            <v>0.65000975568296426</v>
          </cell>
          <cell r="E26">
            <v>75.253523193700033</v>
          </cell>
        </row>
        <row r="27">
          <cell r="B27">
            <v>28.824852573819999</v>
          </cell>
          <cell r="C27">
            <v>0.37879604627971758</v>
          </cell>
          <cell r="D27">
            <v>1.1757772130309303</v>
          </cell>
          <cell r="E27">
            <v>136.12315353402636</v>
          </cell>
        </row>
        <row r="28">
          <cell r="B28"/>
          <cell r="C28"/>
          <cell r="D28"/>
          <cell r="E28"/>
        </row>
        <row r="29">
          <cell r="B29">
            <v>712.17638438832</v>
          </cell>
          <cell r="C29">
            <v>9.3589237956795888</v>
          </cell>
          <cell r="D29">
            <v>29.049958270491604</v>
          </cell>
          <cell r="E29">
            <v>3363.1983049046917</v>
          </cell>
        </row>
        <row r="30">
          <cell r="B30">
            <v>538.05600978652001</v>
          </cell>
          <cell r="C30">
            <v>7.0707556495635719</v>
          </cell>
          <cell r="D30">
            <v>21.947518864881328</v>
          </cell>
          <cell r="E30">
            <v>2540.9282022346774</v>
          </cell>
        </row>
        <row r="31">
          <cell r="B31">
            <v>49.426632933050001</v>
          </cell>
          <cell r="C31">
            <v>0.64953023048461045</v>
          </cell>
          <cell r="D31">
            <v>2.0161320364325701</v>
          </cell>
          <cell r="E31">
            <v>233.41347978051047</v>
          </cell>
        </row>
        <row r="32">
          <cell r="B32">
            <v>9.5149503238199991</v>
          </cell>
          <cell r="C32">
            <v>0.12503882037143357</v>
          </cell>
          <cell r="D32">
            <v>0.38811861206290332</v>
          </cell>
          <cell r="E32">
            <v>44.933622487087618</v>
          </cell>
        </row>
        <row r="33">
          <cell r="B33">
            <v>49.013715397630008</v>
          </cell>
          <cell r="C33">
            <v>0.64410395711665169</v>
          </cell>
          <cell r="D33">
            <v>1.999288965760678</v>
          </cell>
          <cell r="E33">
            <v>231.46350841719052</v>
          </cell>
        </row>
        <row r="34">
          <cell r="B34">
            <v>27.07793525137</v>
          </cell>
          <cell r="C34">
            <v>0.35583928099438117</v>
          </cell>
          <cell r="D34">
            <v>1.1045197599173198</v>
          </cell>
          <cell r="E34">
            <v>127.87347058122999</v>
          </cell>
        </row>
        <row r="35">
          <cell r="B35">
            <v>39.087140695929996</v>
          </cell>
          <cell r="C35">
            <v>0.51365585714893969</v>
          </cell>
          <cell r="D35">
            <v>1.594380031436806</v>
          </cell>
          <cell r="E35">
            <v>184.58602140399603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/>
          <cell r="C38"/>
          <cell r="D38"/>
          <cell r="E38"/>
        </row>
        <row r="39">
          <cell r="B39">
            <v>197.68339647978368</v>
          </cell>
          <cell r="C39">
            <v>2.5978168946369125</v>
          </cell>
          <cell r="D39">
            <v>8.0635844495729732</v>
          </cell>
          <cell r="E39">
            <v>933.54466466848828</v>
          </cell>
        </row>
        <row r="40">
          <cell r="B40">
            <v>71.841188200757529</v>
          </cell>
          <cell r="C40">
            <v>0.94408663429558137</v>
          </cell>
          <cell r="D40">
            <v>2.9304306701029206</v>
          </cell>
          <cell r="E40">
            <v>339.26449637423451</v>
          </cell>
        </row>
        <row r="41">
          <cell r="B41">
            <v>50.81945996504686</v>
          </cell>
          <cell r="C41">
            <v>0.66783378889902922</v>
          </cell>
          <cell r="D41">
            <v>2.0729460056184106</v>
          </cell>
          <cell r="E41">
            <v>239.9909985184571</v>
          </cell>
        </row>
        <row r="42">
          <cell r="B42">
            <v>14.581663237076393</v>
          </cell>
          <cell r="C42">
            <v>0.19162201673855256</v>
          </cell>
          <cell r="D42">
            <v>0.5947918490940316</v>
          </cell>
          <cell r="E42">
            <v>68.860785272664089</v>
          </cell>
        </row>
        <row r="43">
          <cell r="B43">
            <v>21.739581786490007</v>
          </cell>
          <cell r="C43">
            <v>0.28568637454112228</v>
          </cell>
          <cell r="D43">
            <v>0.88676619663244105</v>
          </cell>
          <cell r="E43">
            <v>102.66350614315485</v>
          </cell>
        </row>
        <row r="44">
          <cell r="B44">
            <v>11.504251510832887</v>
          </cell>
          <cell r="C44">
            <v>0.15118082482992054</v>
          </cell>
          <cell r="D44">
            <v>0.46926299951657918</v>
          </cell>
          <cell r="E44">
            <v>54.327944633634161</v>
          </cell>
        </row>
        <row r="45">
          <cell r="B45">
            <v>16.744058605499998</v>
          </cell>
          <cell r="C45">
            <v>0.22003870383017651</v>
          </cell>
          <cell r="D45">
            <v>0.68299681712447702</v>
          </cell>
          <cell r="E45">
            <v>79.072531403311686</v>
          </cell>
        </row>
        <row r="46">
          <cell r="B46">
            <v>10.453193174080003</v>
          </cell>
          <cell r="C46">
            <v>0.13736855150253033</v>
          </cell>
          <cell r="D46">
            <v>0.42638991148411348</v>
          </cell>
          <cell r="E46">
            <v>49.364402323031776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</sheetData>
      <sheetData sheetId="1">
        <row r="5">
          <cell r="B5">
            <v>7609.5969999999998</v>
          </cell>
          <cell r="C5"/>
          <cell r="D5"/>
          <cell r="E5"/>
        </row>
        <row r="6">
          <cell r="B6">
            <v>211755692</v>
          </cell>
          <cell r="C6"/>
          <cell r="D6"/>
          <cell r="E6"/>
        </row>
        <row r="7">
          <cell r="B7">
            <v>2451.5573404858737</v>
          </cell>
          <cell r="C7">
            <v>32.216651426953014</v>
          </cell>
          <cell r="D7">
            <v>100</v>
          </cell>
          <cell r="E7">
            <v>11577.291346132379</v>
          </cell>
        </row>
        <row r="8">
          <cell r="B8"/>
          <cell r="C8"/>
          <cell r="D8"/>
          <cell r="E8">
            <v>0</v>
          </cell>
        </row>
        <row r="9">
          <cell r="B9">
            <v>1541.6975596177699</v>
          </cell>
          <cell r="C9">
            <v>20.259910736636513</v>
          </cell>
          <cell r="D9">
            <v>62.886457279935428</v>
          </cell>
          <cell r="E9">
            <v>7280.5483765591998</v>
          </cell>
        </row>
        <row r="10">
          <cell r="B10">
            <v>500.00670893922995</v>
          </cell>
          <cell r="C10">
            <v>6.570738357619069</v>
          </cell>
          <cell r="D10">
            <v>20.395472734083945</v>
          </cell>
          <cell r="E10">
            <v>2361.2432998458903</v>
          </cell>
        </row>
        <row r="11">
          <cell r="B11">
            <v>419.90936778695004</v>
          </cell>
          <cell r="C11">
            <v>5.5181551373476161</v>
          </cell>
          <cell r="D11">
            <v>17.128270297921251</v>
          </cell>
          <cell r="E11">
            <v>1982.9897549433997</v>
          </cell>
        </row>
        <row r="12">
          <cell r="B12">
            <v>386.78781830195993</v>
          </cell>
          <cell r="C12">
            <v>5.0828949062868896</v>
          </cell>
          <cell r="D12">
            <v>15.777229107164287</v>
          </cell>
          <cell r="E12">
            <v>1826.57578008321</v>
          </cell>
        </row>
        <row r="13">
          <cell r="B13">
            <v>127.27413977588</v>
          </cell>
          <cell r="C13">
            <v>1.6725477022749038</v>
          </cell>
          <cell r="D13">
            <v>5.1915628353467591</v>
          </cell>
          <cell r="E13">
            <v>601.04235486562504</v>
          </cell>
        </row>
        <row r="14">
          <cell r="B14">
            <v>107.71952481374998</v>
          </cell>
          <cell r="C14">
            <v>1.4155746331080343</v>
          </cell>
          <cell r="D14">
            <v>4.3939223054191778</v>
          </cell>
          <cell r="E14">
            <v>508.69718682107487</v>
          </cell>
        </row>
        <row r="15">
          <cell r="B15"/>
          <cell r="C15"/>
          <cell r="D15"/>
          <cell r="E15">
            <v>0</v>
          </cell>
        </row>
        <row r="16">
          <cell r="B16">
            <v>712.17638438832</v>
          </cell>
          <cell r="C16">
            <v>9.3589237956795888</v>
          </cell>
          <cell r="D16">
            <v>29.049958270491604</v>
          </cell>
          <cell r="E16">
            <v>3363.1983049046917</v>
          </cell>
        </row>
        <row r="17">
          <cell r="B17">
            <v>538.05600978652001</v>
          </cell>
          <cell r="C17">
            <v>7.0707556495635719</v>
          </cell>
          <cell r="D17">
            <v>21.947518864881328</v>
          </cell>
          <cell r="E17">
            <v>2540.9282022346774</v>
          </cell>
        </row>
        <row r="18">
          <cell r="B18">
            <v>49.426632933050001</v>
          </cell>
          <cell r="C18">
            <v>0.64953023048461045</v>
          </cell>
          <cell r="D18">
            <v>2.0161320364325701</v>
          </cell>
          <cell r="E18">
            <v>233.41347978051047</v>
          </cell>
        </row>
        <row r="19">
          <cell r="B19">
            <v>124.69374166875002</v>
          </cell>
          <cell r="C19">
            <v>1.6386379156314062</v>
          </cell>
          <cell r="D19">
            <v>5.0863073691777076</v>
          </cell>
          <cell r="E19">
            <v>588.85662288950425</v>
          </cell>
        </row>
        <row r="20">
          <cell r="B20"/>
          <cell r="C20"/>
          <cell r="D20"/>
          <cell r="E20">
            <v>0</v>
          </cell>
        </row>
        <row r="21">
          <cell r="B21">
            <v>197.68339647978365</v>
          </cell>
          <cell r="C21">
            <v>2.5978168946369129</v>
          </cell>
          <cell r="D21">
            <v>8.0635844495729732</v>
          </cell>
          <cell r="E21">
            <v>933.54466466848817</v>
          </cell>
        </row>
        <row r="22">
          <cell r="B22">
            <v>71.841188200757529</v>
          </cell>
          <cell r="C22">
            <v>0.94408663429558137</v>
          </cell>
          <cell r="D22">
            <v>2.9304306701029206</v>
          </cell>
          <cell r="E22">
            <v>339.26449637423451</v>
          </cell>
        </row>
        <row r="23">
          <cell r="B23">
            <v>50.81945996504686</v>
          </cell>
          <cell r="C23">
            <v>0.66783378889902922</v>
          </cell>
          <cell r="D23">
            <v>2.0729460056184106</v>
          </cell>
          <cell r="E23">
            <v>239.9909985184571</v>
          </cell>
        </row>
        <row r="24">
          <cell r="B24">
            <v>75.022748313979278</v>
          </cell>
          <cell r="C24">
            <v>0.98589647144230219</v>
          </cell>
          <cell r="D24">
            <v>3.0602077738516424</v>
          </cell>
          <cell r="E24">
            <v>354.28916977579655</v>
          </cell>
        </row>
      </sheetData>
      <sheetData sheetId="2">
        <row r="5">
          <cell r="B5">
            <v>7609.5969999999998</v>
          </cell>
          <cell r="C5"/>
          <cell r="D5"/>
          <cell r="E5"/>
        </row>
        <row r="6">
          <cell r="B6">
            <v>211755692</v>
          </cell>
          <cell r="C6"/>
          <cell r="D6"/>
          <cell r="E6"/>
        </row>
        <row r="7">
          <cell r="B7">
            <v>2451.5573404858737</v>
          </cell>
          <cell r="C7">
            <v>32.216651426953014</v>
          </cell>
          <cell r="D7">
            <v>99.999880059613076</v>
          </cell>
          <cell r="E7">
            <v>11577.291346132379</v>
          </cell>
        </row>
        <row r="8">
          <cell r="B8"/>
          <cell r="C8"/>
          <cell r="D8"/>
          <cell r="E8">
            <v>0</v>
          </cell>
        </row>
        <row r="9">
          <cell r="B9">
            <v>538.05600978652001</v>
          </cell>
          <cell r="C9">
            <v>7.0707556495635719</v>
          </cell>
          <cell r="D9">
            <v>21.947518864881328</v>
          </cell>
          <cell r="E9">
            <v>2540.9282022346774</v>
          </cell>
        </row>
        <row r="10">
          <cell r="B10">
            <v>423.70763108802993</v>
          </cell>
          <cell r="C10">
            <v>5.5680692563355185</v>
          </cell>
          <cell r="D10">
            <v>17.283202970241575</v>
          </cell>
          <cell r="E10">
            <v>2000.9267618082724</v>
          </cell>
        </row>
        <row r="11">
          <cell r="B11">
            <v>445.66915503757991</v>
          </cell>
          <cell r="C11">
            <v>5.8566722395099235</v>
          </cell>
          <cell r="D11">
            <v>18.179022276070967</v>
          </cell>
          <cell r="E11">
            <v>2104.6383727790417</v>
          </cell>
        </row>
        <row r="12">
          <cell r="B12">
            <v>217.36630498938004</v>
          </cell>
          <cell r="C12">
            <v>2.8564759078487345</v>
          </cell>
          <cell r="D12">
            <v>8.8664581243814702</v>
          </cell>
          <cell r="E12">
            <v>1026.4956891424672</v>
          </cell>
        </row>
        <row r="13">
          <cell r="B13">
            <v>127.27413977588</v>
          </cell>
          <cell r="C13">
            <v>1.6725477022749038</v>
          </cell>
          <cell r="D13">
            <v>5.1915628353467591</v>
          </cell>
          <cell r="E13">
            <v>601.04235486562504</v>
          </cell>
        </row>
        <row r="14">
          <cell r="B14">
            <v>55.675970292149998</v>
          </cell>
          <cell r="C14">
            <v>0.73165464993941198</v>
          </cell>
          <cell r="D14">
            <v>2.2710449954687002</v>
          </cell>
          <cell r="E14">
            <v>262.92549572717036</v>
          </cell>
        </row>
        <row r="15">
          <cell r="B15">
            <v>76.66360747856001</v>
          </cell>
          <cell r="C15">
            <v>1.0074594946166007</v>
          </cell>
          <cell r="D15">
            <v>3.1271390724789683</v>
          </cell>
          <cell r="E15">
            <v>362.03800121963195</v>
          </cell>
        </row>
        <row r="16">
          <cell r="B16">
            <v>61.010338544389995</v>
          </cell>
          <cell r="C16">
            <v>0.80175518551626312</v>
          </cell>
          <cell r="D16">
            <v>2.4886360003432908</v>
          </cell>
          <cell r="E16">
            <v>288.11664030447878</v>
          </cell>
        </row>
        <row r="17">
          <cell r="B17">
            <v>71.841188200757529</v>
          </cell>
          <cell r="C17">
            <v>0.94408663429558137</v>
          </cell>
          <cell r="D17">
            <v>2.9304306701029206</v>
          </cell>
          <cell r="E17">
            <v>339.26449637423451</v>
          </cell>
        </row>
        <row r="18">
          <cell r="B18">
            <v>45.713057662609998</v>
          </cell>
          <cell r="C18">
            <v>0.60072902234651848</v>
          </cell>
          <cell r="D18">
            <v>1.8646538226003775</v>
          </cell>
          <cell r="E18">
            <v>215.87640563924015</v>
          </cell>
        </row>
        <row r="19">
          <cell r="B19">
            <v>49.426632933050001</v>
          </cell>
          <cell r="C19">
            <v>0.64953023048461045</v>
          </cell>
          <cell r="D19">
            <v>2.0161320364325701</v>
          </cell>
          <cell r="E19">
            <v>233.41347978051047</v>
          </cell>
        </row>
        <row r="20">
          <cell r="B20">
            <v>50.81945996504686</v>
          </cell>
          <cell r="C20">
            <v>0.66783378889902922</v>
          </cell>
          <cell r="D20">
            <v>2.0729460056184106</v>
          </cell>
          <cell r="E20">
            <v>239.9909985184571</v>
          </cell>
        </row>
        <row r="21">
          <cell r="B21">
            <v>21.944817092709997</v>
          </cell>
          <cell r="C21">
            <v>0.28838343335014976</v>
          </cell>
          <cell r="D21">
            <v>0.8951378264870915</v>
          </cell>
          <cell r="E21">
            <v>103.63271412184753</v>
          </cell>
        </row>
        <row r="22">
          <cell r="B22">
            <v>14.581663237076393</v>
          </cell>
          <cell r="C22">
            <v>0.19162201673855256</v>
          </cell>
          <cell r="D22">
            <v>0.5947918490940316</v>
          </cell>
          <cell r="E22">
            <v>68.860785272664089</v>
          </cell>
        </row>
        <row r="23">
          <cell r="B23">
            <v>9.5149503238199991</v>
          </cell>
          <cell r="C23">
            <v>0.12503882037143357</v>
          </cell>
          <cell r="D23">
            <v>0.38811861206290332</v>
          </cell>
          <cell r="E23">
            <v>44.933622487087618</v>
          </cell>
        </row>
        <row r="24">
          <cell r="B24">
            <v>1.7570060383000001</v>
          </cell>
          <cell r="C24">
            <v>2.3089344130838994E-2</v>
          </cell>
          <cell r="D24">
            <v>7.166897584992972E-2</v>
          </cell>
          <cell r="E24">
            <v>8.2973261389356185</v>
          </cell>
        </row>
        <row r="25">
          <cell r="B25">
            <v>-2.9404073600000002E-3</v>
          </cell>
          <cell r="C25">
            <v>-3.8640776377513815E-5</v>
          </cell>
          <cell r="D25">
            <v>-1.1994038693042526E-4</v>
          </cell>
          <cell r="E25">
            <v>-1.3885848036613817E-2</v>
          </cell>
        </row>
        <row r="26">
          <cell r="B26">
            <v>240.53540804001341</v>
          </cell>
          <cell r="C26">
            <v>3.1609480507313776</v>
          </cell>
          <cell r="D26">
            <v>9.8115350625387254</v>
          </cell>
          <cell r="E26">
            <v>1135.9099997180401</v>
          </cell>
        </row>
      </sheetData>
      <sheetData sheetId="3">
        <row r="5">
          <cell r="B5">
            <v>7609.5969999999998</v>
          </cell>
          <cell r="C5"/>
          <cell r="D5"/>
          <cell r="E5"/>
        </row>
        <row r="6">
          <cell r="B6">
            <v>211755692</v>
          </cell>
          <cell r="C6"/>
          <cell r="D6"/>
          <cell r="E6"/>
        </row>
        <row r="7">
          <cell r="B7">
            <v>2451.5573404858737</v>
          </cell>
          <cell r="C7">
            <v>32.216651426953014</v>
          </cell>
          <cell r="D7">
            <v>100.00000000000001</v>
          </cell>
          <cell r="E7">
            <v>11577.291346132379</v>
          </cell>
        </row>
        <row r="8">
          <cell r="B8"/>
          <cell r="C8"/>
          <cell r="D8"/>
          <cell r="E8">
            <v>0</v>
          </cell>
        </row>
        <row r="9">
          <cell r="B9">
            <v>1027.1778008206077</v>
          </cell>
          <cell r="C9">
            <v>13.498452031304781</v>
          </cell>
          <cell r="D9">
            <v>41.898991463810979</v>
          </cell>
          <cell r="E9">
            <v>4850.7683128565332</v>
          </cell>
        </row>
        <row r="10">
          <cell r="B10">
            <v>631.25708080161985</v>
          </cell>
          <cell r="C10">
            <v>8.2955389201506975</v>
          </cell>
          <cell r="D10">
            <v>25.749227659366557</v>
          </cell>
          <cell r="E10">
            <v>2981.0631055037702</v>
          </cell>
        </row>
        <row r="11">
          <cell r="B11">
            <v>525.23738908153996</v>
          </cell>
          <cell r="C11">
            <v>6.9023023043341194</v>
          </cell>
          <cell r="D11">
            <v>21.424642222622587</v>
          </cell>
          <cell r="E11">
            <v>2480.3932499795092</v>
          </cell>
        </row>
        <row r="12">
          <cell r="B12">
            <v>126.09971249729325</v>
          </cell>
          <cell r="C12">
            <v>1.6571142006244648</v>
          </cell>
          <cell r="D12">
            <v>5.143657479057846</v>
          </cell>
          <cell r="E12">
            <v>595.49621219765493</v>
          </cell>
        </row>
        <row r="13">
          <cell r="B13">
            <v>45.713057662609998</v>
          </cell>
          <cell r="C13">
            <v>0.60072902234651848</v>
          </cell>
          <cell r="D13">
            <v>1.8646538226003775</v>
          </cell>
          <cell r="E13">
            <v>215.87640563924015</v>
          </cell>
        </row>
        <row r="14">
          <cell r="B14">
            <v>44.702063168802887</v>
          </cell>
          <cell r="C14">
            <v>0.58744324001393089</v>
          </cell>
          <cell r="D14">
            <v>1.8234149546729912</v>
          </cell>
          <cell r="E14">
            <v>211.10206175143989</v>
          </cell>
        </row>
        <row r="15">
          <cell r="B15">
            <v>21.941876685349996</v>
          </cell>
          <cell r="C15">
            <v>0.28834479257377227</v>
          </cell>
          <cell r="D15">
            <v>0.8950178861001612</v>
          </cell>
          <cell r="E15">
            <v>103.61882827381091</v>
          </cell>
        </row>
        <row r="16">
          <cell r="B16">
            <v>29.428359768050001</v>
          </cell>
          <cell r="C16">
            <v>0.38672691560472916</v>
          </cell>
          <cell r="D16">
            <v>1.2003945117684907</v>
          </cell>
          <cell r="E16">
            <v>138.97316993042151</v>
          </cell>
        </row>
      </sheetData>
      <sheetData sheetId="4">
        <row r="5">
          <cell r="B5">
            <v>7609.5969999999998</v>
          </cell>
          <cell r="C5"/>
          <cell r="D5"/>
          <cell r="E5"/>
        </row>
        <row r="6">
          <cell r="B6">
            <v>211755692</v>
          </cell>
          <cell r="C6"/>
          <cell r="D6"/>
          <cell r="E6"/>
        </row>
        <row r="7">
          <cell r="B7">
            <v>2451.5573404858737</v>
          </cell>
          <cell r="C7">
            <v>32.216651426953014</v>
          </cell>
          <cell r="D7">
            <v>99.999999999999986</v>
          </cell>
          <cell r="E7">
            <v>11577.291346132379</v>
          </cell>
        </row>
        <row r="8">
          <cell r="B8"/>
          <cell r="C8"/>
          <cell r="D8"/>
          <cell r="E8"/>
        </row>
        <row r="9">
          <cell r="B9">
            <v>1208.8438179882023</v>
          </cell>
          <cell r="C9">
            <v>15.885779732989832</v>
          </cell>
          <cell r="D9">
            <v>49.309220633959214</v>
          </cell>
          <cell r="E9">
            <v>5708.6721333006835</v>
          </cell>
        </row>
        <row r="10">
          <cell r="B10"/>
          <cell r="C10"/>
          <cell r="D10"/>
          <cell r="E10"/>
        </row>
        <row r="11">
          <cell r="B11">
            <v>682.72077717534319</v>
          </cell>
          <cell r="C11">
            <v>8.9718388132162996</v>
          </cell>
          <cell r="D11">
            <v>27.848452324596039</v>
          </cell>
          <cell r="E11">
            <v>3224.0964610072588</v>
          </cell>
        </row>
        <row r="12">
          <cell r="B12"/>
          <cell r="C12"/>
          <cell r="D12"/>
          <cell r="E12"/>
        </row>
        <row r="13">
          <cell r="B13">
            <v>559.99274532232812</v>
          </cell>
          <cell r="C13">
            <v>7.3590328807468799</v>
          </cell>
          <cell r="D13">
            <v>22.842327041444737</v>
          </cell>
          <cell r="E13">
            <v>2644.5227518244378</v>
          </cell>
        </row>
        <row r="14">
          <cell r="B14"/>
          <cell r="C14"/>
          <cell r="D14"/>
          <cell r="E14"/>
        </row>
        <row r="15">
          <cell r="B15"/>
          <cell r="C15"/>
          <cell r="D15"/>
          <cell r="E15"/>
        </row>
        <row r="16">
          <cell r="B16"/>
          <cell r="C16"/>
          <cell r="D16"/>
          <cell r="E16"/>
        </row>
        <row r="17">
          <cell r="B17">
            <v>168.81341944838809</v>
          </cell>
          <cell r="C17">
            <v>2.2184278543053999</v>
          </cell>
          <cell r="D17">
            <v>6.8859665919513429</v>
          </cell>
          <cell r="E17">
            <v>797.20841434754959</v>
          </cell>
        </row>
        <row r="18">
          <cell r="B18">
            <v>74.422235744120002</v>
          </cell>
          <cell r="C18">
            <v>0.9780049553756921</v>
          </cell>
          <cell r="D18">
            <v>3.0357126270344659</v>
          </cell>
          <cell r="E18">
            <v>351.45329526310911</v>
          </cell>
        </row>
        <row r="19">
          <cell r="B19">
            <v>4.3779975203999983</v>
          </cell>
          <cell r="C19">
            <v>5.7532580508534138E-2</v>
          </cell>
          <cell r="D19">
            <v>0.17858026194616047</v>
          </cell>
          <cell r="E19">
            <v>20.674757212193374</v>
          </cell>
        </row>
        <row r="20">
          <cell r="B20">
            <v>1.8525921970000001E-2</v>
          </cell>
          <cell r="C20">
            <v>2.4345470555142411E-4</v>
          </cell>
          <cell r="D20">
            <v>7.5567973320698892E-4</v>
          </cell>
          <cell r="E20">
            <v>8.7487244357048979E-2</v>
          </cell>
        </row>
        <row r="21">
          <cell r="B21">
            <v>2.4888257999999999</v>
          </cell>
          <cell r="C21">
            <v>3.2706407448383927E-2</v>
          </cell>
          <cell r="D21">
            <v>0.10152019530192756</v>
          </cell>
          <cell r="E21">
            <v>11.753288785266749</v>
          </cell>
        </row>
        <row r="22">
          <cell r="B22">
            <v>18.977377288929993</v>
          </cell>
          <cell r="C22">
            <v>0.24938741550873186</v>
          </cell>
          <cell r="D22">
            <v>0.77409477541197835</v>
          </cell>
          <cell r="E22">
            <v>89.619207444633844</v>
          </cell>
        </row>
        <row r="23">
          <cell r="B23">
            <v>13.989633937833341</v>
          </cell>
          <cell r="C23">
            <v>0.1838419818793734</v>
          </cell>
          <cell r="D23">
            <v>0.5706427382628847</v>
          </cell>
          <cell r="E23">
            <v>66.064972354241803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0.51996989944999994</v>
          </cell>
          <cell r="C25">
            <v>6.8330806408013452E-3</v>
          </cell>
          <cell r="D25">
            <v>2.1209779223313914E-2</v>
          </cell>
          <cell r="E25">
            <v>2.4555179345545048</v>
          </cell>
        </row>
        <row r="26">
          <cell r="B26">
            <v>37.513934034800002</v>
          </cell>
          <cell r="C26">
            <v>0.49298187584441067</v>
          </cell>
          <cell r="D26">
            <v>1.5302083053609148</v>
          </cell>
          <cell r="E26">
            <v>177.15667371434816</v>
          </cell>
        </row>
        <row r="27">
          <cell r="B27">
            <v>16.504919300884751</v>
          </cell>
          <cell r="C27">
            <v>0.21689610239392113</v>
          </cell>
          <cell r="D27">
            <v>0.67324222967648972</v>
          </cell>
          <cell r="E27">
            <v>77.943214394844929</v>
          </cell>
        </row>
        <row r="28">
          <cell r="B28"/>
          <cell r="C28"/>
          <cell r="D28"/>
          <cell r="E28"/>
        </row>
        <row r="29">
          <cell r="B29">
            <v>164.0403221811795</v>
          </cell>
          <cell r="C29">
            <v>2.1557031493412797</v>
          </cell>
          <cell r="D29">
            <v>6.6912700540248595</v>
          </cell>
          <cell r="E29">
            <v>774.66782891096739</v>
          </cell>
        </row>
        <row r="30">
          <cell r="B30">
            <v>86.655069125940017</v>
          </cell>
          <cell r="C30">
            <v>1.13876029342868</v>
          </cell>
          <cell r="D30">
            <v>3.5346947711517069</v>
          </cell>
          <cell r="E30">
            <v>409.22191185274028</v>
          </cell>
        </row>
        <row r="31">
          <cell r="B31">
            <v>1.2587168423800001</v>
          </cell>
          <cell r="C31">
            <v>1.6541176127723982E-2</v>
          </cell>
          <cell r="D31">
            <v>5.1343561155723791E-2</v>
          </cell>
          <cell r="E31">
            <v>5.9441936624777956</v>
          </cell>
        </row>
        <row r="32">
          <cell r="B32">
            <v>4.3227140159999997E-2</v>
          </cell>
          <cell r="C32">
            <v>5.6806083370775085E-4</v>
          </cell>
          <cell r="D32">
            <v>1.7632522579069197E-3</v>
          </cell>
          <cell r="E32">
            <v>0.20413685106514159</v>
          </cell>
        </row>
        <row r="33">
          <cell r="B33">
            <v>0.63037919019999988</v>
          </cell>
          <cell r="C33">
            <v>8.2840022960480025E-3</v>
          </cell>
          <cell r="D33">
            <v>2.5713418152196479E-2</v>
          </cell>
          <cell r="E33">
            <v>2.9769173345290758</v>
          </cell>
        </row>
        <row r="34">
          <cell r="B34">
            <v>35.511827134779999</v>
          </cell>
          <cell r="C34">
            <v>0.46667158766462929</v>
          </cell>
          <cell r="D34">
            <v>1.4485415677751154</v>
          </cell>
          <cell r="E34">
            <v>167.70187757115875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0.17007603299999999</v>
          </cell>
          <cell r="C36">
            <v>2.2350202382596606E-3</v>
          </cell>
          <cell r="D36">
            <v>6.9374691014281011E-3</v>
          </cell>
          <cell r="E36">
            <v>0.80317100992024337</v>
          </cell>
        </row>
        <row r="37">
          <cell r="B37">
            <v>27.734120533219937</v>
          </cell>
          <cell r="C37">
            <v>0.36446240889261206</v>
          </cell>
          <cell r="D37">
            <v>1.1312858188225499</v>
          </cell>
          <cell r="E37">
            <v>130.97225520256586</v>
          </cell>
        </row>
        <row r="38">
          <cell r="B38">
            <v>12.036906181499573</v>
          </cell>
          <cell r="C38">
            <v>0.15818059985961902</v>
          </cell>
          <cell r="D38">
            <v>0.49099019560823248</v>
          </cell>
          <cell r="E38">
            <v>56.843365426510346</v>
          </cell>
        </row>
        <row r="39">
          <cell r="B39"/>
          <cell r="C39"/>
          <cell r="D39"/>
          <cell r="E39"/>
        </row>
        <row r="40">
          <cell r="B40">
            <v>198.26902666136499</v>
          </cell>
          <cell r="C40">
            <v>2.6055128367686886</v>
          </cell>
          <cell r="D40">
            <v>8.0874725378469066</v>
          </cell>
          <cell r="E40">
            <v>936.31025824498261</v>
          </cell>
        </row>
        <row r="41">
          <cell r="B41">
            <v>105.51222920124</v>
          </cell>
          <cell r="C41">
            <v>1.3865678984214278</v>
          </cell>
          <cell r="D41">
            <v>4.3038858385555265</v>
          </cell>
          <cell r="E41">
            <v>498.27340273450596</v>
          </cell>
        </row>
        <row r="42">
          <cell r="B42">
            <v>24.713316466525001</v>
          </cell>
          <cell r="C42">
            <v>0.32476511524230522</v>
          </cell>
          <cell r="D42">
            <v>1.0080660182162851</v>
          </cell>
          <cell r="E42">
            <v>116.70673989025524</v>
          </cell>
        </row>
        <row r="43">
          <cell r="B43">
            <v>1.0944993800999996</v>
          </cell>
          <cell r="C43">
            <v>1.4383145127133535E-2</v>
          </cell>
          <cell r="D43">
            <v>4.4645065486540118E-2</v>
          </cell>
          <cell r="E43">
            <v>5.1686893030483434</v>
          </cell>
        </row>
        <row r="44">
          <cell r="B44">
            <v>66.94898161350001</v>
          </cell>
          <cell r="C44">
            <v>0.87979667797782202</v>
          </cell>
          <cell r="D44">
            <v>2.730875615588555</v>
          </cell>
          <cell r="E44">
            <v>316.16142631717315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yGOVDetalhado"/>
      <sheetName val="AD ESFERA"/>
      <sheetName val="PRINCIPAIS TRIBUTOS"/>
      <sheetName val="Bases de Incidência"/>
      <sheetName val="RD ESFERA"/>
      <sheetName val="RD ESFERA DETALHADA"/>
      <sheetName val="Impostos"/>
      <sheetName val="Contribuições"/>
      <sheetName val="Patrimoniais"/>
      <sheetName val="Multas"/>
      <sheetName val="Estados"/>
      <sheetName val="Municipios"/>
      <sheetName val="Transferencias"/>
      <sheetName val="Gráficos"/>
    </sheetNames>
    <sheetDataSet>
      <sheetData sheetId="0">
        <row r="5">
          <cell r="B5">
            <v>8898.7270000000008</v>
          </cell>
          <cell r="C5"/>
          <cell r="D5"/>
          <cell r="E5"/>
        </row>
        <row r="6">
          <cell r="B6">
            <v>213317639</v>
          </cell>
          <cell r="C6"/>
          <cell r="D6"/>
          <cell r="E6"/>
        </row>
        <row r="7">
          <cell r="B7">
            <v>3060.9656125131296</v>
          </cell>
          <cell r="C7">
            <v>34.397792094454971</v>
          </cell>
          <cell r="D7">
            <v>99.999999999999986</v>
          </cell>
          <cell r="E7">
            <v>14349.33194864926</v>
          </cell>
        </row>
        <row r="8">
          <cell r="B8"/>
          <cell r="C8"/>
          <cell r="D8"/>
          <cell r="E8"/>
        </row>
        <row r="9">
          <cell r="B9">
            <v>1962.2414599582896</v>
          </cell>
          <cell r="C9">
            <v>22.050810862703056</v>
          </cell>
          <cell r="D9">
            <v>64.105308858639546</v>
          </cell>
          <cell r="E9">
            <v>9198.6835648330489</v>
          </cell>
        </row>
        <row r="10">
          <cell r="B10">
            <v>506.31433945537998</v>
          </cell>
          <cell r="C10">
            <v>5.6897389868840786</v>
          </cell>
          <cell r="D10">
            <v>16.541000571374699</v>
          </cell>
          <cell r="E10">
            <v>2373.5230796145274</v>
          </cell>
        </row>
        <row r="11">
          <cell r="B11">
            <v>70.086018986019994</v>
          </cell>
          <cell r="C11">
            <v>0.78759601217140374</v>
          </cell>
          <cell r="D11">
            <v>2.2896702497901504</v>
          </cell>
          <cell r="E11">
            <v>328.55238467185541</v>
          </cell>
        </row>
        <row r="12">
          <cell r="B12">
            <v>49.01222802457</v>
          </cell>
          <cell r="C12">
            <v>0.55077797110272053</v>
          </cell>
          <cell r="D12">
            <v>1.6012015236044981</v>
          </cell>
          <cell r="E12">
            <v>229.76172178883903</v>
          </cell>
        </row>
        <row r="13">
          <cell r="B13">
            <v>62.028225092980023</v>
          </cell>
          <cell r="C13">
            <v>0.6970460504404733</v>
          </cell>
          <cell r="D13">
            <v>2.0264267210128271</v>
          </cell>
          <cell r="E13">
            <v>290.77869689425933</v>
          </cell>
        </row>
        <row r="14">
          <cell r="B14">
            <v>2.1600570909200001</v>
          </cell>
          <cell r="C14">
            <v>2.4273776360596293E-2</v>
          </cell>
          <cell r="D14">
            <v>7.0567832650251114E-2</v>
          </cell>
          <cell r="E14">
            <v>10.126012555951831</v>
          </cell>
        </row>
        <row r="15">
          <cell r="B15">
            <v>7.1798168543400003</v>
          </cell>
          <cell r="C15">
            <v>8.0683639967154844E-2</v>
          </cell>
          <cell r="D15">
            <v>0.23456051988918586</v>
          </cell>
          <cell r="E15">
            <v>33.657867619376752</v>
          </cell>
        </row>
        <row r="16">
          <cell r="B16">
            <v>443.13287608433996</v>
          </cell>
          <cell r="C16">
            <v>4.9797333493244587</v>
          </cell>
          <cell r="D16">
            <v>14.476898213845555</v>
          </cell>
          <cell r="E16">
            <v>2077.3381805727745</v>
          </cell>
        </row>
        <row r="17">
          <cell r="B17">
            <v>267.76451084464003</v>
          </cell>
          <cell r="C17">
            <v>3.0090204008353103</v>
          </cell>
          <cell r="D17">
            <v>8.7477137851541755</v>
          </cell>
          <cell r="E17">
            <v>1255.2384889495238</v>
          </cell>
        </row>
        <row r="18">
          <cell r="B18">
            <v>-2.4904615810000003E-2</v>
          </cell>
          <cell r="C18">
            <v>-2.7986717437224445E-4</v>
          </cell>
          <cell r="D18">
            <v>-8.1361958815187986E-4</v>
          </cell>
          <cell r="E18">
            <v>-0.11674897550314628</v>
          </cell>
        </row>
        <row r="19">
          <cell r="B19">
            <v>111.00247203440001</v>
          </cell>
          <cell r="C19">
            <v>1.247397206751033</v>
          </cell>
          <cell r="D19">
            <v>3.6263874243024956</v>
          </cell>
          <cell r="E19">
            <v>520.36236925723711</v>
          </cell>
        </row>
        <row r="20">
          <cell r="B20">
            <v>74.069402776950028</v>
          </cell>
          <cell r="C20">
            <v>0.83235953611061464</v>
          </cell>
          <cell r="D20">
            <v>2.4198051253551052</v>
          </cell>
          <cell r="E20">
            <v>347.22586994763253</v>
          </cell>
        </row>
        <row r="21">
          <cell r="B21">
            <v>26.809734822509995</v>
          </cell>
          <cell r="C21">
            <v>0.30127606816694114</v>
          </cell>
          <cell r="D21">
            <v>0.87585873924596391</v>
          </cell>
          <cell r="E21">
            <v>125.67987789565773</v>
          </cell>
        </row>
        <row r="22">
          <cell r="B22">
            <v>3.6661581654499993</v>
          </cell>
          <cell r="C22">
            <v>4.119868117597044E-2</v>
          </cell>
          <cell r="D22">
            <v>0.11977129538675185</v>
          </cell>
          <cell r="E22">
            <v>17.186380754242265</v>
          </cell>
        </row>
        <row r="23">
          <cell r="B23">
            <v>137.16133031404999</v>
          </cell>
          <cell r="C23">
            <v>1.5413590091487241</v>
          </cell>
          <cell r="D23">
            <v>4.4809823982778125</v>
          </cell>
          <cell r="E23">
            <v>642.99103888942807</v>
          </cell>
        </row>
        <row r="24">
          <cell r="B24">
            <v>119.77646268618</v>
          </cell>
          <cell r="C24">
            <v>1.3459954742535645</v>
          </cell>
          <cell r="D24">
            <v>3.9130286925321092</v>
          </cell>
          <cell r="E24">
            <v>561.49347633732248</v>
          </cell>
        </row>
        <row r="25">
          <cell r="B25">
            <v>23.669202275669999</v>
          </cell>
          <cell r="C25">
            <v>0.26598413768250218</v>
          </cell>
          <cell r="D25">
            <v>0.77325933290171733</v>
          </cell>
          <cell r="E25">
            <v>110.95754850197831</v>
          </cell>
        </row>
        <row r="26">
          <cell r="B26">
            <v>20.106946531209996</v>
          </cell>
          <cell r="C26">
            <v>0.2259530664465827</v>
          </cell>
          <cell r="D26">
            <v>0.65688247032287583</v>
          </cell>
          <cell r="E26">
            <v>94.258246179116938</v>
          </cell>
        </row>
        <row r="27">
          <cell r="B27">
            <v>38.326582534489994</v>
          </cell>
          <cell r="C27">
            <v>0.43069736305529982</v>
          </cell>
          <cell r="D27">
            <v>1.2521075825815271</v>
          </cell>
          <cell r="E27">
            <v>179.66907337883103</v>
          </cell>
        </row>
        <row r="28">
          <cell r="B28"/>
          <cell r="C28"/>
          <cell r="D28"/>
          <cell r="E28"/>
        </row>
        <row r="29">
          <cell r="B29">
            <v>858.14660776840003</v>
          </cell>
          <cell r="C29">
            <v>9.6434760586362529</v>
          </cell>
          <cell r="D29">
            <v>28.03516002467731</v>
          </cell>
          <cell r="E29">
            <v>4022.8581742759679</v>
          </cell>
        </row>
        <row r="30">
          <cell r="B30">
            <v>655.21342219743008</v>
          </cell>
          <cell r="C30">
            <v>7.3630017214533048</v>
          </cell>
          <cell r="D30">
            <v>21.405448644014111</v>
          </cell>
          <cell r="E30">
            <v>3071.5388810272275</v>
          </cell>
        </row>
        <row r="31">
          <cell r="B31">
            <v>53.679325098460005</v>
          </cell>
          <cell r="C31">
            <v>0.60322476572727768</v>
          </cell>
          <cell r="D31">
            <v>1.7536729220028031</v>
          </cell>
          <cell r="E31">
            <v>251.6403488717593</v>
          </cell>
        </row>
        <row r="32">
          <cell r="B32">
            <v>12.9050176796</v>
          </cell>
          <cell r="C32">
            <v>0.14502094153017617</v>
          </cell>
          <cell r="D32">
            <v>0.42159956409979582</v>
          </cell>
          <cell r="E32">
            <v>60.496720946738023</v>
          </cell>
        </row>
        <row r="33">
          <cell r="B33">
            <v>51.03436535585999</v>
          </cell>
          <cell r="C33">
            <v>0.57350186555739924</v>
          </cell>
          <cell r="D33">
            <v>1.6672635964034721</v>
          </cell>
          <cell r="E33">
            <v>239.24118790692219</v>
          </cell>
        </row>
        <row r="34">
          <cell r="B34">
            <v>33.855730825610003</v>
          </cell>
          <cell r="C34">
            <v>0.38045588796700919</v>
          </cell>
          <cell r="D34">
            <v>1.1060474082821725</v>
          </cell>
          <cell r="E34">
            <v>158.71041412384093</v>
          </cell>
        </row>
        <row r="35">
          <cell r="B35">
            <v>45.566981429240002</v>
          </cell>
          <cell r="C35">
            <v>0.5120617974822691</v>
          </cell>
          <cell r="D35">
            <v>1.488647283163314</v>
          </cell>
          <cell r="E35">
            <v>213.6109402056527</v>
          </cell>
        </row>
        <row r="36">
          <cell r="B36">
            <v>5.8917651821999995</v>
          </cell>
          <cell r="C36">
            <v>6.6209078918816125E-2</v>
          </cell>
          <cell r="D36">
            <v>0.19248060671164191</v>
          </cell>
          <cell r="E36">
            <v>27.619681193827574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/>
          <cell r="C38"/>
          <cell r="D38"/>
          <cell r="E38"/>
        </row>
        <row r="39">
          <cell r="B39">
            <v>240.57754478643997</v>
          </cell>
          <cell r="C39">
            <v>2.7035051731156594</v>
          </cell>
          <cell r="D39">
            <v>7.8595311166831348</v>
          </cell>
          <cell r="E39">
            <v>1127.7902095402433</v>
          </cell>
        </row>
        <row r="40">
          <cell r="B40">
            <v>90.520455889977896</v>
          </cell>
          <cell r="C40">
            <v>1.0172292721192355</v>
          </cell>
          <cell r="D40">
            <v>2.9572516437274938</v>
          </cell>
          <cell r="E40">
            <v>424.34585491534477</v>
          </cell>
        </row>
        <row r="41">
          <cell r="B41">
            <v>60.043900864102831</v>
          </cell>
          <cell r="C41">
            <v>0.67474708308393805</v>
          </cell>
          <cell r="D41">
            <v>1.9615999806938462</v>
          </cell>
          <cell r="E41">
            <v>281.47649273439987</v>
          </cell>
        </row>
        <row r="42">
          <cell r="B42">
            <v>21.087290686173805</v>
          </cell>
          <cell r="C42">
            <v>0.23696974506773613</v>
          </cell>
          <cell r="D42">
            <v>0.68890975448955161</v>
          </cell>
          <cell r="E42">
            <v>98.853947498330442</v>
          </cell>
        </row>
        <row r="43">
          <cell r="B43">
            <v>23.810981553079998</v>
          </cell>
          <cell r="C43">
            <v>0.26757739116033108</v>
          </cell>
          <cell r="D43">
            <v>0.77789118099665877</v>
          </cell>
          <cell r="E43">
            <v>111.62218776047862</v>
          </cell>
        </row>
        <row r="44">
          <cell r="B44">
            <v>13.741150645085449</v>
          </cell>
          <cell r="C44">
            <v>0.15441703790986561</v>
          </cell>
          <cell r="D44">
            <v>0.44891555099188502</v>
          </cell>
          <cell r="E44">
            <v>64.416382580933444</v>
          </cell>
        </row>
        <row r="45">
          <cell r="B45">
            <v>19.329652827269996</v>
          </cell>
          <cell r="C45">
            <v>0.21721817994045661</v>
          </cell>
          <cell r="D45">
            <v>0.63148872853229687</v>
          </cell>
          <cell r="E45">
            <v>90.614413875403883</v>
          </cell>
        </row>
        <row r="46">
          <cell r="B46">
            <v>12.044112320749996</v>
          </cell>
          <cell r="C46">
            <v>0.13534646383409665</v>
          </cell>
          <cell r="D46">
            <v>0.39347427725140222</v>
          </cell>
          <cell r="E46">
            <v>56.460930175352239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</sheetData>
      <sheetData sheetId="1">
        <row r="5">
          <cell r="B5">
            <v>8898.7270000000008</v>
          </cell>
          <cell r="C5"/>
          <cell r="D5"/>
          <cell r="E5"/>
        </row>
        <row r="6">
          <cell r="B6">
            <v>213317639</v>
          </cell>
          <cell r="C6"/>
          <cell r="D6"/>
          <cell r="E6"/>
        </row>
        <row r="7">
          <cell r="B7">
            <v>3060.9656125131296</v>
          </cell>
          <cell r="C7">
            <v>34.397792094454971</v>
          </cell>
          <cell r="D7">
            <v>99.999999999999986</v>
          </cell>
          <cell r="E7">
            <v>14349.33194864926</v>
          </cell>
        </row>
        <row r="8">
          <cell r="B8"/>
          <cell r="C8"/>
          <cell r="D8"/>
          <cell r="E8">
            <v>0</v>
          </cell>
        </row>
        <row r="9">
          <cell r="B9">
            <v>1962.2414599582899</v>
          </cell>
          <cell r="C9">
            <v>22.050810862703059</v>
          </cell>
          <cell r="D9">
            <v>64.105308858639546</v>
          </cell>
          <cell r="E9">
            <v>9198.6835648330507</v>
          </cell>
        </row>
        <row r="10">
          <cell r="B10">
            <v>689.60086864986999</v>
          </cell>
          <cell r="C10">
            <v>7.7494327969592725</v>
          </cell>
          <cell r="D10">
            <v>22.52886689843243</v>
          </cell>
          <cell r="E10">
            <v>3232.7418955254329</v>
          </cell>
        </row>
        <row r="11">
          <cell r="B11">
            <v>527.06352283502008</v>
          </cell>
          <cell r="C11">
            <v>5.9229092299945831</v>
          </cell>
          <cell r="D11">
            <v>17.218864553080934</v>
          </cell>
          <cell r="E11">
            <v>2470.7920325098858</v>
          </cell>
        </row>
        <row r="12">
          <cell r="B12">
            <v>443.13287608433996</v>
          </cell>
          <cell r="C12">
            <v>4.9797333493244587</v>
          </cell>
          <cell r="D12">
            <v>14.476898213845555</v>
          </cell>
          <cell r="E12">
            <v>2077.3381805727745</v>
          </cell>
        </row>
        <row r="13">
          <cell r="B13">
            <v>137.16133031404999</v>
          </cell>
          <cell r="C13">
            <v>1.5413590091487241</v>
          </cell>
          <cell r="D13">
            <v>4.4809823982778125</v>
          </cell>
          <cell r="E13">
            <v>642.99103888942807</v>
          </cell>
        </row>
        <row r="14">
          <cell r="B14">
            <v>165.28286207501</v>
          </cell>
          <cell r="C14">
            <v>1.8573764772760193</v>
          </cell>
          <cell r="D14">
            <v>5.3996967950028223</v>
          </cell>
          <cell r="E14">
            <v>774.82041733553035</v>
          </cell>
        </row>
        <row r="15">
          <cell r="B15"/>
          <cell r="C15"/>
          <cell r="D15"/>
          <cell r="E15">
            <v>0</v>
          </cell>
        </row>
        <row r="16">
          <cell r="B16">
            <v>858.14660776840014</v>
          </cell>
          <cell r="C16">
            <v>9.6434760586362529</v>
          </cell>
          <cell r="D16">
            <v>28.03516002467731</v>
          </cell>
          <cell r="E16">
            <v>4022.8581742759684</v>
          </cell>
        </row>
        <row r="17">
          <cell r="B17">
            <v>655.21342219743008</v>
          </cell>
          <cell r="C17">
            <v>7.3630017214533048</v>
          </cell>
          <cell r="D17">
            <v>21.405448644014111</v>
          </cell>
          <cell r="E17">
            <v>3071.5388810272275</v>
          </cell>
        </row>
        <row r="18">
          <cell r="B18">
            <v>53.679325098460005</v>
          </cell>
          <cell r="C18">
            <v>0.60322476572727768</v>
          </cell>
          <cell r="D18">
            <v>1.7536729220028031</v>
          </cell>
          <cell r="E18">
            <v>251.6403488717593</v>
          </cell>
        </row>
        <row r="19">
          <cell r="B19">
            <v>149.25386047250998</v>
          </cell>
          <cell r="C19">
            <v>1.6772495714556697</v>
          </cell>
          <cell r="D19">
            <v>4.8760384586603953</v>
          </cell>
          <cell r="E19">
            <v>699.67894437698135</v>
          </cell>
        </row>
        <row r="20">
          <cell r="B20"/>
          <cell r="C20"/>
          <cell r="D20"/>
          <cell r="E20">
            <v>0</v>
          </cell>
        </row>
        <row r="21">
          <cell r="B21">
            <v>240.57754478643997</v>
          </cell>
          <cell r="C21">
            <v>2.7035051731156594</v>
          </cell>
          <cell r="D21">
            <v>7.8595311166831348</v>
          </cell>
          <cell r="E21">
            <v>1127.7902095402433</v>
          </cell>
        </row>
        <row r="22">
          <cell r="B22">
            <v>90.520455889977896</v>
          </cell>
          <cell r="C22">
            <v>1.0172292721192355</v>
          </cell>
          <cell r="D22">
            <v>2.9572516437274938</v>
          </cell>
          <cell r="E22">
            <v>424.34585491534477</v>
          </cell>
        </row>
        <row r="23">
          <cell r="B23">
            <v>60.043900864102831</v>
          </cell>
          <cell r="C23">
            <v>0.67474708308393805</v>
          </cell>
          <cell r="D23">
            <v>1.9615999806938462</v>
          </cell>
          <cell r="E23">
            <v>281.47649273439987</v>
          </cell>
        </row>
        <row r="24">
          <cell r="B24">
            <v>90.013188032359238</v>
          </cell>
          <cell r="C24">
            <v>1.0115288179124862</v>
          </cell>
          <cell r="D24">
            <v>2.9406794922617947</v>
          </cell>
          <cell r="E24">
            <v>421.96786189049863</v>
          </cell>
        </row>
      </sheetData>
      <sheetData sheetId="2">
        <row r="5">
          <cell r="B5">
            <v>8898.7270000000008</v>
          </cell>
          <cell r="C5"/>
          <cell r="D5"/>
          <cell r="E5"/>
        </row>
        <row r="6">
          <cell r="B6">
            <v>213317639</v>
          </cell>
          <cell r="C6"/>
          <cell r="D6"/>
          <cell r="E6"/>
        </row>
        <row r="7">
          <cell r="B7">
            <v>3060.9656125131296</v>
          </cell>
          <cell r="C7">
            <v>34.397792094454964</v>
          </cell>
          <cell r="D7">
            <v>99.999186380411857</v>
          </cell>
          <cell r="E7">
            <v>14349.33194864926</v>
          </cell>
        </row>
        <row r="8">
          <cell r="B8"/>
          <cell r="C8"/>
          <cell r="D8"/>
          <cell r="E8">
            <v>0</v>
          </cell>
        </row>
        <row r="9">
          <cell r="B9">
            <v>655.21342219743008</v>
          </cell>
          <cell r="C9">
            <v>7.3630017214533048</v>
          </cell>
          <cell r="D9">
            <v>21.405448644014115</v>
          </cell>
          <cell r="E9">
            <v>3071.5388810272275</v>
          </cell>
        </row>
        <row r="10">
          <cell r="B10">
            <v>486.90902489121993</v>
          </cell>
          <cell r="C10">
            <v>5.471670553453543</v>
          </cell>
          <cell r="D10">
            <v>15.907040017070148</v>
          </cell>
          <cell r="E10">
            <v>2282.5539752538698</v>
          </cell>
        </row>
        <row r="11">
          <cell r="B11">
            <v>581.1596863643199</v>
          </cell>
          <cell r="C11">
            <v>6.5308182436018072</v>
          </cell>
          <cell r="D11">
            <v>18.98615534877483</v>
          </cell>
          <cell r="E11">
            <v>2724.3864552819277</v>
          </cell>
        </row>
        <row r="12">
          <cell r="B12">
            <v>267.76451084464003</v>
          </cell>
          <cell r="C12">
            <v>3.0090204008353103</v>
          </cell>
          <cell r="D12">
            <v>8.7477137851541755</v>
          </cell>
          <cell r="E12">
            <v>1255.2384889495238</v>
          </cell>
        </row>
        <row r="13">
          <cell r="B13">
            <v>137.16133031404999</v>
          </cell>
          <cell r="C13">
            <v>1.5413590091487241</v>
          </cell>
          <cell r="D13">
            <v>4.4809823982778134</v>
          </cell>
          <cell r="E13">
            <v>642.99103888942807</v>
          </cell>
        </row>
        <row r="14">
          <cell r="B14">
            <v>70.086018986019994</v>
          </cell>
          <cell r="C14">
            <v>0.78759601217140374</v>
          </cell>
          <cell r="D14">
            <v>2.2896702497901509</v>
          </cell>
          <cell r="E14">
            <v>328.55238467185541</v>
          </cell>
        </row>
        <row r="15">
          <cell r="B15">
            <v>111.00247203440001</v>
          </cell>
          <cell r="C15">
            <v>1.247397206751033</v>
          </cell>
          <cell r="D15">
            <v>3.6263874243024965</v>
          </cell>
          <cell r="E15">
            <v>520.36236925723711</v>
          </cell>
        </row>
        <row r="16">
          <cell r="B16">
            <v>74.069402776950028</v>
          </cell>
          <cell r="C16">
            <v>0.83235953611061464</v>
          </cell>
          <cell r="D16">
            <v>2.4198051253551061</v>
          </cell>
          <cell r="E16">
            <v>347.22586994763253</v>
          </cell>
        </row>
        <row r="17">
          <cell r="B17">
            <v>90.520455889977896</v>
          </cell>
          <cell r="C17">
            <v>1.0172292721192355</v>
          </cell>
          <cell r="D17">
            <v>2.9572516437274943</v>
          </cell>
          <cell r="E17">
            <v>424.34585491534477</v>
          </cell>
        </row>
        <row r="18">
          <cell r="B18">
            <v>62.028225092980023</v>
          </cell>
          <cell r="C18">
            <v>0.6970460504404733</v>
          </cell>
          <cell r="D18">
            <v>2.0264267210128275</v>
          </cell>
          <cell r="E18">
            <v>290.77869689425933</v>
          </cell>
        </row>
        <row r="19">
          <cell r="B19">
            <v>53.679325098460005</v>
          </cell>
          <cell r="C19">
            <v>0.60322476572727768</v>
          </cell>
          <cell r="D19">
            <v>1.7536729220028036</v>
          </cell>
          <cell r="E19">
            <v>251.6403488717593</v>
          </cell>
        </row>
        <row r="20">
          <cell r="B20">
            <v>60.043900864102831</v>
          </cell>
          <cell r="C20">
            <v>0.67474708308393805</v>
          </cell>
          <cell r="D20">
            <v>1.9615999806938467</v>
          </cell>
          <cell r="E20">
            <v>281.47649273439987</v>
          </cell>
        </row>
        <row r="21">
          <cell r="B21">
            <v>49.01222802457</v>
          </cell>
          <cell r="C21">
            <v>0.55077797110272053</v>
          </cell>
          <cell r="D21">
            <v>1.6012015236044983</v>
          </cell>
          <cell r="E21">
            <v>229.76172178883903</v>
          </cell>
        </row>
        <row r="22">
          <cell r="B22">
            <v>21.087290686173805</v>
          </cell>
          <cell r="C22">
            <v>0.23696974506773613</v>
          </cell>
          <cell r="D22">
            <v>0.68890975448955183</v>
          </cell>
          <cell r="E22">
            <v>98.853947498330442</v>
          </cell>
        </row>
        <row r="23">
          <cell r="B23">
            <v>12.9050176796</v>
          </cell>
          <cell r="C23">
            <v>0.14502094153017617</v>
          </cell>
          <cell r="D23">
            <v>0.42159956409979588</v>
          </cell>
          <cell r="E23">
            <v>60.496720946738023</v>
          </cell>
        </row>
        <row r="24">
          <cell r="B24">
            <v>2.1600570909200001</v>
          </cell>
          <cell r="C24">
            <v>2.4273776360596293E-2</v>
          </cell>
          <cell r="D24">
            <v>7.0567832650251128E-2</v>
          </cell>
          <cell r="E24">
            <v>10.126012555951831</v>
          </cell>
        </row>
        <row r="25">
          <cell r="B25">
            <v>-2.4904615810000003E-2</v>
          </cell>
          <cell r="C25">
            <v>-2.7986717437224445E-4</v>
          </cell>
          <cell r="D25">
            <v>-8.1361958815188008E-4</v>
          </cell>
          <cell r="E25">
            <v>-0.11674897550314628</v>
          </cell>
        </row>
        <row r="26">
          <cell r="B26">
            <v>326.16324367731568</v>
          </cell>
          <cell r="C26">
            <v>3.6652798054970743</v>
          </cell>
          <cell r="D26">
            <v>10.655567064980108</v>
          </cell>
          <cell r="E26">
            <v>1529.0026891649391</v>
          </cell>
        </row>
      </sheetData>
      <sheetData sheetId="3">
        <row r="5">
          <cell r="B5">
            <v>8898.7270000000008</v>
          </cell>
          <cell r="C5"/>
          <cell r="D5"/>
          <cell r="E5"/>
        </row>
        <row r="6">
          <cell r="B6">
            <v>213317639</v>
          </cell>
          <cell r="C6"/>
          <cell r="D6"/>
          <cell r="E6"/>
        </row>
        <row r="7">
          <cell r="B7">
            <v>3060.9656125131296</v>
          </cell>
          <cell r="C7">
            <v>34.397792094454971</v>
          </cell>
          <cell r="D7">
            <v>100.00000000000001</v>
          </cell>
          <cell r="E7">
            <v>14349.33194864926</v>
          </cell>
        </row>
        <row r="8">
          <cell r="B8"/>
          <cell r="C8"/>
          <cell r="D8"/>
          <cell r="E8"/>
        </row>
        <row r="9">
          <cell r="B9">
            <v>1295.3661508841481</v>
          </cell>
          <cell r="C9">
            <v>14.556757959696348</v>
          </cell>
          <cell r="D9">
            <v>42.318873024536202</v>
          </cell>
          <cell r="E9">
            <v>6072.4755672180863</v>
          </cell>
        </row>
        <row r="10">
          <cell r="B10">
            <v>715.77672428429003</v>
          </cell>
          <cell r="C10">
            <v>8.0435856081919361</v>
          </cell>
          <cell r="D10">
            <v>23.384017166289542</v>
          </cell>
          <cell r="E10">
            <v>3355.4502461200127</v>
          </cell>
        </row>
        <row r="11">
          <cell r="B11">
            <v>695.24775657473992</v>
          </cell>
          <cell r="C11">
            <v>7.8128900524169334</v>
          </cell>
          <cell r="D11">
            <v>22.713347504871969</v>
          </cell>
          <cell r="E11">
            <v>3259.2136301243231</v>
          </cell>
        </row>
        <row r="12">
          <cell r="B12">
            <v>149.87559141925664</v>
          </cell>
          <cell r="C12">
            <v>1.6842363117697243</v>
          </cell>
          <cell r="D12">
            <v>4.8963500539362483</v>
          </cell>
          <cell r="E12">
            <v>702.59352260717935</v>
          </cell>
        </row>
        <row r="13">
          <cell r="B13">
            <v>62.028225092980023</v>
          </cell>
          <cell r="C13">
            <v>0.6970460504404733</v>
          </cell>
          <cell r="D13">
            <v>2.0264267210128275</v>
          </cell>
          <cell r="E13">
            <v>290.77869689425933</v>
          </cell>
        </row>
        <row r="14">
          <cell r="B14">
            <v>54.776698325035447</v>
          </cell>
          <cell r="C14">
            <v>0.61555656584402962</v>
          </cell>
          <cell r="D14">
            <v>1.7895234791632437</v>
          </cell>
          <cell r="E14">
            <v>256.78466432415109</v>
          </cell>
        </row>
        <row r="15">
          <cell r="B15">
            <v>48.987323408759998</v>
          </cell>
          <cell r="C15">
            <v>0.5504981039283483</v>
          </cell>
          <cell r="D15">
            <v>1.6003879040163465</v>
          </cell>
          <cell r="E15">
            <v>229.64497281333587</v>
          </cell>
        </row>
        <row r="16">
          <cell r="B16">
            <v>38.907142523919994</v>
          </cell>
          <cell r="C16">
            <v>0.43722144216717729</v>
          </cell>
          <cell r="D16">
            <v>1.2710741461736401</v>
          </cell>
          <cell r="E16">
            <v>182.39064854791494</v>
          </cell>
        </row>
      </sheetData>
      <sheetData sheetId="4">
        <row r="5">
          <cell r="B5">
            <v>8898.7270000000008</v>
          </cell>
        </row>
        <row r="6">
          <cell r="B6">
            <v>213317639</v>
          </cell>
        </row>
        <row r="7">
          <cell r="B7">
            <v>3060.9656125131296</v>
          </cell>
          <cell r="C7">
            <v>34.397792094454971</v>
          </cell>
          <cell r="D7">
            <v>99.999999999999986</v>
          </cell>
          <cell r="E7">
            <v>14349.33194864926</v>
          </cell>
        </row>
        <row r="9">
          <cell r="B9">
            <v>1598.365693922535</v>
          </cell>
          <cell r="C9">
            <v>17.961734233700337</v>
          </cell>
          <cell r="D9">
            <v>52.217695206652003</v>
          </cell>
          <cell r="E9">
            <v>7492.8904211364115</v>
          </cell>
        </row>
        <row r="11">
          <cell r="B11">
            <v>796.24828131502488</v>
          </cell>
          <cell r="C11">
            <v>8.9478897522648442</v>
          </cell>
          <cell r="D11">
            <v>26.012977018101317</v>
          </cell>
          <cell r="E11">
            <v>3732.6884220532033</v>
          </cell>
        </row>
        <row r="13">
          <cell r="B13">
            <v>666.35163727557006</v>
          </cell>
          <cell r="C13">
            <v>7.4881681084897869</v>
          </cell>
          <cell r="D13">
            <v>21.769327775246662</v>
          </cell>
          <cell r="E13">
            <v>3123.7531054596479</v>
          </cell>
        </row>
        <row r="17">
          <cell r="B17">
            <v>177.5630716086647</v>
          </cell>
          <cell r="C17">
            <v>1.9953760982741089</v>
          </cell>
          <cell r="D17">
            <v>5.8008842334847692</v>
          </cell>
          <cell r="E17">
            <v>832.38813461958819</v>
          </cell>
        </row>
        <row r="18">
          <cell r="B18">
            <v>100.42431180107998</v>
          </cell>
          <cell r="C18">
            <v>1.1285244709842202</v>
          </cell>
          <cell r="D18">
            <v>3.2808049652877043</v>
          </cell>
          <cell r="E18">
            <v>470.77359505690004</v>
          </cell>
        </row>
        <row r="19">
          <cell r="B19">
            <v>5.6970766560999992</v>
          </cell>
          <cell r="C19">
            <v>6.4021254456957707E-2</v>
          </cell>
          <cell r="D19">
            <v>0.1861202436515631</v>
          </cell>
          <cell r="E19">
            <v>26.707011585197602</v>
          </cell>
        </row>
        <row r="20">
          <cell r="B20">
            <v>2.3266581969999998E-2</v>
          </cell>
          <cell r="C20">
            <v>2.614596668714525E-4</v>
          </cell>
          <cell r="D20">
            <v>7.6010595724718209E-4</v>
          </cell>
          <cell r="E20">
            <v>0.10907012696685621</v>
          </cell>
        </row>
        <row r="21">
          <cell r="B21">
            <v>3.5111741999999997</v>
          </cell>
          <cell r="C21">
            <v>3.9457039192235019E-2</v>
          </cell>
          <cell r="D21">
            <v>0.11470805766802578</v>
          </cell>
          <cell r="E21">
            <v>16.459839966633044</v>
          </cell>
        </row>
        <row r="22">
          <cell r="B22">
            <v>25.905652179649998</v>
          </cell>
          <cell r="C22">
            <v>0.29111638304726051</v>
          </cell>
          <cell r="D22">
            <v>0.84632287516555271</v>
          </cell>
          <cell r="E22">
            <v>121.4416787148577</v>
          </cell>
        </row>
        <row r="23">
          <cell r="B23">
            <v>15.779468183780006</v>
          </cell>
          <cell r="C23">
            <v>0.17732275845500153</v>
          </cell>
          <cell r="D23">
            <v>0.51550622193447848</v>
          </cell>
          <cell r="E23">
            <v>73.97169900131891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0.33445490334000005</v>
          </cell>
          <cell r="C25">
            <v>3.7584578484091045E-3</v>
          </cell>
          <cell r="D25">
            <v>1.0926450855009906E-2</v>
          </cell>
          <cell r="E25">
            <v>1.5678727033913966</v>
          </cell>
        </row>
        <row r="26">
          <cell r="B26">
            <v>25.887667102744707</v>
          </cell>
          <cell r="C26">
            <v>0.29091427462315345</v>
          </cell>
          <cell r="D26">
            <v>0.845735312965188</v>
          </cell>
          <cell r="E26">
            <v>121.35736746432258</v>
          </cell>
        </row>
        <row r="28">
          <cell r="B28">
            <v>186.31269442708998</v>
          </cell>
          <cell r="C28">
            <v>2.0937005307286087</v>
          </cell>
          <cell r="D28">
            <v>6.0867294185027632</v>
          </cell>
          <cell r="E28">
            <v>873.40500907705041</v>
          </cell>
        </row>
        <row r="29">
          <cell r="B29">
            <v>115.93964777916999</v>
          </cell>
          <cell r="C29">
            <v>1.3028790272942408</v>
          </cell>
          <cell r="D29">
            <v>3.7876821387738686</v>
          </cell>
          <cell r="E29">
            <v>543.50708325236053</v>
          </cell>
        </row>
        <row r="30">
          <cell r="B30">
            <v>1.54745193765</v>
          </cell>
          <cell r="C30">
            <v>1.7389587720243582E-2</v>
          </cell>
          <cell r="D30">
            <v>5.0554371840182251E-2</v>
          </cell>
          <cell r="E30">
            <v>7.2542146299022185</v>
          </cell>
        </row>
        <row r="31">
          <cell r="B31">
            <v>5.4288669849999999E-2</v>
          </cell>
          <cell r="C31">
            <v>6.1007231539971949E-4</v>
          </cell>
          <cell r="D31">
            <v>1.77357986734871E-3</v>
          </cell>
          <cell r="E31">
            <v>0.25449686254027964</v>
          </cell>
        </row>
        <row r="32">
          <cell r="B32">
            <v>1.34524411627</v>
          </cell>
          <cell r="C32">
            <v>1.5117264708424023E-2</v>
          </cell>
          <cell r="D32">
            <v>4.3948357693751432E-2</v>
          </cell>
          <cell r="E32">
            <v>6.3062957314561316</v>
          </cell>
        </row>
        <row r="33">
          <cell r="B33">
            <v>49.318765324310007</v>
          </cell>
          <cell r="C33">
            <v>0.55422270313843769</v>
          </cell>
          <cell r="D33">
            <v>1.6112159222794422</v>
          </cell>
          <cell r="E33">
            <v>231.19872109736787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0.10951301274000003</v>
          </cell>
          <cell r="C35">
            <v>1.2306593149784236E-3</v>
          </cell>
          <cell r="D35">
            <v>3.5777276390271855E-3</v>
          </cell>
          <cell r="E35">
            <v>0.51338001514258291</v>
          </cell>
        </row>
        <row r="36">
          <cell r="B36">
            <v>17.997783587100002</v>
          </cell>
          <cell r="C36">
            <v>0.20225121623688425</v>
          </cell>
          <cell r="D36">
            <v>0.58797732040914263</v>
          </cell>
          <cell r="E36">
            <v>84.370817488280949</v>
          </cell>
        </row>
        <row r="38">
          <cell r="B38">
            <v>239.46139806204002</v>
          </cell>
          <cell r="C38">
            <v>2.6909624046455187</v>
          </cell>
          <cell r="D38">
            <v>7.8230672400607641</v>
          </cell>
          <cell r="E38">
            <v>1122.5578868423536</v>
          </cell>
        </row>
        <row r="39">
          <cell r="B39">
            <v>127.20407939104503</v>
          </cell>
          <cell r="C39">
            <v>1.4294637805052905</v>
          </cell>
          <cell r="D39">
            <v>4.1556846921454715</v>
          </cell>
          <cell r="E39">
            <v>596.31299121515701</v>
          </cell>
        </row>
        <row r="40">
          <cell r="B40">
            <v>26.839662549230002</v>
          </cell>
          <cell r="C40">
            <v>0.30161238286363884</v>
          </cell>
          <cell r="D40">
            <v>0.87683646100140156</v>
          </cell>
          <cell r="E40">
            <v>125.82017443587965</v>
          </cell>
        </row>
        <row r="41">
          <cell r="B41">
            <v>1.4242691640249998</v>
          </cell>
          <cell r="C41">
            <v>1.6005313614239427E-2</v>
          </cell>
          <cell r="D41">
            <v>4.6530060912890775E-2</v>
          </cell>
          <cell r="E41">
            <v>6.6767528962994005</v>
          </cell>
        </row>
        <row r="42">
          <cell r="B42">
            <v>83.99338695774</v>
          </cell>
          <cell r="C42">
            <v>0.94388092766234977</v>
          </cell>
          <cell r="D42">
            <v>2.7440160260010007</v>
          </cell>
          <cell r="E42">
            <v>393.74796829501759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yGOVDetalhado"/>
      <sheetName val="AD ESFERA"/>
      <sheetName val="PRINCIPAIS TRIBUTOS"/>
      <sheetName val="Bases de Incidência"/>
      <sheetName val="RD ESFERA"/>
      <sheetName val="RD ESFERA DETALHADA"/>
      <sheetName val="Impostos"/>
      <sheetName val="Contribuições"/>
      <sheetName val="Patrimoniais"/>
      <sheetName val="Multas"/>
      <sheetName val="Estados"/>
      <sheetName val="Municipios"/>
      <sheetName val="Transferencias"/>
      <sheetName val="Gráficos"/>
    </sheetNames>
    <sheetDataSet>
      <sheetData sheetId="0">
        <row r="5">
          <cell r="B5">
            <v>10079.675999999999</v>
          </cell>
          <cell r="C5"/>
          <cell r="D5"/>
          <cell r="E5"/>
        </row>
        <row r="6">
          <cell r="B6">
            <v>203080756</v>
          </cell>
          <cell r="C6"/>
          <cell r="D6"/>
          <cell r="E6"/>
        </row>
        <row r="7">
          <cell r="B7">
            <v>3518.4966363961894</v>
          </cell>
          <cell r="C7">
            <v>34.906842604823694</v>
          </cell>
          <cell r="D7">
            <v>100.00000000000003</v>
          </cell>
          <cell r="E7">
            <v>17325.603398857693</v>
          </cell>
        </row>
        <row r="8">
          <cell r="B8"/>
          <cell r="C8"/>
          <cell r="D8"/>
          <cell r="E8"/>
        </row>
        <row r="9">
          <cell r="B9">
            <v>2292.7228653501907</v>
          </cell>
          <cell r="C9">
            <v>22.745997642684049</v>
          </cell>
          <cell r="D9">
            <v>65.162002476674417</v>
          </cell>
          <cell r="E9">
            <v>11289.710115862432</v>
          </cell>
        </row>
        <row r="10">
          <cell r="B10">
            <v>653.46836752695003</v>
          </cell>
          <cell r="C10">
            <v>6.4830294895088905</v>
          </cell>
          <cell r="D10">
            <v>18.572374370556837</v>
          </cell>
          <cell r="E10">
            <v>3217.7759251937691</v>
          </cell>
        </row>
        <row r="11">
          <cell r="B11">
            <v>58.255360537810006</v>
          </cell>
          <cell r="C11">
            <v>0.57794874098939297</v>
          </cell>
          <cell r="D11">
            <v>1.6556889648607969</v>
          </cell>
          <cell r="E11">
            <v>286.85810357043385</v>
          </cell>
        </row>
        <row r="12">
          <cell r="B12">
            <v>58.96007748597998</v>
          </cell>
          <cell r="C12">
            <v>0.58494020528020929</v>
          </cell>
          <cell r="D12">
            <v>1.6757178868975615</v>
          </cell>
          <cell r="E12">
            <v>290.32823516759009</v>
          </cell>
        </row>
        <row r="13">
          <cell r="B13">
            <v>59.015767544939983</v>
          </cell>
          <cell r="C13">
            <v>0.58549270378274043</v>
          </cell>
          <cell r="D13">
            <v>1.6773006668378325</v>
          </cell>
          <cell r="E13">
            <v>290.60246134271819</v>
          </cell>
        </row>
        <row r="14">
          <cell r="B14">
            <v>2.5880176484800002</v>
          </cell>
          <cell r="C14">
            <v>2.5675603545986997E-2</v>
          </cell>
          <cell r="D14">
            <v>7.3554643244757245E-2</v>
          </cell>
          <cell r="E14">
            <v>12.743785770031307</v>
          </cell>
        </row>
        <row r="15">
          <cell r="B15">
            <v>7.8124658425200018</v>
          </cell>
          <cell r="C15">
            <v>7.7507112753624235E-2</v>
          </cell>
          <cell r="D15">
            <v>0.22203988378746609</v>
          </cell>
          <cell r="E15">
            <v>38.469749652300891</v>
          </cell>
        </row>
        <row r="16">
          <cell r="B16">
            <v>514.64479360614007</v>
          </cell>
          <cell r="C16">
            <v>5.1057672251185471</v>
          </cell>
          <cell r="D16">
            <v>14.626837731846287</v>
          </cell>
          <cell r="E16">
            <v>2534.1878952141583</v>
          </cell>
        </row>
        <row r="17">
          <cell r="B17">
            <v>269.29528162714996</v>
          </cell>
          <cell r="C17">
            <v>2.6716660498526936</v>
          </cell>
          <cell r="D17">
            <v>7.6537029719310743</v>
          </cell>
          <cell r="E17">
            <v>1326.050222243362</v>
          </cell>
        </row>
        <row r="18">
          <cell r="B18">
            <v>3.7143759599999999E-3</v>
          </cell>
          <cell r="C18">
            <v>3.6850152326324773E-5</v>
          </cell>
          <cell r="D18">
            <v>1.0556713118829183E-4</v>
          </cell>
          <cell r="E18">
            <v>1.8290142469235243E-2</v>
          </cell>
        </row>
        <row r="19">
          <cell r="B19">
            <v>154.59303085605998</v>
          </cell>
          <cell r="C19">
            <v>1.5337103182290779</v>
          </cell>
          <cell r="D19">
            <v>4.393723991573899</v>
          </cell>
          <cell r="E19">
            <v>761.23919322055315</v>
          </cell>
        </row>
        <row r="20">
          <cell r="B20">
            <v>77.836053241339997</v>
          </cell>
          <cell r="C20">
            <v>0.77220788883829206</v>
          </cell>
          <cell r="D20">
            <v>2.2121963237419315</v>
          </cell>
          <cell r="E20">
            <v>383.27636145563685</v>
          </cell>
        </row>
        <row r="21">
          <cell r="B21">
            <v>26.533166977649994</v>
          </cell>
          <cell r="C21">
            <v>0.26323432397678254</v>
          </cell>
          <cell r="D21">
            <v>0.75410522503231736</v>
          </cell>
          <cell r="E21">
            <v>130.65328049916258</v>
          </cell>
        </row>
        <row r="22">
          <cell r="B22">
            <v>6.5676301235500008</v>
          </cell>
          <cell r="C22">
            <v>6.5157155086631766E-2</v>
          </cell>
          <cell r="D22">
            <v>0.18666012226963161</v>
          </cell>
          <cell r="E22">
            <v>32.339992488259206</v>
          </cell>
        </row>
        <row r="23">
          <cell r="B23">
            <v>156.29750849627999</v>
          </cell>
          <cell r="C23">
            <v>1.5506203621652124</v>
          </cell>
          <cell r="D23">
            <v>4.442167341571408</v>
          </cell>
          <cell r="E23">
            <v>769.63229591424215</v>
          </cell>
        </row>
        <row r="24">
          <cell r="B24">
            <v>149.85074511317998</v>
          </cell>
          <cell r="C24">
            <v>1.4866623204275613</v>
          </cell>
          <cell r="D24">
            <v>4.2589424006573511</v>
          </cell>
          <cell r="E24">
            <v>737.88746932368122</v>
          </cell>
        </row>
        <row r="25">
          <cell r="B25">
            <v>26.681446026359996</v>
          </cell>
          <cell r="C25">
            <v>0.26470539356979333</v>
          </cell>
          <cell r="D25">
            <v>0.75831949788897357</v>
          </cell>
          <cell r="E25">
            <v>131.38342870045253</v>
          </cell>
        </row>
        <row r="26">
          <cell r="B26">
            <v>23.814896661999999</v>
          </cell>
          <cell r="C26">
            <v>0.23626648973637646</v>
          </cell>
          <cell r="D26">
            <v>0.67684864085566809</v>
          </cell>
          <cell r="E26">
            <v>117.26811112521169</v>
          </cell>
        </row>
        <row r="27">
          <cell r="B27">
            <v>46.504541657840008</v>
          </cell>
          <cell r="C27">
            <v>0.46136940966991408</v>
          </cell>
          <cell r="D27">
            <v>1.3217162459894283</v>
          </cell>
          <cell r="E27">
            <v>228.99531483839863</v>
          </cell>
        </row>
        <row r="28">
          <cell r="B28"/>
          <cell r="C28"/>
          <cell r="D28"/>
          <cell r="E28"/>
        </row>
        <row r="29">
          <cell r="B29">
            <v>950.18729783647007</v>
          </cell>
          <cell r="C29">
            <v>9.4267642911981486</v>
          </cell>
          <cell r="D29">
            <v>27.005491152314899</v>
          </cell>
          <cell r="E29">
            <v>4678.8642929636826</v>
          </cell>
        </row>
        <row r="30">
          <cell r="B30">
            <v>709.15700720199004</v>
          </cell>
          <cell r="C30">
            <v>7.035513911379593</v>
          </cell>
          <cell r="D30">
            <v>20.155113973004742</v>
          </cell>
          <cell r="E30">
            <v>3491.9951115505496</v>
          </cell>
        </row>
        <row r="31">
          <cell r="B31">
            <v>66.218662344070012</v>
          </cell>
          <cell r="C31">
            <v>0.6569522903719327</v>
          </cell>
          <cell r="D31">
            <v>1.8820157921735092</v>
          </cell>
          <cell r="E31">
            <v>326.07059205585199</v>
          </cell>
        </row>
        <row r="32">
          <cell r="B32">
            <v>13.671434530039999</v>
          </cell>
          <cell r="C32">
            <v>0.13563367046758248</v>
          </cell>
          <cell r="D32">
            <v>0.38855897682604951</v>
          </cell>
          <cell r="E32">
            <v>67.320187295540691</v>
          </cell>
        </row>
        <row r="33">
          <cell r="B33">
            <v>63.027856305779999</v>
          </cell>
          <cell r="C33">
            <v>0.62529645105437914</v>
          </cell>
          <cell r="D33">
            <v>1.7913291618302105</v>
          </cell>
          <cell r="E33">
            <v>310.35858614678386</v>
          </cell>
        </row>
        <row r="34">
          <cell r="B34">
            <v>40.419466502489996</v>
          </cell>
          <cell r="C34">
            <v>0.40099966013282573</v>
          </cell>
          <cell r="D34">
            <v>1.1487709291627897</v>
          </cell>
          <cell r="E34">
            <v>199.03149514811733</v>
          </cell>
        </row>
        <row r="35">
          <cell r="B35">
            <v>51.230819876709994</v>
          </cell>
          <cell r="C35">
            <v>0.50825859756513991</v>
          </cell>
          <cell r="D35">
            <v>1.4560428833941712</v>
          </cell>
          <cell r="E35">
            <v>252.268215294166</v>
          </cell>
        </row>
        <row r="36">
          <cell r="B36">
            <v>6.4620510753899998</v>
          </cell>
          <cell r="C36">
            <v>6.4109710226697758E-2</v>
          </cell>
          <cell r="D36">
            <v>0.18365943592342718</v>
          </cell>
          <cell r="E36">
            <v>31.820105472672157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/>
          <cell r="C38"/>
          <cell r="D38"/>
          <cell r="E38"/>
        </row>
        <row r="39">
          <cell r="B39">
            <v>275.58647320952895</v>
          </cell>
          <cell r="C39">
            <v>2.7340806709414962</v>
          </cell>
          <cell r="D39">
            <v>7.8325063710107097</v>
          </cell>
          <cell r="E39">
            <v>1357.0289900315761</v>
          </cell>
        </row>
        <row r="40">
          <cell r="B40">
            <v>109.34861963538836</v>
          </cell>
          <cell r="C40">
            <v>1.0848426044189154</v>
          </cell>
          <cell r="D40">
            <v>3.1078222017966288</v>
          </cell>
          <cell r="E40">
            <v>538.44894902493058</v>
          </cell>
        </row>
        <row r="41">
          <cell r="B41">
            <v>65.580775459973196</v>
          </cell>
          <cell r="C41">
            <v>0.65062384405980112</v>
          </cell>
          <cell r="D41">
            <v>1.8638862627177084</v>
          </cell>
          <cell r="E41">
            <v>322.92954168426081</v>
          </cell>
        </row>
        <row r="42">
          <cell r="B42">
            <v>20.306394000397397</v>
          </cell>
          <cell r="C42">
            <v>0.20145879689384261</v>
          </cell>
          <cell r="D42">
            <v>0.57713268190576339</v>
          </cell>
          <cell r="E42">
            <v>99.991719552183454</v>
          </cell>
        </row>
        <row r="43">
          <cell r="B43">
            <v>30.249822763920001</v>
          </cell>
          <cell r="C43">
            <v>0.30010709435422334</v>
          </cell>
          <cell r="D43">
            <v>0.85973715168599141</v>
          </cell>
          <cell r="E43">
            <v>148.95464917375037</v>
          </cell>
        </row>
        <row r="44">
          <cell r="B44">
            <v>15.70035736786742</v>
          </cell>
          <cell r="C44">
            <v>0.15576252022254902</v>
          </cell>
          <cell r="D44">
            <v>0.44622345820823267</v>
          </cell>
          <cell r="E44">
            <v>77.310906641825881</v>
          </cell>
        </row>
        <row r="45">
          <cell r="B45">
            <v>21.431529021359001</v>
          </cell>
          <cell r="C45">
            <v>0.21262120946505622</v>
          </cell>
          <cell r="D45">
            <v>0.60911040242773085</v>
          </cell>
          <cell r="E45">
            <v>105.53205258581468</v>
          </cell>
        </row>
        <row r="46">
          <cell r="B46">
            <v>12.968974960623576</v>
          </cell>
          <cell r="C46">
            <v>0.1286646015271084</v>
          </cell>
          <cell r="D46">
            <v>0.36859421226865285</v>
          </cell>
          <cell r="E46">
            <v>63.861171368810432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</sheetData>
      <sheetData sheetId="1">
        <row r="5">
          <cell r="B5">
            <v>10079.675999999999</v>
          </cell>
          <cell r="C5"/>
          <cell r="D5"/>
          <cell r="E5"/>
        </row>
        <row r="6">
          <cell r="B6">
            <v>203080756</v>
          </cell>
          <cell r="C6"/>
          <cell r="D6"/>
          <cell r="E6"/>
        </row>
        <row r="7">
          <cell r="B7">
            <v>3518.4966363961889</v>
          </cell>
          <cell r="C7">
            <v>34.906842604823694</v>
          </cell>
          <cell r="D7">
            <v>100.00000000000001</v>
          </cell>
          <cell r="E7">
            <v>17325.603398857689</v>
          </cell>
        </row>
        <row r="8">
          <cell r="B8"/>
          <cell r="C8"/>
          <cell r="D8"/>
          <cell r="E8">
            <v>0</v>
          </cell>
        </row>
        <row r="9">
          <cell r="B9">
            <v>2292.7228653501902</v>
          </cell>
          <cell r="C9">
            <v>22.745997642684053</v>
          </cell>
          <cell r="D9">
            <v>65.162002476674402</v>
          </cell>
          <cell r="E9">
            <v>11289.710115862432</v>
          </cell>
        </row>
        <row r="10">
          <cell r="B10">
            <v>832.28759074416007</v>
          </cell>
          <cell r="C10">
            <v>8.2570867431072195</v>
          </cell>
          <cell r="D10">
            <v>23.654636532397781</v>
          </cell>
          <cell r="E10">
            <v>4098.3085110445427</v>
          </cell>
        </row>
        <row r="11">
          <cell r="B11">
            <v>585.32521989007</v>
          </cell>
          <cell r="C11">
            <v>5.806984469441975</v>
          </cell>
          <cell r="D11">
            <v>16.635662340424687</v>
          </cell>
          <cell r="E11">
            <v>2882.2288798751069</v>
          </cell>
        </row>
        <row r="12">
          <cell r="B12">
            <v>514.64479360614007</v>
          </cell>
          <cell r="C12">
            <v>5.1057672251185471</v>
          </cell>
          <cell r="D12">
            <v>14.626837731846287</v>
          </cell>
          <cell r="E12">
            <v>2534.1878952141583</v>
          </cell>
        </row>
        <row r="13">
          <cell r="B13">
            <v>156.29750849627999</v>
          </cell>
          <cell r="C13">
            <v>1.5506203621652124</v>
          </cell>
          <cell r="D13">
            <v>4.442167341571408</v>
          </cell>
          <cell r="E13">
            <v>769.63229591424215</v>
          </cell>
        </row>
        <row r="14">
          <cell r="B14">
            <v>204.16775261353999</v>
          </cell>
          <cell r="C14">
            <v>2.0255388428510996</v>
          </cell>
          <cell r="D14">
            <v>5.8026985304342453</v>
          </cell>
          <cell r="E14">
            <v>1005.3525338143806</v>
          </cell>
        </row>
        <row r="15">
          <cell r="B15"/>
          <cell r="C15"/>
          <cell r="D15"/>
          <cell r="E15">
            <v>0</v>
          </cell>
        </row>
        <row r="16">
          <cell r="B16">
            <v>950.18729783647007</v>
          </cell>
          <cell r="C16">
            <v>9.4267642911981504</v>
          </cell>
          <cell r="D16">
            <v>27.005491152314899</v>
          </cell>
          <cell r="E16">
            <v>4678.8642929636826</v>
          </cell>
        </row>
        <row r="17">
          <cell r="B17">
            <v>709.15700720199004</v>
          </cell>
          <cell r="C17">
            <v>7.035513911379593</v>
          </cell>
          <cell r="D17">
            <v>20.155113973004742</v>
          </cell>
          <cell r="E17">
            <v>3491.9951115505496</v>
          </cell>
        </row>
        <row r="18">
          <cell r="B18">
            <v>66.218662344070012</v>
          </cell>
          <cell r="C18">
            <v>0.6569522903719327</v>
          </cell>
          <cell r="D18">
            <v>1.8820157921735092</v>
          </cell>
          <cell r="E18">
            <v>326.07059205585199</v>
          </cell>
        </row>
        <row r="19">
          <cell r="B19">
            <v>174.81162829041</v>
          </cell>
          <cell r="C19">
            <v>1.7342980894466251</v>
          </cell>
          <cell r="D19">
            <v>4.9683613871366488</v>
          </cell>
          <cell r="E19">
            <v>860.79858935728009</v>
          </cell>
        </row>
        <row r="20">
          <cell r="B20"/>
          <cell r="C20"/>
          <cell r="D20"/>
          <cell r="E20">
            <v>0</v>
          </cell>
        </row>
        <row r="21">
          <cell r="B21">
            <v>275.58647320952895</v>
          </cell>
          <cell r="C21">
            <v>2.7340806709414962</v>
          </cell>
          <cell r="D21">
            <v>7.8325063710107088</v>
          </cell>
          <cell r="E21">
            <v>1357.0289900315761</v>
          </cell>
        </row>
        <row r="22">
          <cell r="B22">
            <v>109.34861963538836</v>
          </cell>
          <cell r="C22">
            <v>1.0848426044189154</v>
          </cell>
          <cell r="D22">
            <v>3.1078222017966288</v>
          </cell>
          <cell r="E22">
            <v>538.44894902493058</v>
          </cell>
        </row>
        <row r="23">
          <cell r="B23">
            <v>65.580775459973196</v>
          </cell>
          <cell r="C23">
            <v>0.65062384405980112</v>
          </cell>
          <cell r="D23">
            <v>1.8638862627177084</v>
          </cell>
          <cell r="E23">
            <v>322.92954168426081</v>
          </cell>
        </row>
        <row r="24">
          <cell r="B24">
            <v>100.6570781141674</v>
          </cell>
          <cell r="C24">
            <v>0.99861422246277975</v>
          </cell>
          <cell r="D24">
            <v>2.8607979064963716</v>
          </cell>
          <cell r="E24">
            <v>495.65049932238486</v>
          </cell>
        </row>
      </sheetData>
      <sheetData sheetId="2">
        <row r="5">
          <cell r="B5">
            <v>10079.675999999999</v>
          </cell>
          <cell r="C5"/>
          <cell r="D5"/>
          <cell r="E5"/>
        </row>
        <row r="6">
          <cell r="B6">
            <v>203080756</v>
          </cell>
          <cell r="C6"/>
          <cell r="D6"/>
          <cell r="E6"/>
        </row>
        <row r="7">
          <cell r="B7">
            <v>3518.4966363961889</v>
          </cell>
          <cell r="C7">
            <v>34.906842604823694</v>
          </cell>
          <cell r="D7">
            <v>100.0001055671312</v>
          </cell>
          <cell r="E7">
            <v>17325.603398857689</v>
          </cell>
        </row>
        <row r="8">
          <cell r="B8"/>
          <cell r="C8"/>
          <cell r="D8"/>
          <cell r="E8">
            <v>0</v>
          </cell>
        </row>
        <row r="9">
          <cell r="B9">
            <v>709.15700720199004</v>
          </cell>
          <cell r="C9">
            <v>7.035513911379593</v>
          </cell>
          <cell r="D9">
            <v>20.155113973004742</v>
          </cell>
          <cell r="E9">
            <v>3491.9951115505496</v>
          </cell>
        </row>
        <row r="10">
          <cell r="B10">
            <v>565.14113629450014</v>
          </cell>
          <cell r="C10">
            <v>5.6067391084247173</v>
          </cell>
          <cell r="D10">
            <v>16.06200587059093</v>
          </cell>
          <cell r="E10">
            <v>2782.839435039823</v>
          </cell>
        </row>
        <row r="11">
          <cell r="B11">
            <v>746.74604659664999</v>
          </cell>
          <cell r="C11">
            <v>7.4084330349174916</v>
          </cell>
          <cell r="D11">
            <v>21.223440684073037</v>
          </cell>
          <cell r="E11">
            <v>3677.0891605143033</v>
          </cell>
        </row>
        <row r="12">
          <cell r="B12">
            <v>269.29528162714996</v>
          </cell>
          <cell r="C12">
            <v>2.6716660498526936</v>
          </cell>
          <cell r="D12">
            <v>7.6537029719310743</v>
          </cell>
          <cell r="E12">
            <v>1326.050222243362</v>
          </cell>
        </row>
        <row r="13">
          <cell r="B13">
            <v>156.29750849627999</v>
          </cell>
          <cell r="C13">
            <v>1.5506203621652124</v>
          </cell>
          <cell r="D13">
            <v>4.442167341571408</v>
          </cell>
          <cell r="E13">
            <v>769.63229591424215</v>
          </cell>
        </row>
        <row r="14">
          <cell r="B14">
            <v>58.255360537810006</v>
          </cell>
          <cell r="C14">
            <v>0.57794874098939297</v>
          </cell>
          <cell r="D14">
            <v>1.6556889648607969</v>
          </cell>
          <cell r="E14">
            <v>286.85810357043385</v>
          </cell>
        </row>
        <row r="15">
          <cell r="B15">
            <v>154.59303085605998</v>
          </cell>
          <cell r="C15">
            <v>1.5337103182290779</v>
          </cell>
          <cell r="D15">
            <v>4.393723991573899</v>
          </cell>
          <cell r="E15">
            <v>761.23919322055315</v>
          </cell>
        </row>
        <row r="16">
          <cell r="B16">
            <v>77.836053241339997</v>
          </cell>
          <cell r="C16">
            <v>0.77220788883829206</v>
          </cell>
          <cell r="D16">
            <v>2.2121963237419315</v>
          </cell>
          <cell r="E16">
            <v>383.27636145563685</v>
          </cell>
        </row>
        <row r="17">
          <cell r="B17">
            <v>109.34861963538836</v>
          </cell>
          <cell r="C17">
            <v>1.0848426044189154</v>
          </cell>
          <cell r="D17">
            <v>3.1078222017966288</v>
          </cell>
          <cell r="E17">
            <v>538.44894902493058</v>
          </cell>
        </row>
        <row r="18">
          <cell r="B18">
            <v>59.015767544939983</v>
          </cell>
          <cell r="C18">
            <v>0.58549270378274043</v>
          </cell>
          <cell r="D18">
            <v>1.6773006668378325</v>
          </cell>
          <cell r="E18">
            <v>290.60246134271819</v>
          </cell>
        </row>
        <row r="19">
          <cell r="B19">
            <v>66.218662344070012</v>
          </cell>
          <cell r="C19">
            <v>0.6569522903719327</v>
          </cell>
          <cell r="D19">
            <v>1.8820157921735092</v>
          </cell>
          <cell r="E19">
            <v>326.07059205585199</v>
          </cell>
        </row>
        <row r="20">
          <cell r="B20">
            <v>65.580775459973196</v>
          </cell>
          <cell r="C20">
            <v>0.65062384405980112</v>
          </cell>
          <cell r="D20">
            <v>1.8638862627177084</v>
          </cell>
          <cell r="E20">
            <v>322.92954168426081</v>
          </cell>
        </row>
        <row r="21">
          <cell r="B21">
            <v>58.96007748597998</v>
          </cell>
          <cell r="C21">
            <v>0.58494020528020929</v>
          </cell>
          <cell r="D21">
            <v>1.6757178868975615</v>
          </cell>
          <cell r="E21">
            <v>290.32823516759009</v>
          </cell>
        </row>
        <row r="22">
          <cell r="B22">
            <v>20.306394000397397</v>
          </cell>
          <cell r="C22">
            <v>0.20145879689384261</v>
          </cell>
          <cell r="D22">
            <v>0.57713268190576339</v>
          </cell>
          <cell r="E22">
            <v>99.991719552183454</v>
          </cell>
        </row>
        <row r="23">
          <cell r="B23">
            <v>13.671434530039999</v>
          </cell>
          <cell r="C23">
            <v>0.13563367046758248</v>
          </cell>
          <cell r="D23">
            <v>0.38855897682604951</v>
          </cell>
          <cell r="E23">
            <v>67.320187295540691</v>
          </cell>
        </row>
        <row r="24">
          <cell r="B24">
            <v>2.5880176484800002</v>
          </cell>
          <cell r="C24">
            <v>2.5675603545986997E-2</v>
          </cell>
          <cell r="D24">
            <v>7.3554643244757245E-2</v>
          </cell>
          <cell r="E24">
            <v>12.743785770031307</v>
          </cell>
        </row>
        <row r="25">
          <cell r="B25">
            <v>3.7143759599999999E-3</v>
          </cell>
          <cell r="C25">
            <v>3.6850152326324773E-5</v>
          </cell>
          <cell r="D25">
            <v>1.0556713118829183E-4</v>
          </cell>
          <cell r="E25">
            <v>1.8290142469235243E-2</v>
          </cell>
        </row>
        <row r="26">
          <cell r="B26">
            <v>385.48546289514024</v>
          </cell>
          <cell r="C26">
            <v>3.8243834712062199</v>
          </cell>
          <cell r="D26">
            <v>10.955970766252394</v>
          </cell>
          <cell r="E26">
            <v>1898.1880434556795</v>
          </cell>
        </row>
      </sheetData>
      <sheetData sheetId="3">
        <row r="5">
          <cell r="B5">
            <v>10079.675999999999</v>
          </cell>
          <cell r="C5"/>
          <cell r="D5"/>
          <cell r="E5"/>
        </row>
        <row r="6">
          <cell r="B6">
            <v>203080756</v>
          </cell>
          <cell r="C6"/>
          <cell r="D6"/>
          <cell r="E6"/>
        </row>
        <row r="7">
          <cell r="B7">
            <v>3518.4966363961894</v>
          </cell>
          <cell r="C7">
            <v>34.906842604823716</v>
          </cell>
          <cell r="D7">
            <v>100.00000000000001</v>
          </cell>
          <cell r="E7">
            <v>17325.603398857693</v>
          </cell>
        </row>
        <row r="8">
          <cell r="B8"/>
          <cell r="C8"/>
          <cell r="D8"/>
          <cell r="E8"/>
        </row>
        <row r="9">
          <cell r="B9">
            <v>1393.1740933928722</v>
          </cell>
          <cell r="C9">
            <v>13.821615827660258</v>
          </cell>
          <cell r="D9">
            <v>39.595720484184604</v>
          </cell>
          <cell r="E9">
            <v>6860.197494010079</v>
          </cell>
        </row>
        <row r="10">
          <cell r="B10">
            <v>820.7214844217192</v>
          </cell>
          <cell r="C10">
            <v>8.1423399365388249</v>
          </cell>
          <cell r="D10">
            <v>23.325913571494581</v>
          </cell>
          <cell r="E10">
            <v>4041.3552745574734</v>
          </cell>
        </row>
        <row r="11">
          <cell r="B11">
            <v>905.18382586736993</v>
          </cell>
          <cell r="C11">
            <v>8.980286924573468</v>
          </cell>
          <cell r="D11">
            <v>25.726437152274844</v>
          </cell>
          <cell r="E11">
            <v>4457.2604696595172</v>
          </cell>
        </row>
        <row r="12">
          <cell r="B12">
            <v>168.36528398296062</v>
          </cell>
          <cell r="C12">
            <v>1.670344205339146</v>
          </cell>
          <cell r="D12">
            <v>4.7851483568677873</v>
          </cell>
          <cell r="E12">
            <v>829.05582635786834</v>
          </cell>
        </row>
        <row r="13">
          <cell r="B13">
            <v>59.015767544939983</v>
          </cell>
          <cell r="C13">
            <v>0.58549270378274043</v>
          </cell>
          <cell r="D13">
            <v>1.6773006668378321</v>
          </cell>
          <cell r="E13">
            <v>290.60246134271819</v>
          </cell>
        </row>
        <row r="14">
          <cell r="B14">
            <v>63.932289712877413</v>
          </cell>
          <cell r="C14">
            <v>0.63426929310899893</v>
          </cell>
          <cell r="D14">
            <v>1.8170342711584881</v>
          </cell>
          <cell r="E14">
            <v>314.81215144224404</v>
          </cell>
        </row>
        <row r="15">
          <cell r="B15">
            <v>58.963791861939981</v>
          </cell>
          <cell r="C15">
            <v>0.58497705543253553</v>
          </cell>
          <cell r="D15">
            <v>1.6758234540287491</v>
          </cell>
          <cell r="E15">
            <v>290.34652531005929</v>
          </cell>
        </row>
        <row r="16">
          <cell r="B16">
            <v>49.14009961151001</v>
          </cell>
          <cell r="C16">
            <v>0.48751665838773006</v>
          </cell>
          <cell r="D16">
            <v>1.3966220431531129</v>
          </cell>
          <cell r="E16">
            <v>241.97319617773144</v>
          </cell>
        </row>
      </sheetData>
      <sheetData sheetId="4">
        <row r="5">
          <cell r="B5">
            <v>10079.675999999999</v>
          </cell>
          <cell r="C5"/>
          <cell r="D5"/>
          <cell r="E5"/>
        </row>
        <row r="6">
          <cell r="B6">
            <v>203080756</v>
          </cell>
          <cell r="C6"/>
          <cell r="D6"/>
          <cell r="E6"/>
        </row>
        <row r="7">
          <cell r="B7">
            <v>3518.4966363961894</v>
          </cell>
          <cell r="C7">
            <v>34.906842604823701</v>
          </cell>
          <cell r="D7">
            <v>100</v>
          </cell>
          <cell r="E7">
            <v>17325.603398857693</v>
          </cell>
        </row>
        <row r="8">
          <cell r="B8"/>
          <cell r="C8"/>
          <cell r="D8"/>
          <cell r="E8"/>
        </row>
        <row r="9">
          <cell r="B9">
            <v>1826.6767848348697</v>
          </cell>
          <cell r="C9">
            <v>18.12237600528896</v>
          </cell>
          <cell r="D9">
            <v>51.91639991748972</v>
          </cell>
          <cell r="E9">
            <v>8994.8295486691495</v>
          </cell>
        </row>
        <row r="10">
          <cell r="B10"/>
          <cell r="C10"/>
          <cell r="D10"/>
          <cell r="E10"/>
        </row>
        <row r="11">
          <cell r="B11">
            <v>910.11219401507515</v>
          </cell>
          <cell r="C11">
            <v>9.0291810373178176</v>
          </cell>
          <cell r="D11">
            <v>25.866507433903791</v>
          </cell>
          <cell r="E11">
            <v>4481.5284911342123</v>
          </cell>
        </row>
        <row r="12">
          <cell r="B12"/>
          <cell r="C12"/>
          <cell r="D12"/>
          <cell r="E12"/>
        </row>
        <row r="13">
          <cell r="B13">
            <v>781.70765754624449</v>
          </cell>
          <cell r="C13">
            <v>7.7552855622169252</v>
          </cell>
          <cell r="D13">
            <v>22.217092648606489</v>
          </cell>
          <cell r="E13">
            <v>3849.2453590543287</v>
          </cell>
        </row>
        <row r="14">
          <cell r="B14"/>
          <cell r="C14"/>
          <cell r="D14"/>
          <cell r="E14"/>
        </row>
        <row r="15">
          <cell r="B15"/>
          <cell r="C15"/>
          <cell r="D15"/>
          <cell r="E15"/>
        </row>
        <row r="16">
          <cell r="B16"/>
          <cell r="C16"/>
          <cell r="D16"/>
          <cell r="E16"/>
        </row>
        <row r="17">
          <cell r="B17">
            <v>222.37399876108253</v>
          </cell>
          <cell r="C17">
            <v>2.206162169905884</v>
          </cell>
          <cell r="D17">
            <v>6.320142428467646</v>
          </cell>
          <cell r="E17">
            <v>1095.0028113992373</v>
          </cell>
        </row>
        <row r="18">
          <cell r="B18">
            <v>125.34089239819002</v>
          </cell>
          <cell r="C18">
            <v>1.2435012037905784</v>
          </cell>
          <cell r="D18">
            <v>3.5623422544058503</v>
          </cell>
          <cell r="E18">
            <v>617.19729070828362</v>
          </cell>
        </row>
        <row r="19">
          <cell r="B19">
            <v>4.9027154875600001</v>
          </cell>
          <cell r="C19">
            <v>4.8639613887986086E-2</v>
          </cell>
          <cell r="D19">
            <v>0.13934120149057733</v>
          </cell>
          <cell r="E19">
            <v>24.141703941460609</v>
          </cell>
        </row>
        <row r="20">
          <cell r="B20">
            <v>2.233744E-2</v>
          </cell>
          <cell r="C20">
            <v>2.2160871043870858E-4</v>
          </cell>
          <cell r="D20">
            <v>6.3485750615578434E-4</v>
          </cell>
          <cell r="E20">
            <v>0.10999289366442973</v>
          </cell>
        </row>
        <row r="21">
          <cell r="B21">
            <v>2.9999999999999996</v>
          </cell>
          <cell r="C21">
            <v>2.9762861425307714E-2</v>
          </cell>
          <cell r="D21">
            <v>8.5263688160655493E-2</v>
          </cell>
          <cell r="E21">
            <v>14.772448453953951</v>
          </cell>
        </row>
        <row r="22">
          <cell r="B22">
            <v>32.161421110519996</v>
          </cell>
          <cell r="C22">
            <v>0.31907197325112435</v>
          </cell>
          <cell r="D22">
            <v>0.91406712679030011</v>
          </cell>
          <cell r="E22">
            <v>158.36764518702105</v>
          </cell>
        </row>
        <row r="23">
          <cell r="B23">
            <v>17.787630684240007</v>
          </cell>
          <cell r="C23">
            <v>0.1764702623798623</v>
          </cell>
          <cell r="D23">
            <v>0.50554633192598253</v>
          </cell>
          <cell r="E23">
            <v>87.588952466968394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0.52039610679000003</v>
          </cell>
          <cell r="C25">
            <v>5.1628257375534699E-3</v>
          </cell>
          <cell r="D25">
            <v>1.4790297123120584E-2</v>
          </cell>
          <cell r="E25">
            <v>2.5625082210645309</v>
          </cell>
        </row>
        <row r="26">
          <cell r="B26">
            <v>38.638605533782524</v>
          </cell>
          <cell r="C26">
            <v>0.3833318207230324</v>
          </cell>
          <cell r="D26">
            <v>1.0981566710650037</v>
          </cell>
          <cell r="E26">
            <v>190.26226952682077</v>
          </cell>
        </row>
        <row r="28">
          <cell r="B28">
            <v>243.67208175423798</v>
          </cell>
          <cell r="C28">
            <v>2.4174594674892131</v>
          </cell>
          <cell r="D28">
            <v>6.9254601307170356</v>
          </cell>
          <cell r="E28">
            <v>1199.8777557940448</v>
          </cell>
        </row>
        <row r="29">
          <cell r="B29">
            <v>146.32950266732001</v>
          </cell>
          <cell r="C29">
            <v>1.4517282367738806</v>
          </cell>
          <cell r="D29">
            <v>4.1588643613767271</v>
          </cell>
          <cell r="E29">
            <v>720.54834514856748</v>
          </cell>
        </row>
        <row r="30">
          <cell r="B30">
            <v>5.2120671650000006E-2</v>
          </cell>
          <cell r="C30">
            <v>5.1708677590430493E-4</v>
          </cell>
          <cell r="D30">
            <v>1.4813335647631729E-3</v>
          </cell>
          <cell r="E30">
            <v>0.25664997844502807</v>
          </cell>
        </row>
        <row r="31">
          <cell r="B31">
            <v>1.9188377814599997</v>
          </cell>
          <cell r="C31">
            <v>1.9036700995746291E-2</v>
          </cell>
          <cell r="D31">
            <v>5.4535728743096486E-2</v>
          </cell>
          <cell r="E31">
            <v>9.4486440727057364</v>
          </cell>
        </row>
        <row r="32">
          <cell r="B32">
            <v>0.98793285704000022</v>
          </cell>
          <cell r="C32">
            <v>9.8012362405299567E-3</v>
          </cell>
          <cell r="D32">
            <v>2.8078266348774684E-2</v>
          </cell>
          <cell r="E32">
            <v>4.8647290688636211</v>
          </cell>
        </row>
        <row r="33">
          <cell r="B33">
            <v>67.276951884209993</v>
          </cell>
          <cell r="C33">
            <v>0.66745153201561236</v>
          </cell>
          <cell r="D33">
            <v>1.9120936819515686</v>
          </cell>
          <cell r="E33">
            <v>331.28176794954413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0.17043943168</v>
          </cell>
          <cell r="C35">
            <v>1.6909217288333476E-3</v>
          </cell>
          <cell r="D35">
            <v>4.8440981843476238E-3</v>
          </cell>
          <cell r="E35">
            <v>0.83926923967133549</v>
          </cell>
        </row>
        <row r="36">
          <cell r="B36">
            <v>26.936296460877998</v>
          </cell>
          <cell r="C36">
            <v>0.26723375295870622</v>
          </cell>
          <cell r="D36">
            <v>0.76556266054775679</v>
          </cell>
          <cell r="E36">
            <v>132.6383503362475</v>
          </cell>
        </row>
        <row r="37">
          <cell r="B37"/>
          <cell r="C37"/>
          <cell r="D37"/>
          <cell r="E37"/>
        </row>
        <row r="38">
          <cell r="B38">
            <v>262.44910258247751</v>
          </cell>
          <cell r="C38">
            <v>2.6037454237862163</v>
          </cell>
          <cell r="D38">
            <v>7.4591261468787504</v>
          </cell>
          <cell r="E38">
            <v>1292.3386132287073</v>
          </cell>
        </row>
        <row r="39">
          <cell r="B39">
            <v>137.8650575147725</v>
          </cell>
          <cell r="C39">
            <v>1.3677528674014177</v>
          </cell>
          <cell r="D39">
            <v>3.918294424063467</v>
          </cell>
          <cell r="E39">
            <v>678.86815191279129</v>
          </cell>
        </row>
        <row r="40">
          <cell r="B40">
            <v>33.109331172035006</v>
          </cell>
          <cell r="C40">
            <v>0.32847614518596635</v>
          </cell>
          <cell r="D40">
            <v>0.94100789608675439</v>
          </cell>
          <cell r="E40">
            <v>163.03529602792599</v>
          </cell>
        </row>
        <row r="41">
          <cell r="B41">
            <v>1.22567887189</v>
          </cell>
          <cell r="C41">
            <v>1.2159903471996521E-2</v>
          </cell>
          <cell r="D41">
            <v>3.4835300372644332E-2</v>
          </cell>
          <cell r="E41">
            <v>6.0354259853651522</v>
          </cell>
        </row>
        <row r="42">
          <cell r="B42">
            <v>90.249035023779996</v>
          </cell>
          <cell r="C42">
            <v>0.89535650772683573</v>
          </cell>
          <cell r="D42">
            <v>2.5649885263558851</v>
          </cell>
          <cell r="E42">
            <v>444.39973930262499</v>
          </cell>
        </row>
        <row r="43">
          <cell r="B43"/>
          <cell r="C43"/>
          <cell r="D43"/>
          <cell r="E43"/>
        </row>
        <row r="44">
          <cell r="B44"/>
          <cell r="C44"/>
          <cell r="D44"/>
          <cell r="E44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yGOVDetalhado"/>
      <sheetName val="AD ESFERA"/>
      <sheetName val="PRINCIPAIS TRIBUTOS"/>
      <sheetName val="Bases de Incidência"/>
      <sheetName val="RD ESFERA"/>
      <sheetName val="RD ESFERA DETALHADA"/>
      <sheetName val="Impostos"/>
      <sheetName val="Contribuições"/>
      <sheetName val="Patrimoniais"/>
      <sheetName val="Multas"/>
      <sheetName val="Estados"/>
      <sheetName val="Municipios"/>
      <sheetName val="Transferencias"/>
      <sheetName val="Gráficos"/>
    </sheetNames>
    <sheetDataSet>
      <sheetData sheetId="0">
        <row r="5">
          <cell r="B5">
            <v>10943.343999999999</v>
          </cell>
          <cell r="C5"/>
          <cell r="D5"/>
          <cell r="E5"/>
        </row>
        <row r="6">
          <cell r="B6">
            <v>207832253</v>
          </cell>
          <cell r="C6"/>
          <cell r="D6"/>
          <cell r="E6"/>
        </row>
        <row r="7">
          <cell r="B7">
            <v>3783.9875168681051</v>
          </cell>
          <cell r="C7">
            <v>34.577981984922566</v>
          </cell>
          <cell r="D7">
            <v>100</v>
          </cell>
          <cell r="E7">
            <v>18206.931129539866</v>
          </cell>
        </row>
        <row r="8">
          <cell r="B8"/>
          <cell r="C8"/>
          <cell r="D8"/>
          <cell r="E8"/>
        </row>
        <row r="9">
          <cell r="B9">
            <v>2470.28269669975</v>
          </cell>
          <cell r="C9">
            <v>22.573380647631563</v>
          </cell>
          <cell r="D9">
            <v>65.282527642806031</v>
          </cell>
          <cell r="E9">
            <v>11885.944847548519</v>
          </cell>
        </row>
        <row r="10">
          <cell r="B10">
            <v>731.63772064031991</v>
          </cell>
          <cell r="C10">
            <v>6.6856869403019772</v>
          </cell>
          <cell r="D10">
            <v>19.335098685681583</v>
          </cell>
          <cell r="E10">
            <v>3520.3281015306125</v>
          </cell>
        </row>
        <row r="11">
          <cell r="B11">
            <v>59.723118909839997</v>
          </cell>
          <cell r="C11">
            <v>0.5457483462992665</v>
          </cell>
          <cell r="D11">
            <v>1.5783117318333828</v>
          </cell>
          <cell r="E11">
            <v>287.36213002435187</v>
          </cell>
        </row>
        <row r="12">
          <cell r="B12">
            <v>61.012797037120002</v>
          </cell>
          <cell r="C12">
            <v>0.55753339232614829</v>
          </cell>
          <cell r="D12">
            <v>1.6123942472098456</v>
          </cell>
          <cell r="E12">
            <v>293.56751012615933</v>
          </cell>
        </row>
        <row r="13">
          <cell r="B13">
            <v>58.575785866770005</v>
          </cell>
          <cell r="C13">
            <v>0.53526404604269051</v>
          </cell>
          <cell r="D13">
            <v>1.5479909911344387</v>
          </cell>
          <cell r="E13">
            <v>281.84165364732877</v>
          </cell>
        </row>
        <row r="14">
          <cell r="B14">
            <v>3.0321212307300005</v>
          </cell>
          <cell r="C14">
            <v>2.7707446926003614E-2</v>
          </cell>
          <cell r="D14">
            <v>8.013031801012914E-2</v>
          </cell>
          <cell r="E14">
            <v>14.589271813985485</v>
          </cell>
        </row>
        <row r="15">
          <cell r="B15">
            <v>8.9104358789600013</v>
          </cell>
          <cell r="C15">
            <v>8.1423337134974488E-2</v>
          </cell>
          <cell r="D15">
            <v>0.2354774121013726</v>
          </cell>
          <cell r="E15">
            <v>42.873210246919669</v>
          </cell>
        </row>
        <row r="16">
          <cell r="B16">
            <v>534.84267549474009</v>
          </cell>
          <cell r="C16">
            <v>4.887378807563211</v>
          </cell>
          <cell r="D16">
            <v>14.134366805137185</v>
          </cell>
          <cell r="E16">
            <v>2573.4344298078709</v>
          </cell>
        </row>
        <row r="17">
          <cell r="B17">
            <v>326.94473821844002</v>
          </cell>
          <cell r="C17">
            <v>2.9876127280513165</v>
          </cell>
          <cell r="D17">
            <v>8.6402171455640158</v>
          </cell>
          <cell r="E17">
            <v>1573.1183851355352</v>
          </cell>
        </row>
        <row r="18">
          <cell r="B18">
            <v>3.9999699999999994E-6</v>
          </cell>
          <cell r="C18">
            <v>3.6551624439476634E-8</v>
          </cell>
          <cell r="D18">
            <v>1.0570780115338905E-7</v>
          </cell>
          <cell r="E18">
            <v>1.9246146554548487E-5</v>
          </cell>
        </row>
        <row r="19">
          <cell r="B19">
            <v>152.44527609270997</v>
          </cell>
          <cell r="C19">
            <v>1.3930410676362728</v>
          </cell>
          <cell r="D19">
            <v>4.0286939482000319</v>
          </cell>
          <cell r="E19">
            <v>733.50153256871999</v>
          </cell>
        </row>
        <row r="20">
          <cell r="B20">
            <v>90.271788571729999</v>
          </cell>
          <cell r="C20">
            <v>0.82490131509829179</v>
          </cell>
          <cell r="D20">
            <v>2.385625961220013</v>
          </cell>
          <cell r="E20">
            <v>434.34927576775101</v>
          </cell>
        </row>
        <row r="21">
          <cell r="B21">
            <v>26.980036469029997</v>
          </cell>
          <cell r="C21">
            <v>0.24654288916651071</v>
          </cell>
          <cell r="D21">
            <v>0.7130054300855776</v>
          </cell>
          <cell r="E21">
            <v>129.81640760556061</v>
          </cell>
        </row>
        <row r="22">
          <cell r="B22">
            <v>6.6783866368600009</v>
          </cell>
          <cell r="C22">
            <v>6.1026927754989711E-2</v>
          </cell>
          <cell r="D22">
            <v>0.17649071533902697</v>
          </cell>
          <cell r="E22">
            <v>32.133542991808881</v>
          </cell>
        </row>
        <row r="23">
          <cell r="B23">
            <v>175.43329096683996</v>
          </cell>
          <cell r="C23">
            <v>1.6031049646875759</v>
          </cell>
          <cell r="D23">
            <v>4.636201630814071</v>
          </cell>
          <cell r="E23">
            <v>844.11003794892201</v>
          </cell>
        </row>
        <row r="24">
          <cell r="B24">
            <v>126.71884615022</v>
          </cell>
          <cell r="C24">
            <v>1.1579536031236888</v>
          </cell>
          <cell r="D24">
            <v>3.3488177639418186</v>
          </cell>
          <cell r="E24">
            <v>609.71694393468374</v>
          </cell>
        </row>
        <row r="25">
          <cell r="B25">
            <v>26.572652397450003</v>
          </cell>
          <cell r="C25">
            <v>0.24282022384976665</v>
          </cell>
          <cell r="D25">
            <v>0.70223943073267359</v>
          </cell>
          <cell r="E25">
            <v>127.85624951797065</v>
          </cell>
        </row>
        <row r="26">
          <cell r="B26">
            <v>26.918934551</v>
          </cell>
          <cell r="C26">
            <v>0.24598454138881135</v>
          </cell>
          <cell r="D26">
            <v>0.71139068062465538</v>
          </cell>
          <cell r="E26">
            <v>129.52241128329587</v>
          </cell>
        </row>
        <row r="27">
          <cell r="B27">
            <v>53.584087587019994</v>
          </cell>
          <cell r="C27">
            <v>0.48965003372844718</v>
          </cell>
          <cell r="D27">
            <v>1.4160746394684192</v>
          </cell>
          <cell r="E27">
            <v>257.82373435089499</v>
          </cell>
        </row>
        <row r="28">
          <cell r="B28"/>
          <cell r="C28"/>
          <cell r="D28"/>
          <cell r="E28"/>
        </row>
        <row r="29">
          <cell r="B29">
            <v>995.58126685782497</v>
          </cell>
          <cell r="C29">
            <v>9.0975963732641958</v>
          </cell>
          <cell r="D29">
            <v>26.310373975066348</v>
          </cell>
          <cell r="E29">
            <v>4790.3116695647086</v>
          </cell>
        </row>
        <row r="30">
          <cell r="B30">
            <v>720.56929576897994</v>
          </cell>
          <cell r="C30">
            <v>6.5845439544711377</v>
          </cell>
          <cell r="D30">
            <v>19.042591778034566</v>
          </cell>
          <cell r="E30">
            <v>3467.0715703061737</v>
          </cell>
        </row>
        <row r="31">
          <cell r="B31">
            <v>82.462626627600017</v>
          </cell>
          <cell r="C31">
            <v>0.75354139125663988</v>
          </cell>
          <cell r="D31">
            <v>2.1792520789247192</v>
          </cell>
          <cell r="E31">
            <v>396.77492514888928</v>
          </cell>
        </row>
        <row r="32">
          <cell r="B32">
            <v>15.699625992780001</v>
          </cell>
          <cell r="C32">
            <v>0.14346278425296694</v>
          </cell>
          <cell r="D32">
            <v>0.41489634737944703</v>
          </cell>
          <cell r="E32">
            <v>75.539892226352379</v>
          </cell>
        </row>
        <row r="33">
          <cell r="B33">
            <v>73.355353977434987</v>
          </cell>
          <cell r="C33">
            <v>0.67031936469725328</v>
          </cell>
          <cell r="D33">
            <v>1.9385728322420328</v>
          </cell>
          <cell r="E33">
            <v>352.95462046227726</v>
          </cell>
        </row>
        <row r="34">
          <cell r="B34">
            <v>44.646973837119987</v>
          </cell>
          <cell r="C34">
            <v>0.40798291488524885</v>
          </cell>
          <cell r="D34">
            <v>1.1798922073102656</v>
          </cell>
          <cell r="E34">
            <v>214.82216158778775</v>
          </cell>
        </row>
        <row r="35">
          <cell r="B35">
            <v>51.947868895259994</v>
          </cell>
          <cell r="C35">
            <v>0.47469830880999447</v>
          </cell>
          <cell r="D35">
            <v>1.3728340451359555</v>
          </cell>
          <cell r="E35">
            <v>249.9509491207796</v>
          </cell>
        </row>
        <row r="36">
          <cell r="B36">
            <v>6.8995217586500006</v>
          </cell>
          <cell r="C36">
            <v>6.3047654890954735E-2</v>
          </cell>
          <cell r="D36">
            <v>0.18233468603935918</v>
          </cell>
          <cell r="E36">
            <v>33.197550712448852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/>
          <cell r="C38"/>
          <cell r="D38"/>
          <cell r="E38"/>
        </row>
        <row r="39">
          <cell r="B39">
            <v>318.12355331053004</v>
          </cell>
          <cell r="C39">
            <v>2.9070049640268096</v>
          </cell>
          <cell r="D39">
            <v>8.4070983821276322</v>
          </cell>
          <cell r="E39">
            <v>1530.6746124266383</v>
          </cell>
        </row>
        <row r="40">
          <cell r="B40">
            <v>123.44516212376996</v>
          </cell>
          <cell r="C40">
            <v>1.1280387614952976</v>
          </cell>
          <cell r="D40">
            <v>3.2623036300590624</v>
          </cell>
          <cell r="E40">
            <v>593.96537516133242</v>
          </cell>
        </row>
        <row r="41">
          <cell r="B41">
            <v>72.900986012390021</v>
          </cell>
          <cell r="C41">
            <v>0.66616736175331803</v>
          </cell>
          <cell r="D41">
            <v>1.9265651825597994</v>
          </cell>
          <cell r="E41">
            <v>350.76839595435661</v>
          </cell>
        </row>
        <row r="42">
          <cell r="B42">
            <v>21.648619978919999</v>
          </cell>
          <cell r="C42">
            <v>0.19782454045966205</v>
          </cell>
          <cell r="D42">
            <v>0.5721112948289514</v>
          </cell>
          <cell r="E42">
            <v>104.16390943382594</v>
          </cell>
        </row>
        <row r="43">
          <cell r="B43">
            <v>40.212346084940009</v>
          </cell>
          <cell r="C43">
            <v>0.36745939892723845</v>
          </cell>
          <cell r="D43">
            <v>1.0626976411968345</v>
          </cell>
          <cell r="E43">
            <v>193.48462764795227</v>
          </cell>
        </row>
        <row r="44">
          <cell r="B44">
            <v>18.046451286890008</v>
          </cell>
          <cell r="C44">
            <v>0.16490801428603552</v>
          </cell>
          <cell r="D44">
            <v>0.4769162479115821</v>
          </cell>
          <cell r="E44">
            <v>86.831812802847338</v>
          </cell>
        </row>
        <row r="45">
          <cell r="B45">
            <v>26.984806390769997</v>
          </cell>
          <cell r="C45">
            <v>0.24658647659042793</v>
          </cell>
          <cell r="D45">
            <v>0.71313148551569572</v>
          </cell>
          <cell r="E45">
            <v>129.83935843090725</v>
          </cell>
        </row>
        <row r="46">
          <cell r="B46">
            <v>14.885181432849997</v>
          </cell>
          <cell r="C46">
            <v>0.1360204105148298</v>
          </cell>
          <cell r="D46">
            <v>0.39337290005570696</v>
          </cell>
          <cell r="E46">
            <v>71.621132995416247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</sheetData>
      <sheetData sheetId="1">
        <row r="5">
          <cell r="B5">
            <v>10943.343999999999</v>
          </cell>
          <cell r="C5"/>
          <cell r="D5"/>
          <cell r="E5"/>
        </row>
        <row r="6">
          <cell r="B6">
            <v>207832253</v>
          </cell>
          <cell r="C6"/>
          <cell r="D6"/>
          <cell r="E6"/>
        </row>
        <row r="7">
          <cell r="B7">
            <v>3783.9875168681046</v>
          </cell>
          <cell r="C7">
            <v>34.577981984922573</v>
          </cell>
          <cell r="D7">
            <v>100</v>
          </cell>
          <cell r="E7">
            <v>18206.931129539862</v>
          </cell>
        </row>
        <row r="8">
          <cell r="B8"/>
          <cell r="C8"/>
          <cell r="D8"/>
          <cell r="E8">
            <v>0</v>
          </cell>
        </row>
        <row r="9">
          <cell r="B9">
            <v>2470.28269669975</v>
          </cell>
          <cell r="C9">
            <v>22.573380647631566</v>
          </cell>
          <cell r="D9">
            <v>65.282527642806031</v>
          </cell>
          <cell r="E9">
            <v>11885.944847548519</v>
          </cell>
        </row>
        <row r="10">
          <cell r="B10">
            <v>913.98154368477992</v>
          </cell>
          <cell r="C10">
            <v>8.3519401718960857</v>
          </cell>
          <cell r="D10">
            <v>24.153925973869374</v>
          </cell>
          <cell r="E10">
            <v>4397.6886671424381</v>
          </cell>
        </row>
        <row r="11">
          <cell r="B11">
            <v>656.81181693718997</v>
          </cell>
          <cell r="C11">
            <v>6.0019297294975837</v>
          </cell>
          <cell r="D11">
            <v>17.357663417473791</v>
          </cell>
          <cell r="E11">
            <v>3160.2978241167889</v>
          </cell>
        </row>
        <row r="12">
          <cell r="B12">
            <v>534.84267549474009</v>
          </cell>
          <cell r="C12">
            <v>4.887378807563211</v>
          </cell>
          <cell r="D12">
            <v>14.134366805137184</v>
          </cell>
          <cell r="E12">
            <v>2573.4344298078709</v>
          </cell>
        </row>
        <row r="13">
          <cell r="B13">
            <v>175.43329096683996</v>
          </cell>
          <cell r="C13">
            <v>1.6031049646875759</v>
          </cell>
          <cell r="D13">
            <v>4.636201630814071</v>
          </cell>
          <cell r="E13">
            <v>844.11003794892201</v>
          </cell>
        </row>
        <row r="14">
          <cell r="B14">
            <v>189.2133696162</v>
          </cell>
          <cell r="C14">
            <v>1.7290269739871107</v>
          </cell>
          <cell r="D14">
            <v>5.0003698155116103</v>
          </cell>
          <cell r="E14">
            <v>910.41388853249839</v>
          </cell>
        </row>
        <row r="15">
          <cell r="B15"/>
          <cell r="C15"/>
          <cell r="D15"/>
          <cell r="E15">
            <v>0</v>
          </cell>
        </row>
        <row r="16">
          <cell r="B16">
            <v>995.58126685782486</v>
          </cell>
          <cell r="C16">
            <v>9.0975963732641958</v>
          </cell>
          <cell r="D16">
            <v>26.310373975066341</v>
          </cell>
          <cell r="E16">
            <v>4790.3116695647086</v>
          </cell>
        </row>
        <row r="17">
          <cell r="B17">
            <v>720.56929576897994</v>
          </cell>
          <cell r="C17">
            <v>6.5845439544711377</v>
          </cell>
          <cell r="D17">
            <v>19.042591778034563</v>
          </cell>
          <cell r="E17">
            <v>3467.0715703061737</v>
          </cell>
        </row>
        <row r="18">
          <cell r="B18">
            <v>82.462626627600017</v>
          </cell>
          <cell r="C18">
            <v>0.75354139125663988</v>
          </cell>
          <cell r="D18">
            <v>2.1792520789247187</v>
          </cell>
          <cell r="E18">
            <v>396.77492514888928</v>
          </cell>
        </row>
        <row r="19">
          <cell r="B19">
            <v>192.54934446124497</v>
          </cell>
          <cell r="C19">
            <v>1.7595110275364183</v>
          </cell>
          <cell r="D19">
            <v>5.0885301181070588</v>
          </cell>
          <cell r="E19">
            <v>926.46517410964589</v>
          </cell>
        </row>
        <row r="20">
          <cell r="B20"/>
          <cell r="C20"/>
          <cell r="D20"/>
          <cell r="E20">
            <v>0</v>
          </cell>
        </row>
        <row r="21">
          <cell r="B21">
            <v>318.12355331052999</v>
          </cell>
          <cell r="C21">
            <v>2.9070049640268096</v>
          </cell>
          <cell r="D21">
            <v>8.4070983821276304</v>
          </cell>
          <cell r="E21">
            <v>1530.6746124266381</v>
          </cell>
        </row>
        <row r="22">
          <cell r="B22">
            <v>123.44516212376996</v>
          </cell>
          <cell r="C22">
            <v>1.1280387614952976</v>
          </cell>
          <cell r="D22">
            <v>3.2623036300590615</v>
          </cell>
          <cell r="E22">
            <v>593.96537516133242</v>
          </cell>
        </row>
        <row r="23">
          <cell r="B23">
            <v>72.900986012390021</v>
          </cell>
          <cell r="C23">
            <v>0.66616736175331803</v>
          </cell>
          <cell r="D23">
            <v>1.9265651825597991</v>
          </cell>
          <cell r="E23">
            <v>350.76839595435661</v>
          </cell>
        </row>
        <row r="24">
          <cell r="B24">
            <v>121.77740517437002</v>
          </cell>
          <cell r="C24">
            <v>1.1127988407781939</v>
          </cell>
          <cell r="D24">
            <v>3.2182295695087704</v>
          </cell>
          <cell r="E24">
            <v>585.94084131094905</v>
          </cell>
        </row>
      </sheetData>
      <sheetData sheetId="2">
        <row r="5">
          <cell r="B5">
            <v>10943.343999999999</v>
          </cell>
          <cell r="C5"/>
          <cell r="D5"/>
          <cell r="E5"/>
        </row>
        <row r="6">
          <cell r="B6">
            <v>207832253</v>
          </cell>
          <cell r="C6"/>
          <cell r="D6"/>
          <cell r="E6"/>
        </row>
        <row r="7">
          <cell r="B7">
            <v>3783.9875168681046</v>
          </cell>
          <cell r="C7">
            <v>34.577981984922566</v>
          </cell>
          <cell r="D7">
            <v>100.00000010570781</v>
          </cell>
          <cell r="E7">
            <v>18206.931129539862</v>
          </cell>
        </row>
        <row r="8">
          <cell r="B8"/>
          <cell r="C8"/>
          <cell r="D8"/>
          <cell r="E8">
            <v>0</v>
          </cell>
        </row>
        <row r="9">
          <cell r="B9">
            <v>720.56929576897994</v>
          </cell>
          <cell r="C9">
            <v>6.5845439544711377</v>
          </cell>
          <cell r="D9">
            <v>19.042591778034566</v>
          </cell>
          <cell r="E9">
            <v>3467.0715703061737</v>
          </cell>
        </row>
        <row r="10">
          <cell r="B10">
            <v>588.33426244319014</v>
          </cell>
          <cell r="C10">
            <v>5.3761835728017893</v>
          </cell>
          <cell r="D10">
            <v>15.547996916494514</v>
          </cell>
          <cell r="E10">
            <v>2830.8130906091374</v>
          </cell>
        </row>
        <row r="11">
          <cell r="B11">
            <v>845.20542070269494</v>
          </cell>
          <cell r="C11">
            <v>7.7234657039264683</v>
          </cell>
          <cell r="D11">
            <v>22.336369159120448</v>
          </cell>
          <cell r="E11">
            <v>4066.767349640842</v>
          </cell>
        </row>
        <row r="12">
          <cell r="B12">
            <v>326.94473821844002</v>
          </cell>
          <cell r="C12">
            <v>2.9876127280513165</v>
          </cell>
          <cell r="D12">
            <v>8.6402171455640158</v>
          </cell>
          <cell r="E12">
            <v>1573.1183851355352</v>
          </cell>
        </row>
        <row r="13">
          <cell r="B13">
            <v>175.43329096683996</v>
          </cell>
          <cell r="C13">
            <v>1.6031049646875759</v>
          </cell>
          <cell r="D13">
            <v>4.636201630814071</v>
          </cell>
          <cell r="E13">
            <v>844.11003794892201</v>
          </cell>
        </row>
        <row r="14">
          <cell r="B14">
            <v>59.723118909839997</v>
          </cell>
          <cell r="C14">
            <v>0.5457483462992665</v>
          </cell>
          <cell r="D14">
            <v>1.5783117318333828</v>
          </cell>
          <cell r="E14">
            <v>287.36213002435187</v>
          </cell>
        </row>
        <row r="15">
          <cell r="B15">
            <v>152.44527609270997</v>
          </cell>
          <cell r="C15">
            <v>1.3930410676362728</v>
          </cell>
          <cell r="D15">
            <v>4.0286939482000319</v>
          </cell>
          <cell r="E15">
            <v>733.50153256871999</v>
          </cell>
        </row>
        <row r="16">
          <cell r="B16">
            <v>90.271788571729999</v>
          </cell>
          <cell r="C16">
            <v>0.82490131509829179</v>
          </cell>
          <cell r="D16">
            <v>2.385625961220013</v>
          </cell>
          <cell r="E16">
            <v>434.34927576775101</v>
          </cell>
        </row>
        <row r="17">
          <cell r="B17">
            <v>123.44516212376996</v>
          </cell>
          <cell r="C17">
            <v>1.1280387614952976</v>
          </cell>
          <cell r="D17">
            <v>3.2623036300590624</v>
          </cell>
          <cell r="E17">
            <v>593.96537516133242</v>
          </cell>
        </row>
        <row r="18">
          <cell r="B18">
            <v>58.575785866770005</v>
          </cell>
          <cell r="C18">
            <v>0.53526404604269051</v>
          </cell>
          <cell r="D18">
            <v>1.5479909911344387</v>
          </cell>
          <cell r="E18">
            <v>281.84165364732877</v>
          </cell>
        </row>
        <row r="19">
          <cell r="B19">
            <v>82.462626627600017</v>
          </cell>
          <cell r="C19">
            <v>0.75354139125663988</v>
          </cell>
          <cell r="D19">
            <v>2.1792520789247192</v>
          </cell>
          <cell r="E19">
            <v>396.77492514888928</v>
          </cell>
        </row>
        <row r="20">
          <cell r="B20">
            <v>72.900986012390021</v>
          </cell>
          <cell r="C20">
            <v>0.66616736175331803</v>
          </cell>
          <cell r="D20">
            <v>1.9265651825597994</v>
          </cell>
          <cell r="E20">
            <v>350.76839595435661</v>
          </cell>
        </row>
        <row r="21">
          <cell r="B21">
            <v>61.012797037120002</v>
          </cell>
          <cell r="C21">
            <v>0.55753339232614829</v>
          </cell>
          <cell r="D21">
            <v>1.6123942472098456</v>
          </cell>
          <cell r="E21">
            <v>293.56751012615933</v>
          </cell>
        </row>
        <row r="22">
          <cell r="B22">
            <v>21.648619978919999</v>
          </cell>
          <cell r="C22">
            <v>0.19782454045966205</v>
          </cell>
          <cell r="D22">
            <v>0.5721112948289514</v>
          </cell>
          <cell r="E22">
            <v>104.16390943382594</v>
          </cell>
        </row>
        <row r="23">
          <cell r="B23">
            <v>15.699625992780001</v>
          </cell>
          <cell r="C23">
            <v>0.14346278425296694</v>
          </cell>
          <cell r="D23">
            <v>0.41489634737944703</v>
          </cell>
          <cell r="E23">
            <v>75.539892226352379</v>
          </cell>
        </row>
        <row r="24">
          <cell r="B24">
            <v>3.0321212307300005</v>
          </cell>
          <cell r="C24">
            <v>2.7707446926003614E-2</v>
          </cell>
          <cell r="D24">
            <v>8.013031801012914E-2</v>
          </cell>
          <cell r="E24">
            <v>14.589271813985485</v>
          </cell>
        </row>
        <row r="25">
          <cell r="B25">
            <v>3.9999699999999994E-6</v>
          </cell>
          <cell r="C25">
            <v>3.6551624439476634E-8</v>
          </cell>
          <cell r="D25">
            <v>1.0570780115338905E-7</v>
          </cell>
          <cell r="E25">
            <v>1.9246146554548487E-5</v>
          </cell>
        </row>
        <row r="26">
          <cell r="B26">
            <v>386.28260032359913</v>
          </cell>
          <cell r="C26">
            <v>3.5298406074377189</v>
          </cell>
          <cell r="D26">
            <v>10.20834763861256</v>
          </cell>
          <cell r="E26">
            <v>1858.6268240261973</v>
          </cell>
        </row>
      </sheetData>
      <sheetData sheetId="3">
        <row r="5">
          <cell r="B5">
            <v>10943.343999999999</v>
          </cell>
          <cell r="C5"/>
          <cell r="D5"/>
          <cell r="E5"/>
        </row>
        <row r="6">
          <cell r="B6">
            <v>207832253</v>
          </cell>
          <cell r="C6"/>
          <cell r="D6"/>
          <cell r="E6"/>
        </row>
        <row r="7">
          <cell r="B7">
            <v>3783.9875168681051</v>
          </cell>
          <cell r="C7">
            <v>34.577981984922573</v>
          </cell>
          <cell r="D7">
            <v>100</v>
          </cell>
          <cell r="E7">
            <v>18206.931129539866</v>
          </cell>
        </row>
        <row r="8">
          <cell r="B8"/>
          <cell r="C8"/>
          <cell r="D8"/>
          <cell r="E8"/>
        </row>
        <row r="9">
          <cell r="B9">
            <v>1469.4576529344799</v>
          </cell>
          <cell r="C9">
            <v>13.427866773944782</v>
          </cell>
          <cell r="D9">
            <v>38.833575596747913</v>
          </cell>
          <cell r="E9">
            <v>7070.4023640376936</v>
          </cell>
        </row>
        <row r="10">
          <cell r="B10">
            <v>869.78258278509009</v>
          </cell>
          <cell r="C10">
            <v>7.9480511878735616</v>
          </cell>
          <cell r="D10">
            <v>22.985873470982892</v>
          </cell>
          <cell r="E10">
            <v>4185.0221523850296</v>
          </cell>
        </row>
        <row r="11">
          <cell r="B11">
            <v>1001.5568950823549</v>
          </cell>
          <cell r="C11">
            <v>9.1522015124659788</v>
          </cell>
          <cell r="D11">
            <v>26.468292789488746</v>
          </cell>
          <cell r="E11">
            <v>4819.0638393471818</v>
          </cell>
        </row>
        <row r="12">
          <cell r="B12">
            <v>195.74397984242006</v>
          </cell>
          <cell r="C12">
            <v>1.7887035246485907</v>
          </cell>
          <cell r="D12">
            <v>5.1729552217030452</v>
          </cell>
          <cell r="E12">
            <v>941.83639457740981</v>
          </cell>
        </row>
        <row r="13">
          <cell r="B13">
            <v>58.575785866770005</v>
          </cell>
          <cell r="C13">
            <v>0.53526404604269051</v>
          </cell>
          <cell r="D13">
            <v>1.5479909911344383</v>
          </cell>
          <cell r="E13">
            <v>281.84165364732877</v>
          </cell>
        </row>
        <row r="14">
          <cell r="B14">
            <v>71.603861002969992</v>
          </cell>
          <cell r="C14">
            <v>0.65431426630625888</v>
          </cell>
          <cell r="D14">
            <v>1.8922858673232199</v>
          </cell>
          <cell r="E14">
            <v>344.52718463755474</v>
          </cell>
        </row>
        <row r="15">
          <cell r="B15">
            <v>61.01280103709</v>
          </cell>
          <cell r="C15">
            <v>0.55753342887777269</v>
          </cell>
          <cell r="D15">
            <v>1.6123943529176465</v>
          </cell>
          <cell r="E15">
            <v>293.56752937230584</v>
          </cell>
        </row>
        <row r="16">
          <cell r="B16">
            <v>56.253958316929996</v>
          </cell>
          <cell r="C16">
            <v>0.5140472447629354</v>
          </cell>
          <cell r="D16">
            <v>1.4866317097020905</v>
          </cell>
          <cell r="E16">
            <v>270.67001153536063</v>
          </cell>
        </row>
      </sheetData>
      <sheetData sheetId="4">
        <row r="5">
          <cell r="B5">
            <v>10943.343999999999</v>
          </cell>
          <cell r="C5"/>
          <cell r="D5"/>
          <cell r="E5"/>
        </row>
        <row r="6">
          <cell r="B6">
            <v>207832253</v>
          </cell>
          <cell r="C6"/>
          <cell r="D6"/>
          <cell r="E6"/>
        </row>
        <row r="7">
          <cell r="B7">
            <v>3783.9875168681046</v>
          </cell>
          <cell r="C7">
            <v>34.577981984922566</v>
          </cell>
          <cell r="D7">
            <v>100.00000000000001</v>
          </cell>
          <cell r="E7">
            <v>18206.931129539862</v>
          </cell>
        </row>
        <row r="8">
          <cell r="B8"/>
          <cell r="C8"/>
          <cell r="D8"/>
          <cell r="E8"/>
        </row>
        <row r="9">
          <cell r="B9">
            <v>1969.6921090685698</v>
          </cell>
          <cell r="C9">
            <v>17.998996550492883</v>
          </cell>
          <cell r="D9">
            <v>52.053345849798852</v>
          </cell>
          <cell r="E9">
            <v>9477.3168294940715</v>
          </cell>
        </row>
        <row r="10">
          <cell r="B10"/>
          <cell r="C10"/>
          <cell r="D10"/>
          <cell r="E10"/>
        </row>
        <row r="11">
          <cell r="B11">
            <v>949.88554812579741</v>
          </cell>
          <cell r="C11">
            <v>8.6800300541205448</v>
          </cell>
          <cell r="D11">
            <v>25.102766430688174</v>
          </cell>
          <cell r="E11">
            <v>4570.4433956446474</v>
          </cell>
        </row>
        <row r="12">
          <cell r="B12"/>
          <cell r="C12"/>
          <cell r="D12"/>
          <cell r="E12"/>
        </row>
        <row r="13">
          <cell r="B13">
            <v>864.4098596737374</v>
          </cell>
          <cell r="C13">
            <v>7.8989553803091406</v>
          </cell>
          <cell r="D13">
            <v>22.843887719512992</v>
          </cell>
          <cell r="E13">
            <v>4159.1709044011441</v>
          </cell>
        </row>
        <row r="14">
          <cell r="B14"/>
          <cell r="C14"/>
          <cell r="D14"/>
          <cell r="E14"/>
        </row>
        <row r="15">
          <cell r="B15"/>
          <cell r="C15"/>
          <cell r="D15"/>
          <cell r="E15"/>
        </row>
        <row r="16">
          <cell r="B16"/>
          <cell r="C16"/>
          <cell r="D16"/>
          <cell r="E16"/>
        </row>
        <row r="17">
          <cell r="B17">
            <v>233.59932777745007</v>
          </cell>
          <cell r="C17">
            <v>2.134624734244396</v>
          </cell>
          <cell r="D17">
            <v>6.1733641227969338</v>
          </cell>
          <cell r="E17">
            <v>1123.98015421336</v>
          </cell>
        </row>
        <row r="18">
          <cell r="B18">
            <v>129.25830846370005</v>
          </cell>
          <cell r="C18">
            <v>1.1811591453553874</v>
          </cell>
          <cell r="D18">
            <v>3.415928511589895</v>
          </cell>
          <cell r="E18">
            <v>621.93575153948814</v>
          </cell>
        </row>
        <row r="19">
          <cell r="B19">
            <v>4.6830612922799997</v>
          </cell>
          <cell r="C19">
            <v>4.2793695348332286E-2</v>
          </cell>
          <cell r="D19">
            <v>0.12375995616803813</v>
          </cell>
          <cell r="E19">
            <v>22.53288998546342</v>
          </cell>
        </row>
        <row r="20">
          <cell r="B20">
            <v>1.3154239869999997E-2</v>
          </cell>
          <cell r="C20">
            <v>1.2020311040208549E-4</v>
          </cell>
          <cell r="D20">
            <v>3.4762905034336307E-4</v>
          </cell>
          <cell r="E20">
            <v>6.3292581782289567E-2</v>
          </cell>
        </row>
        <row r="21">
          <cell r="B21">
            <v>3</v>
          </cell>
          <cell r="C21">
            <v>2.7413923934036986E-2</v>
          </cell>
          <cell r="D21">
            <v>7.9281445475882881E-2</v>
          </cell>
          <cell r="E21">
            <v>14.434718176297689</v>
          </cell>
        </row>
        <row r="22">
          <cell r="B22">
            <v>32.414140759039995</v>
          </cell>
          <cell r="C22">
            <v>0.29619959638516341</v>
          </cell>
          <cell r="D22">
            <v>0.85661331107847394</v>
          </cell>
          <cell r="E22">
            <v>155.96299559452879</v>
          </cell>
        </row>
        <row r="23">
          <cell r="B23">
            <v>17.715101598300009</v>
          </cell>
          <cell r="C23">
            <v>0.16188014923317781</v>
          </cell>
          <cell r="D23">
            <v>0.46815962048844917</v>
          </cell>
          <cell r="E23">
            <v>85.23749967864714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0.10492028399999999</v>
          </cell>
          <cell r="C25">
            <v>9.5875889490451907E-4</v>
          </cell>
          <cell r="D25">
            <v>2.772743925086715E-3</v>
          </cell>
          <cell r="E25">
            <v>0.50483157683903845</v>
          </cell>
        </row>
        <row r="26">
          <cell r="B26">
            <v>4.0186115429899996</v>
          </cell>
          <cell r="C26">
            <v>3.6721970386656949E-2</v>
          </cell>
          <cell r="D26">
            <v>0.10620044397810506</v>
          </cell>
          <cell r="E26">
            <v>19.33584169435915</v>
          </cell>
        </row>
        <row r="27">
          <cell r="B27">
            <v>9.5260826180000002</v>
          </cell>
          <cell r="C27">
            <v>8.7049101426401293E-2</v>
          </cell>
          <cell r="D27">
            <v>0.25174719989257416</v>
          </cell>
          <cell r="E27">
            <v>45.835439304986025</v>
          </cell>
        </row>
        <row r="28">
          <cell r="B28">
            <v>32.865946979269999</v>
          </cell>
          <cell r="C28">
            <v>0.30032819016993345</v>
          </cell>
          <cell r="D28">
            <v>0.86855326115008391</v>
          </cell>
          <cell r="E28">
            <v>158.13689408096826</v>
          </cell>
        </row>
        <row r="29">
          <cell r="B29"/>
          <cell r="C29"/>
          <cell r="D29"/>
          <cell r="E29"/>
        </row>
        <row r="30">
          <cell r="B30">
            <v>266.99125985373001</v>
          </cell>
          <cell r="C30">
            <v>2.4397593628942857</v>
          </cell>
          <cell r="D30">
            <v>7.0558176702102564</v>
          </cell>
          <cell r="E30">
            <v>1284.6478638410854</v>
          </cell>
        </row>
        <row r="31">
          <cell r="B31">
            <v>152.04387551999002</v>
          </cell>
          <cell r="C31">
            <v>1.389373079380398</v>
          </cell>
          <cell r="D31">
            <v>4.018086075660003</v>
          </cell>
          <cell r="E31">
            <v>731.57016452104779</v>
          </cell>
        </row>
        <row r="32">
          <cell r="B32">
            <v>2.2807299891500001</v>
          </cell>
          <cell r="C32">
            <v>2.0841252812211698E-2</v>
          </cell>
          <cell r="D32">
            <v>6.0273190093335552E-2</v>
          </cell>
          <cell r="E32">
            <v>10.973898209870246</v>
          </cell>
        </row>
        <row r="33">
          <cell r="B33">
            <v>3.0693207659999996E-2</v>
          </cell>
          <cell r="C33">
            <v>2.8047375336094703E-4</v>
          </cell>
          <cell r="D33">
            <v>8.1113395652541314E-4</v>
          </cell>
          <cell r="E33">
            <v>0.14768260083289381</v>
          </cell>
        </row>
        <row r="34">
          <cell r="B34">
            <v>0.98691672833000021</v>
          </cell>
          <cell r="C34">
            <v>9.0184200398890895E-3</v>
          </cell>
          <cell r="D34">
            <v>2.6081394928777209E-2</v>
          </cell>
          <cell r="E34">
            <v>4.748621612305767</v>
          </cell>
        </row>
        <row r="35">
          <cell r="B35">
            <v>72.88223100994999</v>
          </cell>
          <cell r="C35">
            <v>0.66599597901656016</v>
          </cell>
          <cell r="D35">
            <v>1.9260695413253499</v>
          </cell>
          <cell r="E35">
            <v>350.67815489615077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3.4356629640000004E-2</v>
          </cell>
          <cell r="C37">
            <v>3.1395001052694684E-4</v>
          </cell>
          <cell r="D37">
            <v>9.0794775317958704E-4</v>
          </cell>
          <cell r="E37">
            <v>0.16530942211361199</v>
          </cell>
        </row>
        <row r="38">
          <cell r="B38">
            <v>6.0182447385200009</v>
          </cell>
          <cell r="C38">
            <v>5.4994567826068541E-2</v>
          </cell>
          <cell r="D38">
            <v>0.15904504736583081</v>
          </cell>
          <cell r="E38">
            <v>28.957222238840863</v>
          </cell>
        </row>
        <row r="39">
          <cell r="B39">
            <v>32.714212030489996</v>
          </cell>
          <cell r="C39">
            <v>0.29894164005527013</v>
          </cell>
          <cell r="D39">
            <v>0.86454333912725467</v>
          </cell>
          <cell r="E39">
            <v>157.40681033992351</v>
          </cell>
        </row>
        <row r="40">
          <cell r="B40"/>
          <cell r="C40"/>
          <cell r="D40"/>
          <cell r="E40"/>
        </row>
        <row r="41">
          <cell r="B41">
            <v>279.29504650947746</v>
          </cell>
          <cell r="C41">
            <v>2.5521910533880461</v>
          </cell>
          <cell r="D41">
            <v>7.3809716671751024</v>
          </cell>
          <cell r="E41">
            <v>1343.8484281334211</v>
          </cell>
        </row>
        <row r="42">
          <cell r="B42">
            <v>139.53670214391749</v>
          </cell>
          <cell r="C42">
            <v>1.2750828461932433</v>
          </cell>
          <cell r="D42">
            <v>3.6875571476358346</v>
          </cell>
          <cell r="E42">
            <v>671.39099023248082</v>
          </cell>
        </row>
        <row r="43">
          <cell r="B43">
            <v>41.231313313800008</v>
          </cell>
          <cell r="C43">
            <v>0.37677069562831994</v>
          </cell>
          <cell r="D43">
            <v>1.0896260394623596</v>
          </cell>
          <cell r="E43">
            <v>198.38746257444464</v>
          </cell>
        </row>
        <row r="44">
          <cell r="B44">
            <v>1.1707653230699999</v>
          </cell>
          <cell r="C44">
            <v>1.0698423837083072E-2</v>
          </cell>
          <cell r="D44">
            <v>3.0939989042009532E-2</v>
          </cell>
          <cell r="E44">
            <v>5.633222496365855</v>
          </cell>
        </row>
        <row r="45">
          <cell r="B45">
            <v>94.974745074189997</v>
          </cell>
          <cell r="C45">
            <v>0.86787681237279946</v>
          </cell>
          <cell r="D45">
            <v>2.5099116910617565</v>
          </cell>
          <cell r="E45">
            <v>456.97789300388331</v>
          </cell>
        </row>
        <row r="46">
          <cell r="B46">
            <v>2.3815206545000001</v>
          </cell>
          <cell r="C46">
            <v>2.1762275356600323E-2</v>
          </cell>
          <cell r="D46">
            <v>6.293679997314354E-2</v>
          </cell>
          <cell r="E46">
            <v>11.458859826246506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yGOVDetalhado"/>
      <sheetName val="AD ESFERA"/>
      <sheetName val="PRINCIPAIS TRIBUTOS"/>
      <sheetName val="Bases de Incidência"/>
      <sheetName val="RD ESFERA"/>
      <sheetName val="RD ESFERA DETALHADA"/>
      <sheetName val="Impostos"/>
      <sheetName val="Contribuições"/>
      <sheetName val="Patrimoniais"/>
      <sheetName val="Multas"/>
      <sheetName val="Estados"/>
      <sheetName val="Municipios"/>
      <sheetName val="Transferencias"/>
      <sheetName val="Gráficos"/>
    </sheetNames>
    <sheetDataSet>
      <sheetData sheetId="0">
        <row r="5">
          <cell r="B5">
            <v>11744.709000000001</v>
          </cell>
          <cell r="C5"/>
          <cell r="D5"/>
          <cell r="E5"/>
        </row>
        <row r="6">
          <cell r="B6">
            <v>212583750</v>
          </cell>
          <cell r="C6"/>
          <cell r="D6"/>
          <cell r="E6"/>
        </row>
        <row r="7">
          <cell r="B7">
            <v>4222.2219899236061</v>
          </cell>
          <cell r="C7">
            <v>35.949992374639557</v>
          </cell>
          <cell r="D7">
            <v>99.999999999999986</v>
          </cell>
          <cell r="E7">
            <v>19861.452203771954</v>
          </cell>
        </row>
        <row r="8">
          <cell r="B8"/>
          <cell r="C8"/>
          <cell r="D8"/>
          <cell r="E8"/>
        </row>
        <row r="9">
          <cell r="B9">
            <v>2735.2139160069196</v>
          </cell>
          <cell r="C9">
            <v>23.288903250024493</v>
          </cell>
          <cell r="D9">
            <v>64.781385785364847</v>
          </cell>
          <cell r="E9">
            <v>12866.523974701357</v>
          </cell>
        </row>
        <row r="10">
          <cell r="B10">
            <v>764.55033295458998</v>
          </cell>
          <cell r="C10">
            <v>6.5097426675670711</v>
          </cell>
          <cell r="D10">
            <v>18.10777203991643</v>
          </cell>
          <cell r="E10">
            <v>3596.4664888759839</v>
          </cell>
        </row>
        <row r="11">
          <cell r="B11">
            <v>82.173979121600013</v>
          </cell>
          <cell r="C11">
            <v>0.69966807284539789</v>
          </cell>
          <cell r="D11">
            <v>1.9462259283786927</v>
          </cell>
          <cell r="E11">
            <v>386.54873254235099</v>
          </cell>
        </row>
        <row r="12">
          <cell r="B12">
            <v>67.402229597279984</v>
          </cell>
          <cell r="C12">
            <v>0.57389442000887358</v>
          </cell>
          <cell r="D12">
            <v>1.5963686835542132</v>
          </cell>
          <cell r="E12">
            <v>317.06200308010364</v>
          </cell>
        </row>
        <row r="13">
          <cell r="B13">
            <v>77.507333275820002</v>
          </cell>
          <cell r="C13">
            <v>0.65993404583987558</v>
          </cell>
          <cell r="D13">
            <v>1.8357000996345616</v>
          </cell>
          <cell r="E13">
            <v>364.59669789351261</v>
          </cell>
        </row>
        <row r="14">
          <cell r="B14">
            <v>3.2455194086500008</v>
          </cell>
          <cell r="C14">
            <v>2.7633885255479725E-2</v>
          </cell>
          <cell r="D14">
            <v>7.6867569170817635E-2</v>
          </cell>
          <cell r="E14">
            <v>15.26701551106329</v>
          </cell>
        </row>
        <row r="15">
          <cell r="B15">
            <v>9.4437154102999994</v>
          </cell>
          <cell r="C15">
            <v>8.0408253710670896E-2</v>
          </cell>
          <cell r="D15">
            <v>0.22366695623388735</v>
          </cell>
          <cell r="E15">
            <v>44.423505608025067</v>
          </cell>
        </row>
        <row r="16">
          <cell r="B16">
            <v>611.64220833006004</v>
          </cell>
          <cell r="C16">
            <v>5.2078106688727663</v>
          </cell>
          <cell r="D16">
            <v>14.486263625876447</v>
          </cell>
          <cell r="E16">
            <v>2877.1823261658524</v>
          </cell>
        </row>
        <row r="17">
          <cell r="B17">
            <v>353.79252403217998</v>
          </cell>
          <cell r="C17">
            <v>3.0123566623249665</v>
          </cell>
          <cell r="D17">
            <v>8.3792970828277369</v>
          </cell>
          <cell r="E17">
            <v>1664.2500851178888</v>
          </cell>
        </row>
        <row r="18">
          <cell r="B18">
            <v>-2.244328521E-2</v>
          </cell>
          <cell r="C18">
            <v>-1.9109273128861687E-4</v>
          </cell>
          <cell r="D18">
            <v>-5.3155152106074079E-4</v>
          </cell>
          <cell r="E18">
            <v>-0.10557385129390182</v>
          </cell>
        </row>
        <row r="19">
          <cell r="B19">
            <v>160.60670028164003</v>
          </cell>
          <cell r="C19">
            <v>1.3674813082353938</v>
          </cell>
          <cell r="D19">
            <v>3.8038431106874597</v>
          </cell>
          <cell r="E19">
            <v>755.49848133566206</v>
          </cell>
        </row>
        <row r="20">
          <cell r="B20">
            <v>99.843386388089996</v>
          </cell>
          <cell r="C20">
            <v>0.85011375239769671</v>
          </cell>
          <cell r="D20">
            <v>2.3647119129777567</v>
          </cell>
          <cell r="E20">
            <v>469.66612635297849</v>
          </cell>
        </row>
        <row r="21">
          <cell r="B21">
            <v>28.419424528750003</v>
          </cell>
          <cell r="C21">
            <v>0.24197640425786623</v>
          </cell>
          <cell r="D21">
            <v>0.67309167060787822</v>
          </cell>
          <cell r="E21">
            <v>133.68578044535391</v>
          </cell>
        </row>
        <row r="22">
          <cell r="B22">
            <v>6.7841339568700016</v>
          </cell>
          <cell r="C22">
            <v>5.7763320971766959E-2</v>
          </cell>
          <cell r="D22">
            <v>0.16067686571337167</v>
          </cell>
          <cell r="E22">
            <v>31.912758886180161</v>
          </cell>
        </row>
        <row r="23">
          <cell r="B23">
            <v>191.995</v>
          </cell>
          <cell r="C23">
            <v>1.6347361181958615</v>
          </cell>
          <cell r="D23">
            <v>4.5472502501810386</v>
          </cell>
          <cell r="E23">
            <v>903.14993502560753</v>
          </cell>
        </row>
        <row r="24">
          <cell r="B24">
            <v>138.96568597385999</v>
          </cell>
          <cell r="C24">
            <v>1.183219490358254</v>
          </cell>
          <cell r="D24">
            <v>3.291292743619441</v>
          </cell>
          <cell r="E24">
            <v>653.69853516018975</v>
          </cell>
        </row>
        <row r="25">
          <cell r="B25">
            <v>32.120721502510001</v>
          </cell>
          <cell r="C25">
            <v>0.27349099498770041</v>
          </cell>
          <cell r="D25">
            <v>0.76075397217783836</v>
          </cell>
          <cell r="E25">
            <v>151.09678657239795</v>
          </cell>
        </row>
        <row r="26">
          <cell r="B26">
            <v>29.319758713620001</v>
          </cell>
          <cell r="C26">
            <v>0.24964227477768924</v>
          </cell>
          <cell r="D26">
            <v>0.69441537615956783</v>
          </cell>
          <cell r="E26">
            <v>137.9209780315758</v>
          </cell>
        </row>
        <row r="27">
          <cell r="B27">
            <v>77.423705816309948</v>
          </cell>
          <cell r="C27">
            <v>0.65922200214845639</v>
          </cell>
          <cell r="D27">
            <v>1.8337194491687729</v>
          </cell>
          <cell r="E27">
            <v>364.20331194792618</v>
          </cell>
        </row>
        <row r="28">
          <cell r="B28"/>
          <cell r="C28"/>
          <cell r="D28"/>
          <cell r="E28"/>
        </row>
        <row r="29">
          <cell r="B29">
            <v>1127.2113864583</v>
          </cell>
          <cell r="C29">
            <v>9.597610178832868</v>
          </cell>
          <cell r="D29">
            <v>26.69711325336295</v>
          </cell>
          <cell r="E29">
            <v>5302.4343886035504</v>
          </cell>
        </row>
        <row r="30">
          <cell r="B30">
            <v>828.14596788186009</v>
          </cell>
          <cell r="C30">
            <v>7.0512259425232244</v>
          </cell>
          <cell r="D30">
            <v>19.613984528957559</v>
          </cell>
          <cell r="E30">
            <v>3895.6221624741311</v>
          </cell>
        </row>
        <row r="31">
          <cell r="B31">
            <v>87.533121672609994</v>
          </cell>
          <cell r="C31">
            <v>0.74529834389774996</v>
          </cell>
          <cell r="D31">
            <v>2.0731529957806352</v>
          </cell>
          <cell r="E31">
            <v>411.75829136803731</v>
          </cell>
        </row>
        <row r="32">
          <cell r="B32">
            <v>18.575220552490002</v>
          </cell>
          <cell r="C32">
            <v>0.15815820172717776</v>
          </cell>
          <cell r="D32">
            <v>0.43993945834255127</v>
          </cell>
          <cell r="E32">
            <v>87.378365244239049</v>
          </cell>
        </row>
        <row r="33">
          <cell r="B33">
            <v>81.090061680050013</v>
          </cell>
          <cell r="C33">
            <v>0.69043908776326435</v>
          </cell>
          <cell r="D33">
            <v>1.9205541980874672</v>
          </cell>
          <cell r="E33">
            <v>381.44995410067804</v>
          </cell>
        </row>
        <row r="34">
          <cell r="B34">
            <v>48.769144086289991</v>
          </cell>
          <cell r="C34">
            <v>0.41524352869270736</v>
          </cell>
          <cell r="D34">
            <v>1.1550587392770504</v>
          </cell>
          <cell r="E34">
            <v>229.41143942700228</v>
          </cell>
        </row>
        <row r="35">
          <cell r="B35">
            <v>55.326540070180009</v>
          </cell>
          <cell r="C35">
            <v>0.47107629546359991</v>
          </cell>
          <cell r="D35">
            <v>1.3103654948086008</v>
          </cell>
          <cell r="E35">
            <v>260.2576164461301</v>
          </cell>
        </row>
        <row r="36">
          <cell r="B36">
            <v>7.7713305148200007</v>
          </cell>
          <cell r="C36">
            <v>6.6168778765144376E-2</v>
          </cell>
          <cell r="D36">
            <v>0.18405783810909029</v>
          </cell>
          <cell r="E36">
            <v>36.556559543332924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/>
          <cell r="C38"/>
          <cell r="D38"/>
          <cell r="E38"/>
        </row>
        <row r="39">
          <cell r="B39">
            <v>359.7966874583862</v>
          </cell>
          <cell r="C39">
            <v>3.0634789457821912</v>
          </cell>
          <cell r="D39">
            <v>8.5215009612721975</v>
          </cell>
          <cell r="E39">
            <v>1692.4938404670452</v>
          </cell>
        </row>
        <row r="40">
          <cell r="B40">
            <v>142.63379301107994</v>
          </cell>
          <cell r="C40">
            <v>1.2144514862912306</v>
          </cell>
          <cell r="D40">
            <v>3.3781689677017819</v>
          </cell>
          <cell r="E40">
            <v>670.95341488274596</v>
          </cell>
        </row>
        <row r="41">
          <cell r="B41">
            <v>77.634383739106241</v>
          </cell>
          <cell r="C41">
            <v>0.6610158134961559</v>
          </cell>
          <cell r="D41">
            <v>1.8387091897200531</v>
          </cell>
          <cell r="E41">
            <v>365.19434688261094</v>
          </cell>
        </row>
        <row r="42">
          <cell r="B42">
            <v>25.102511717889996</v>
          </cell>
          <cell r="C42">
            <v>0.21373464185353588</v>
          </cell>
          <cell r="D42">
            <v>0.59453320497589901</v>
          </cell>
          <cell r="E42">
            <v>118.08292834184172</v>
          </cell>
        </row>
        <row r="43">
          <cell r="B43">
            <v>48.838753453650007</v>
          </cell>
          <cell r="C43">
            <v>0.41583621572616236</v>
          </cell>
          <cell r="D43">
            <v>1.1567073822789138</v>
          </cell>
          <cell r="E43">
            <v>229.73888386882822</v>
          </cell>
        </row>
        <row r="44">
          <cell r="B44">
            <v>20.125117873449994</v>
          </cell>
          <cell r="C44">
            <v>0.17135475960664495</v>
          </cell>
          <cell r="D44">
            <v>0.47664755480595006</v>
          </cell>
          <cell r="E44">
            <v>94.669126278231488</v>
          </cell>
        </row>
        <row r="45">
          <cell r="B45">
            <v>29.224977086240003</v>
          </cell>
          <cell r="C45">
            <v>0.24883525923239139</v>
          </cell>
          <cell r="D45">
            <v>0.692170548019167</v>
          </cell>
          <cell r="E45">
            <v>137.47512256341324</v>
          </cell>
        </row>
        <row r="46">
          <cell r="B46">
            <v>16.237150576969995</v>
          </cell>
          <cell r="C46">
            <v>0.13825076957607033</v>
          </cell>
          <cell r="D46">
            <v>0.38456411377043154</v>
          </cell>
          <cell r="E46">
            <v>76.380017649373457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</sheetData>
      <sheetData sheetId="1">
        <row r="5">
          <cell r="B5">
            <v>11744.709000000001</v>
          </cell>
          <cell r="C5"/>
          <cell r="D5"/>
          <cell r="E5"/>
        </row>
        <row r="6">
          <cell r="B6">
            <v>212583750</v>
          </cell>
          <cell r="C6"/>
          <cell r="D6"/>
          <cell r="E6"/>
        </row>
        <row r="7">
          <cell r="B7">
            <v>4222.2219899236061</v>
          </cell>
          <cell r="C7">
            <v>35.949992374639557</v>
          </cell>
          <cell r="D7">
            <v>100</v>
          </cell>
          <cell r="E7">
            <v>19861.452203771954</v>
          </cell>
        </row>
        <row r="8">
          <cell r="B8"/>
          <cell r="C8"/>
          <cell r="D8"/>
          <cell r="E8">
            <v>0</v>
          </cell>
        </row>
        <row r="9">
          <cell r="B9">
            <v>2735.21391600692</v>
          </cell>
          <cell r="C9">
            <v>23.288903250024497</v>
          </cell>
          <cell r="D9">
            <v>64.781385785364847</v>
          </cell>
          <cell r="E9">
            <v>12866.523974701358</v>
          </cell>
        </row>
        <row r="10">
          <cell r="B10">
            <v>994.87939435793999</v>
          </cell>
          <cell r="C10">
            <v>8.4708730915166974</v>
          </cell>
          <cell r="D10">
            <v>23.562934320654715</v>
          </cell>
          <cell r="E10">
            <v>4679.9409379030149</v>
          </cell>
        </row>
        <row r="11">
          <cell r="B11">
            <v>710.86420611845017</v>
          </cell>
          <cell r="C11">
            <v>6.0526336252217927</v>
          </cell>
          <cell r="D11">
            <v>16.836258439630551</v>
          </cell>
          <cell r="E11">
            <v>3343.9254228907439</v>
          </cell>
        </row>
        <row r="12">
          <cell r="B12">
            <v>611.64220833006004</v>
          </cell>
          <cell r="C12">
            <v>5.2078106688727663</v>
          </cell>
          <cell r="D12">
            <v>14.486263625876447</v>
          </cell>
          <cell r="E12">
            <v>2877.1823261658524</v>
          </cell>
        </row>
        <row r="13">
          <cell r="B13">
            <v>191.995</v>
          </cell>
          <cell r="C13">
            <v>1.6347361181958615</v>
          </cell>
          <cell r="D13">
            <v>4.5472502501810386</v>
          </cell>
          <cell r="E13">
            <v>903.14993502560753</v>
          </cell>
        </row>
        <row r="14">
          <cell r="B14">
            <v>225.83310720046995</v>
          </cell>
          <cell r="C14">
            <v>1.9228497462173815</v>
          </cell>
          <cell r="D14">
            <v>5.348679149022102</v>
          </cell>
          <cell r="E14">
            <v>1062.325352716141</v>
          </cell>
        </row>
        <row r="15">
          <cell r="B15"/>
          <cell r="C15"/>
          <cell r="D15"/>
          <cell r="E15">
            <v>0</v>
          </cell>
        </row>
        <row r="16">
          <cell r="B16">
            <v>1127.2113864583002</v>
          </cell>
          <cell r="C16">
            <v>9.597610178832868</v>
          </cell>
          <cell r="D16">
            <v>26.697113253362954</v>
          </cell>
          <cell r="E16">
            <v>5302.4343886035522</v>
          </cell>
        </row>
        <row r="17">
          <cell r="B17">
            <v>828.14596788186009</v>
          </cell>
          <cell r="C17">
            <v>7.0512259425232244</v>
          </cell>
          <cell r="D17">
            <v>19.613984528957559</v>
          </cell>
          <cell r="E17">
            <v>3895.6221624741311</v>
          </cell>
        </row>
        <row r="18">
          <cell r="B18">
            <v>87.533121672609994</v>
          </cell>
          <cell r="C18">
            <v>0.74529834389774996</v>
          </cell>
          <cell r="D18">
            <v>2.0731529957806352</v>
          </cell>
          <cell r="E18">
            <v>411.75829136803731</v>
          </cell>
        </row>
        <row r="19">
          <cell r="B19">
            <v>211.53229690383003</v>
          </cell>
          <cell r="C19">
            <v>1.8010858924118938</v>
          </cell>
          <cell r="D19">
            <v>5.0099757286247595</v>
          </cell>
          <cell r="E19">
            <v>995.05393476138238</v>
          </cell>
        </row>
        <row r="20">
          <cell r="B20"/>
          <cell r="C20"/>
          <cell r="D20"/>
          <cell r="E20">
            <v>0</v>
          </cell>
        </row>
        <row r="21">
          <cell r="B21">
            <v>359.79668745838615</v>
          </cell>
          <cell r="C21">
            <v>3.0634789457821912</v>
          </cell>
          <cell r="D21">
            <v>8.5215009612721957</v>
          </cell>
          <cell r="E21">
            <v>1692.4938404670449</v>
          </cell>
        </row>
        <row r="22">
          <cell r="B22">
            <v>142.63379301107994</v>
          </cell>
          <cell r="C22">
            <v>1.2144514862912306</v>
          </cell>
          <cell r="D22">
            <v>3.3781689677017819</v>
          </cell>
          <cell r="E22">
            <v>670.95341488274596</v>
          </cell>
        </row>
        <row r="23">
          <cell r="B23">
            <v>77.634383739106241</v>
          </cell>
          <cell r="C23">
            <v>0.6610158134961559</v>
          </cell>
          <cell r="D23">
            <v>1.8387091897200531</v>
          </cell>
          <cell r="E23">
            <v>365.19434688261094</v>
          </cell>
        </row>
        <row r="24">
          <cell r="B24">
            <v>139.5285107082</v>
          </cell>
          <cell r="C24">
            <v>1.1880116459948049</v>
          </cell>
          <cell r="D24">
            <v>3.3046228038503616</v>
          </cell>
          <cell r="E24">
            <v>656.34607870168827</v>
          </cell>
        </row>
      </sheetData>
      <sheetData sheetId="2">
        <row r="5">
          <cell r="B5">
            <v>11744.709000000001</v>
          </cell>
          <cell r="C5"/>
          <cell r="D5"/>
          <cell r="E5"/>
        </row>
        <row r="6">
          <cell r="B6">
            <v>212583750</v>
          </cell>
          <cell r="C6"/>
          <cell r="D6"/>
          <cell r="E6"/>
        </row>
        <row r="7">
          <cell r="B7">
            <v>4222.2219899236061</v>
          </cell>
          <cell r="C7">
            <v>35.949992374639557</v>
          </cell>
          <cell r="D7">
            <v>99.999468448478922</v>
          </cell>
          <cell r="E7">
            <v>19861.452203771954</v>
          </cell>
        </row>
        <row r="8">
          <cell r="B8"/>
          <cell r="C8"/>
          <cell r="D8"/>
          <cell r="E8">
            <v>0</v>
          </cell>
        </row>
        <row r="9">
          <cell r="B9">
            <v>828.14596788186009</v>
          </cell>
          <cell r="C9">
            <v>7.0512259425232244</v>
          </cell>
          <cell r="D9">
            <v>19.613984528957559</v>
          </cell>
          <cell r="E9">
            <v>3895.6221624741311</v>
          </cell>
        </row>
        <row r="10">
          <cell r="B10">
            <v>673.08268854619007</v>
          </cell>
          <cell r="C10">
            <v>5.7309439386381564</v>
          </cell>
          <cell r="D10">
            <v>15.941432974213853</v>
          </cell>
          <cell r="E10">
            <v>3166.2000907698261</v>
          </cell>
        </row>
        <row r="11">
          <cell r="B11">
            <v>894.47914808829</v>
          </cell>
          <cell r="C11">
            <v>7.6160179710564977</v>
          </cell>
          <cell r="D11">
            <v>21.185033620282816</v>
          </cell>
          <cell r="E11">
            <v>4207.6553268454909</v>
          </cell>
        </row>
        <row r="12">
          <cell r="B12">
            <v>353.79252403217998</v>
          </cell>
          <cell r="C12">
            <v>3.0123566623249665</v>
          </cell>
          <cell r="D12">
            <v>8.3792970828277369</v>
          </cell>
          <cell r="E12">
            <v>1664.2500851178888</v>
          </cell>
        </row>
        <row r="13">
          <cell r="B13">
            <v>191.995</v>
          </cell>
          <cell r="C13">
            <v>1.6347361181958615</v>
          </cell>
          <cell r="D13">
            <v>4.5472502501810386</v>
          </cell>
          <cell r="E13">
            <v>903.14993502560753</v>
          </cell>
        </row>
        <row r="14">
          <cell r="B14">
            <v>82.173979121600013</v>
          </cell>
          <cell r="C14">
            <v>0.69966807284539789</v>
          </cell>
          <cell r="D14">
            <v>1.9462259283786927</v>
          </cell>
          <cell r="E14">
            <v>386.54873254235099</v>
          </cell>
        </row>
        <row r="15">
          <cell r="B15">
            <v>160.60670028164003</v>
          </cell>
          <cell r="C15">
            <v>1.3674813082353938</v>
          </cell>
          <cell r="D15">
            <v>3.8038431106874597</v>
          </cell>
          <cell r="E15">
            <v>755.49848133566206</v>
          </cell>
        </row>
        <row r="16">
          <cell r="B16">
            <v>99.843386388089996</v>
          </cell>
          <cell r="C16">
            <v>0.85011375239769671</v>
          </cell>
          <cell r="D16">
            <v>2.3647119129777567</v>
          </cell>
          <cell r="E16">
            <v>469.66612635297849</v>
          </cell>
        </row>
        <row r="17">
          <cell r="B17">
            <v>142.63379301107994</v>
          </cell>
          <cell r="C17">
            <v>1.2144514862912306</v>
          </cell>
          <cell r="D17">
            <v>3.3781689677017819</v>
          </cell>
          <cell r="E17">
            <v>670.95341488274596</v>
          </cell>
        </row>
        <row r="18">
          <cell r="B18">
            <v>77.507333275820002</v>
          </cell>
          <cell r="C18">
            <v>0.65993404583987558</v>
          </cell>
          <cell r="D18">
            <v>1.8357000996345616</v>
          </cell>
          <cell r="E18">
            <v>364.59669789351261</v>
          </cell>
        </row>
        <row r="19">
          <cell r="B19">
            <v>87.533121672609994</v>
          </cell>
          <cell r="C19">
            <v>0.74529834389774996</v>
          </cell>
          <cell r="D19">
            <v>2.0731529957806352</v>
          </cell>
          <cell r="E19">
            <v>411.75829136803731</v>
          </cell>
        </row>
        <row r="20">
          <cell r="B20">
            <v>77.634383739106241</v>
          </cell>
          <cell r="C20">
            <v>0.6610158134961559</v>
          </cell>
          <cell r="D20">
            <v>1.8387091897200531</v>
          </cell>
          <cell r="E20">
            <v>365.19434688261094</v>
          </cell>
        </row>
        <row r="21">
          <cell r="B21">
            <v>67.402229597279984</v>
          </cell>
          <cell r="C21">
            <v>0.57389442000887358</v>
          </cell>
          <cell r="D21">
            <v>1.5963686835542132</v>
          </cell>
          <cell r="E21">
            <v>317.06200308010364</v>
          </cell>
        </row>
        <row r="22">
          <cell r="B22">
            <v>25.102511717889996</v>
          </cell>
          <cell r="C22">
            <v>0.21373464185353588</v>
          </cell>
          <cell r="D22">
            <v>0.59453320497589901</v>
          </cell>
          <cell r="E22">
            <v>118.08292834184172</v>
          </cell>
        </row>
        <row r="23">
          <cell r="B23">
            <v>18.575220552490002</v>
          </cell>
          <cell r="C23">
            <v>0.15815820172717776</v>
          </cell>
          <cell r="D23">
            <v>0.43993945834255127</v>
          </cell>
          <cell r="E23">
            <v>87.378365244239049</v>
          </cell>
        </row>
        <row r="24">
          <cell r="B24">
            <v>3.2455194086500008</v>
          </cell>
          <cell r="C24">
            <v>2.7633885255479725E-2</v>
          </cell>
          <cell r="D24">
            <v>7.6867569170817635E-2</v>
          </cell>
          <cell r="E24">
            <v>15.26701551106329</v>
          </cell>
        </row>
        <row r="25">
          <cell r="B25">
            <v>-2.244328521E-2</v>
          </cell>
          <cell r="C25">
            <v>-1.9109273128861687E-4</v>
          </cell>
          <cell r="D25">
            <v>-5.3155152106074079E-4</v>
          </cell>
          <cell r="E25">
            <v>-0.10557385129390182</v>
          </cell>
        </row>
        <row r="26">
          <cell r="B26">
            <v>438.46848260882916</v>
          </cell>
          <cell r="C26">
            <v>3.7333277700522776</v>
          </cell>
          <cell r="D26">
            <v>10.384780422612563</v>
          </cell>
          <cell r="E26">
            <v>2062.5682001038608</v>
          </cell>
        </row>
      </sheetData>
      <sheetData sheetId="3">
        <row r="5">
          <cell r="B5">
            <v>11744.709000000001</v>
          </cell>
          <cell r="C5"/>
          <cell r="D5"/>
          <cell r="E5"/>
        </row>
        <row r="6">
          <cell r="B6">
            <v>212583750</v>
          </cell>
          <cell r="C6"/>
          <cell r="D6"/>
          <cell r="E6"/>
        </row>
        <row r="7">
          <cell r="B7">
            <v>4222.2219899236061</v>
          </cell>
          <cell r="C7">
            <v>35.949992374639557</v>
          </cell>
          <cell r="D7">
            <v>100</v>
          </cell>
          <cell r="E7">
            <v>19861.452203771954</v>
          </cell>
        </row>
        <row r="8">
          <cell r="B8"/>
          <cell r="C8"/>
          <cell r="D8"/>
          <cell r="E8"/>
        </row>
        <row r="9">
          <cell r="B9">
            <v>1669.5638175004599</v>
          </cell>
          <cell r="C9">
            <v>14.215454955081984</v>
          </cell>
          <cell r="D9">
            <v>39.542303116342488</v>
          </cell>
          <cell r="E9">
            <v>7853.6756337229917</v>
          </cell>
        </row>
        <row r="10">
          <cell r="B10">
            <v>978.14269942836006</v>
          </cell>
          <cell r="C10">
            <v>8.3283689653644029</v>
          </cell>
          <cell r="D10">
            <v>23.166538892618902</v>
          </cell>
          <cell r="E10">
            <v>4601.211049425744</v>
          </cell>
        </row>
        <row r="11">
          <cell r="B11">
            <v>1059.4861025815901</v>
          </cell>
          <cell r="C11">
            <v>9.0209651220953209</v>
          </cell>
          <cell r="D11">
            <v>25.093093283822331</v>
          </cell>
          <cell r="E11">
            <v>4983.8527290142829</v>
          </cell>
        </row>
        <row r="12">
          <cell r="B12">
            <v>212.09075709074622</v>
          </cell>
          <cell r="C12">
            <v>1.8058408862300992</v>
          </cell>
          <cell r="D12">
            <v>5.0232024179899559</v>
          </cell>
          <cell r="E12">
            <v>997.6809473477922</v>
          </cell>
        </row>
        <row r="13">
          <cell r="B13">
            <v>77.507333275820002</v>
          </cell>
          <cell r="C13">
            <v>0.65993404583987558</v>
          </cell>
          <cell r="D13">
            <v>1.8357000996345616</v>
          </cell>
          <cell r="E13">
            <v>364.59669789351261</v>
          </cell>
        </row>
        <row r="14">
          <cell r="B14">
            <v>78.337977370039994</v>
          </cell>
          <cell r="C14">
            <v>0.6670065420100233</v>
          </cell>
          <cell r="D14">
            <v>1.8553732503168878</v>
          </cell>
          <cell r="E14">
            <v>368.50407131325886</v>
          </cell>
        </row>
        <row r="15">
          <cell r="B15">
            <v>67.379786312069982</v>
          </cell>
          <cell r="C15">
            <v>0.573703327277585</v>
          </cell>
          <cell r="D15">
            <v>1.5958371320331528</v>
          </cell>
          <cell r="E15">
            <v>316.95642922880972</v>
          </cell>
        </row>
        <row r="16">
          <cell r="B16">
            <v>79.713516364519947</v>
          </cell>
          <cell r="C16">
            <v>0.67871853074026733</v>
          </cell>
          <cell r="D16">
            <v>1.8879518072417178</v>
          </cell>
          <cell r="E16">
            <v>374.97464582556262</v>
          </cell>
        </row>
      </sheetData>
      <sheetData sheetId="4">
        <row r="5">
          <cell r="B5">
            <v>11744.709000000001</v>
          </cell>
          <cell r="C5"/>
          <cell r="D5"/>
          <cell r="E5"/>
        </row>
        <row r="6">
          <cell r="B6">
            <v>212583750</v>
          </cell>
          <cell r="C6"/>
          <cell r="D6"/>
          <cell r="E6"/>
        </row>
        <row r="7">
          <cell r="B7">
            <v>4222.221989923607</v>
          </cell>
          <cell r="C7">
            <v>35.949992374639564</v>
          </cell>
          <cell r="D7">
            <v>99.999999999999986</v>
          </cell>
          <cell r="E7">
            <v>19861.452203771958</v>
          </cell>
        </row>
        <row r="8">
          <cell r="B8"/>
          <cell r="C8"/>
          <cell r="D8"/>
          <cell r="E8"/>
        </row>
        <row r="9">
          <cell r="B9">
            <v>2176.5729523842338</v>
          </cell>
          <cell r="C9">
            <v>18.532370213550916</v>
          </cell>
          <cell r="D9">
            <v>51.55041486635843</v>
          </cell>
          <cell r="E9">
            <v>10238.661009527932</v>
          </cell>
        </row>
        <row r="10">
          <cell r="B10"/>
          <cell r="C10"/>
          <cell r="D10"/>
          <cell r="E10"/>
        </row>
        <row r="11">
          <cell r="B11">
            <v>1063.1728700254369</v>
          </cell>
          <cell r="C11">
            <v>9.0523560015444975</v>
          </cell>
          <cell r="D11">
            <v>25.180411464928042</v>
          </cell>
          <cell r="E11">
            <v>5001.1953878197974</v>
          </cell>
        </row>
        <row r="12">
          <cell r="B12"/>
          <cell r="C12"/>
          <cell r="D12"/>
          <cell r="E12"/>
        </row>
        <row r="13">
          <cell r="B13">
            <v>982.47616751393616</v>
          </cell>
          <cell r="C13">
            <v>8.3652661595441486</v>
          </cell>
          <cell r="D13">
            <v>23.26917366871352</v>
          </cell>
          <cell r="E13">
            <v>4621.5958064242268</v>
          </cell>
        </row>
        <row r="14">
          <cell r="B14"/>
          <cell r="C14"/>
          <cell r="D14"/>
          <cell r="E14"/>
        </row>
        <row r="15">
          <cell r="B15"/>
          <cell r="C15"/>
          <cell r="D15"/>
          <cell r="E15"/>
        </row>
        <row r="16">
          <cell r="B16"/>
          <cell r="C16"/>
          <cell r="D16"/>
          <cell r="E16"/>
        </row>
        <row r="17">
          <cell r="B17">
            <v>252.50395722165669</v>
          </cell>
          <cell r="C17">
            <v>2.149937961184536</v>
          </cell>
          <cell r="D17">
            <v>5.980357210593402</v>
          </cell>
          <cell r="E17">
            <v>1187.7857889968386</v>
          </cell>
        </row>
        <row r="18">
          <cell r="B18">
            <v>149.83112801600001</v>
          </cell>
          <cell r="C18">
            <v>1.2757329961602284</v>
          </cell>
          <cell r="D18">
            <v>3.5486321745652916</v>
          </cell>
          <cell r="E18">
            <v>704.80988323895872</v>
          </cell>
        </row>
        <row r="19">
          <cell r="B19">
            <v>6.7654935690000002</v>
          </cell>
          <cell r="C19">
            <v>5.7604607904716915E-2</v>
          </cell>
          <cell r="D19">
            <v>0.16023538281847677</v>
          </cell>
          <cell r="E19">
            <v>31.825073972022793</v>
          </cell>
        </row>
        <row r="20">
          <cell r="B20">
            <v>3.6919629999999999E-3</v>
          </cell>
          <cell r="C20">
            <v>3.1435116868370253E-5</v>
          </cell>
          <cell r="D20">
            <v>8.7441233758218354E-5</v>
          </cell>
          <cell r="E20">
            <v>1.7367098849277049E-2</v>
          </cell>
        </row>
        <row r="21">
          <cell r="B21">
            <v>3</v>
          </cell>
          <cell r="C21">
            <v>2.5543417039962418E-2</v>
          </cell>
          <cell r="D21">
            <v>7.1052635488127888E-2</v>
          </cell>
          <cell r="E21">
            <v>14.112085236994831</v>
          </cell>
        </row>
        <row r="22">
          <cell r="B22">
            <v>36.667704139649992</v>
          </cell>
          <cell r="C22">
            <v>0.31220615291234538</v>
          </cell>
          <cell r="D22">
            <v>0.86844567214035617</v>
          </cell>
          <cell r="E22">
            <v>172.48592208788298</v>
          </cell>
        </row>
        <row r="23">
          <cell r="B23">
            <v>21.413814335006677</v>
          </cell>
          <cell r="C23">
            <v>0.18232732999180035</v>
          </cell>
          <cell r="D23">
            <v>0.50716931478522564</v>
          </cell>
          <cell r="E23">
            <v>100.73119104826533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0.73765312999999999</v>
          </cell>
          <cell r="C25">
            <v>6.2807271768078711E-3</v>
          </cell>
          <cell r="D25">
            <v>1.7470732987522206E-2</v>
          </cell>
          <cell r="E25">
            <v>3.469941281965343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0.67447999999999997</v>
          </cell>
          <cell r="C27">
            <v>5.7428413083712836E-3</v>
          </cell>
          <cell r="D27">
            <v>1.5974527194677499E-2</v>
          </cell>
          <cell r="E27">
            <v>3.1727730835494246</v>
          </cell>
        </row>
        <row r="28">
          <cell r="B28">
            <v>33.409992068999998</v>
          </cell>
          <cell r="C28">
            <v>0.28446845357343459</v>
          </cell>
          <cell r="D28">
            <v>0.79128932937996677</v>
          </cell>
          <cell r="E28">
            <v>157.16155194834974</v>
          </cell>
        </row>
        <row r="29">
          <cell r="B29"/>
          <cell r="C29"/>
          <cell r="D29"/>
          <cell r="E29"/>
        </row>
        <row r="30">
          <cell r="B30">
            <v>306.13700640103002</v>
          </cell>
          <cell r="C30">
            <v>2.606595075289051</v>
          </cell>
          <cell r="D30">
            <v>7.2506137084130184</v>
          </cell>
          <cell r="E30">
            <v>1440.0771761765893</v>
          </cell>
        </row>
        <row r="31">
          <cell r="B31">
            <v>177.03413749000001</v>
          </cell>
          <cell r="C31">
            <v>1.5073522680723719</v>
          </cell>
          <cell r="D31">
            <v>4.1929140133440281</v>
          </cell>
          <cell r="E31">
            <v>832.77361270558072</v>
          </cell>
        </row>
        <row r="32">
          <cell r="B32">
            <v>2.5175990690000001</v>
          </cell>
          <cell r="C32">
            <v>2.1436027652962708E-2</v>
          </cell>
          <cell r="D32">
            <v>5.9627349651635714E-2</v>
          </cell>
          <cell r="E32">
            <v>11.84285755143561</v>
          </cell>
        </row>
        <row r="33">
          <cell r="B33">
            <v>8.6145690000000007E-3</v>
          </cell>
          <cell r="C33">
            <v>7.3348509528844006E-5</v>
          </cell>
          <cell r="D33">
            <v>2.0402927701477542E-4</v>
          </cell>
          <cell r="E33">
            <v>4.052317733599111E-2</v>
          </cell>
        </row>
        <row r="34">
          <cell r="B34">
            <v>0.98556337599999999</v>
          </cell>
          <cell r="C34">
            <v>8.3915521108270975E-3</v>
          </cell>
          <cell r="D34">
            <v>2.3342291768458912E-2</v>
          </cell>
          <cell r="E34">
            <v>4.6361181228574617</v>
          </cell>
        </row>
        <row r="35">
          <cell r="B35">
            <v>89.855047377030004</v>
          </cell>
          <cell r="C35">
            <v>0.76506831609901949</v>
          </cell>
          <cell r="D35">
            <v>2.1281459760161914</v>
          </cell>
          <cell r="E35">
            <v>422.68069585295206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0.24155149200000001</v>
          </cell>
          <cell r="C37">
            <v>2.0566834989270487E-3</v>
          </cell>
          <cell r="D37">
            <v>5.7209567042298126E-3</v>
          </cell>
          <cell r="E37">
            <v>1.1362650814090918</v>
          </cell>
        </row>
        <row r="38">
          <cell r="B38">
            <v>0.31391649999999999</v>
          </cell>
          <cell r="C38">
            <v>2.6728333584084543E-3</v>
          </cell>
          <cell r="D38">
            <v>7.4348648827362983E-3</v>
          </cell>
          <cell r="E38">
            <v>1.4766721350996961</v>
          </cell>
        </row>
        <row r="39">
          <cell r="B39">
            <v>35.180576528000003</v>
          </cell>
          <cell r="C39">
            <v>0.29954404598700574</v>
          </cell>
          <cell r="D39">
            <v>0.8332242267687241</v>
          </cell>
          <cell r="E39">
            <v>165.49043154991855</v>
          </cell>
        </row>
        <row r="40">
          <cell r="B40"/>
          <cell r="C40"/>
          <cell r="D40"/>
          <cell r="E40"/>
        </row>
        <row r="41">
          <cell r="B41">
            <v>316.54247365451999</v>
          </cell>
          <cell r="C41">
            <v>2.6951921384729074</v>
          </cell>
          <cell r="D41">
            <v>7.4970589990283116</v>
          </cell>
          <cell r="E41">
            <v>1489.0247897805925</v>
          </cell>
        </row>
        <row r="42">
          <cell r="B42">
            <v>161.08285906801501</v>
          </cell>
          <cell r="C42">
            <v>1.3715355490545997</v>
          </cell>
          <cell r="D42">
            <v>3.8151205562483819</v>
          </cell>
          <cell r="E42">
            <v>757.73834579555125</v>
          </cell>
        </row>
        <row r="43">
          <cell r="B43">
            <v>43.766560836304997</v>
          </cell>
          <cell r="C43">
            <v>0.37264917194887498</v>
          </cell>
          <cell r="D43">
            <v>1.0365764978903176</v>
          </cell>
          <cell r="E43">
            <v>205.87914568401865</v>
          </cell>
        </row>
        <row r="44">
          <cell r="B44">
            <v>1.6913733922500001</v>
          </cell>
          <cell r="C44">
            <v>1.4401151976179229E-2</v>
          </cell>
          <cell r="D44">
            <v>4.0058845704619192E-2</v>
          </cell>
          <cell r="E44">
            <v>7.9562684930056982</v>
          </cell>
        </row>
        <row r="45">
          <cell r="B45">
            <v>109.83306035795</v>
          </cell>
          <cell r="C45">
            <v>0.93517055516616032</v>
          </cell>
          <cell r="D45">
            <v>2.6013094673863235</v>
          </cell>
          <cell r="E45">
            <v>516.65783653712947</v>
          </cell>
        </row>
        <row r="46">
          <cell r="B46">
            <v>0.16861999999999999</v>
          </cell>
          <cell r="C46">
            <v>1.4357103270928209E-3</v>
          </cell>
          <cell r="D46">
            <v>3.9936317986693746E-3</v>
          </cell>
          <cell r="E46">
            <v>0.79319327088735614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GOVDetalhado"/>
      <sheetName val="AD ESFERA"/>
      <sheetName val="PRINCIPAIS TRIBUTOS"/>
      <sheetName val="Bases de Incidência"/>
      <sheetName val="RD ESFERA"/>
      <sheetName val="RD ESFERA DETALHADA"/>
      <sheetName val="Impostos"/>
      <sheetName val="Contribuições"/>
      <sheetName val="Patrimoniais"/>
      <sheetName val="Multas"/>
      <sheetName val="Estados"/>
      <sheetName val="Municipios"/>
      <sheetName val="Transferencias"/>
      <sheetName val="Gráficos"/>
    </sheetNames>
    <sheetDataSet>
      <sheetData sheetId="0"/>
      <sheetData sheetId="1"/>
      <sheetData sheetId="2"/>
      <sheetData sheetId="3"/>
      <sheetData sheetId="4">
        <row r="37">
          <cell r="B37"/>
          <cell r="C37"/>
          <cell r="D37"/>
          <cell r="E37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58"/>
  <sheetViews>
    <sheetView showZeros="0" zoomScaleNormal="100" workbookViewId="0">
      <pane xSplit="1" ySplit="4" topLeftCell="CK20" activePane="bottomRight" state="frozen"/>
      <selection pane="topRight" activeCell="B1" sqref="B1"/>
      <selection pane="bottomLeft" activeCell="A5" sqref="A5"/>
      <selection pane="bottomRight" activeCell="CX43" sqref="CX43"/>
    </sheetView>
  </sheetViews>
  <sheetFormatPr defaultColWidth="9.109375" defaultRowHeight="13.2" x14ac:dyDescent="0.25"/>
  <cols>
    <col min="1" max="1" width="35" style="13" customWidth="1"/>
    <col min="2" max="101" width="11.109375" style="13" customWidth="1"/>
    <col min="102" max="16384" width="9.109375" style="13"/>
  </cols>
  <sheetData>
    <row r="1" spans="1:101" x14ac:dyDescent="0.25">
      <c r="A1" s="9" t="s">
        <v>126</v>
      </c>
      <c r="B1" s="9"/>
      <c r="C1" s="9"/>
      <c r="D1" s="9"/>
      <c r="E1" s="10"/>
      <c r="F1" s="9"/>
      <c r="G1" s="9"/>
      <c r="H1" s="9"/>
      <c r="I1" s="10"/>
      <c r="J1" s="9"/>
      <c r="K1" s="9"/>
      <c r="L1" s="9"/>
      <c r="M1" s="10"/>
      <c r="N1" s="10"/>
      <c r="O1" s="10"/>
      <c r="P1" s="10"/>
      <c r="Q1" s="10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11"/>
      <c r="AI1" s="12"/>
      <c r="AJ1" s="12"/>
      <c r="AK1" s="9"/>
    </row>
    <row r="2" spans="1:101" ht="13.8" thickBot="1" x14ac:dyDescent="0.3">
      <c r="E2" s="14"/>
      <c r="I2" s="14"/>
      <c r="M2" s="14"/>
      <c r="N2" s="14"/>
      <c r="O2" s="14"/>
      <c r="P2" s="14"/>
      <c r="Q2" s="14"/>
      <c r="AH2" s="15"/>
    </row>
    <row r="3" spans="1:101" x14ac:dyDescent="0.25">
      <c r="A3" s="113" t="s">
        <v>0</v>
      </c>
      <c r="B3" s="110">
        <v>2000</v>
      </c>
      <c r="C3" s="111"/>
      <c r="D3" s="111"/>
      <c r="E3" s="112"/>
      <c r="F3" s="110">
        <v>2001</v>
      </c>
      <c r="G3" s="111"/>
      <c r="H3" s="111"/>
      <c r="I3" s="112"/>
      <c r="J3" s="110">
        <v>2002</v>
      </c>
      <c r="K3" s="111"/>
      <c r="L3" s="111"/>
      <c r="M3" s="112"/>
      <c r="N3" s="110">
        <v>2003</v>
      </c>
      <c r="O3" s="111"/>
      <c r="P3" s="111"/>
      <c r="Q3" s="112"/>
      <c r="R3" s="110">
        <v>2004</v>
      </c>
      <c r="S3" s="111"/>
      <c r="T3" s="111"/>
      <c r="U3" s="112"/>
      <c r="V3" s="110">
        <v>2005</v>
      </c>
      <c r="W3" s="111"/>
      <c r="X3" s="111"/>
      <c r="Y3" s="112"/>
      <c r="Z3" s="110">
        <v>2006</v>
      </c>
      <c r="AA3" s="111"/>
      <c r="AB3" s="111"/>
      <c r="AC3" s="112"/>
      <c r="AD3" s="110">
        <v>2007</v>
      </c>
      <c r="AE3" s="111"/>
      <c r="AF3" s="111"/>
      <c r="AG3" s="112"/>
      <c r="AH3" s="110">
        <v>2008</v>
      </c>
      <c r="AI3" s="111"/>
      <c r="AJ3" s="111"/>
      <c r="AK3" s="112"/>
      <c r="AL3" s="110">
        <v>2009</v>
      </c>
      <c r="AM3" s="111"/>
      <c r="AN3" s="111"/>
      <c r="AO3" s="112"/>
      <c r="AP3" s="110">
        <v>2010</v>
      </c>
      <c r="AQ3" s="111"/>
      <c r="AR3" s="111"/>
      <c r="AS3" s="112"/>
      <c r="AT3" s="110">
        <v>2011</v>
      </c>
      <c r="AU3" s="111"/>
      <c r="AV3" s="111"/>
      <c r="AW3" s="112"/>
      <c r="AX3" s="110">
        <v>2012</v>
      </c>
      <c r="AY3" s="111"/>
      <c r="AZ3" s="111"/>
      <c r="BA3" s="112"/>
      <c r="BB3" s="110">
        <v>2013</v>
      </c>
      <c r="BC3" s="111"/>
      <c r="BD3" s="111"/>
      <c r="BE3" s="112"/>
      <c r="BF3" s="110">
        <v>2014</v>
      </c>
      <c r="BG3" s="111"/>
      <c r="BH3" s="111"/>
      <c r="BI3" s="112"/>
      <c r="BJ3" s="110">
        <v>2015</v>
      </c>
      <c r="BK3" s="111"/>
      <c r="BL3" s="111"/>
      <c r="BM3" s="112"/>
      <c r="BN3" s="110">
        <v>2016</v>
      </c>
      <c r="BO3" s="111"/>
      <c r="BP3" s="111"/>
      <c r="BQ3" s="112"/>
      <c r="BR3" s="110">
        <v>2017</v>
      </c>
      <c r="BS3" s="111"/>
      <c r="BT3" s="111"/>
      <c r="BU3" s="112"/>
      <c r="BV3" s="110">
        <v>2018</v>
      </c>
      <c r="BW3" s="111"/>
      <c r="BX3" s="111"/>
      <c r="BY3" s="112"/>
      <c r="BZ3" s="110">
        <v>2019</v>
      </c>
      <c r="CA3" s="111"/>
      <c r="CB3" s="111"/>
      <c r="CC3" s="112"/>
      <c r="CD3" s="110">
        <v>2020</v>
      </c>
      <c r="CE3" s="111"/>
      <c r="CF3" s="111"/>
      <c r="CG3" s="112"/>
      <c r="CH3" s="110">
        <v>2021</v>
      </c>
      <c r="CI3" s="111"/>
      <c r="CJ3" s="111"/>
      <c r="CK3" s="112"/>
      <c r="CL3" s="110">
        <v>2022</v>
      </c>
      <c r="CM3" s="111"/>
      <c r="CN3" s="111"/>
      <c r="CO3" s="112"/>
      <c r="CP3" s="110">
        <v>2023</v>
      </c>
      <c r="CQ3" s="111"/>
      <c r="CR3" s="111"/>
      <c r="CS3" s="112"/>
      <c r="CT3" s="110">
        <v>2024</v>
      </c>
      <c r="CU3" s="111"/>
      <c r="CV3" s="111"/>
      <c r="CW3" s="112"/>
    </row>
    <row r="4" spans="1:101" ht="22.8" x14ac:dyDescent="0.25">
      <c r="A4" s="114"/>
      <c r="B4" s="16" t="s">
        <v>84</v>
      </c>
      <c r="C4" s="17" t="s">
        <v>81</v>
      </c>
      <c r="D4" s="17" t="s">
        <v>82</v>
      </c>
      <c r="E4" s="18" t="s">
        <v>116</v>
      </c>
      <c r="F4" s="16" t="s">
        <v>120</v>
      </c>
      <c r="G4" s="17" t="s">
        <v>81</v>
      </c>
      <c r="H4" s="17" t="s">
        <v>125</v>
      </c>
      <c r="I4" s="18" t="s">
        <v>116</v>
      </c>
      <c r="J4" s="16" t="s">
        <v>120</v>
      </c>
      <c r="K4" s="17" t="s">
        <v>81</v>
      </c>
      <c r="L4" s="17" t="s">
        <v>82</v>
      </c>
      <c r="M4" s="18" t="s">
        <v>116</v>
      </c>
      <c r="N4" s="16" t="s">
        <v>84</v>
      </c>
      <c r="O4" s="17" t="s">
        <v>81</v>
      </c>
      <c r="P4" s="17" t="s">
        <v>82</v>
      </c>
      <c r="Q4" s="18" t="s">
        <v>116</v>
      </c>
      <c r="R4" s="16" t="s">
        <v>84</v>
      </c>
      <c r="S4" s="17" t="s">
        <v>81</v>
      </c>
      <c r="T4" s="17" t="s">
        <v>82</v>
      </c>
      <c r="U4" s="18" t="s">
        <v>116</v>
      </c>
      <c r="V4" s="16" t="s">
        <v>84</v>
      </c>
      <c r="W4" s="17" t="s">
        <v>81</v>
      </c>
      <c r="X4" s="17" t="s">
        <v>82</v>
      </c>
      <c r="Y4" s="18" t="s">
        <v>116</v>
      </c>
      <c r="Z4" s="16" t="s">
        <v>84</v>
      </c>
      <c r="AA4" s="17" t="s">
        <v>81</v>
      </c>
      <c r="AB4" s="17" t="s">
        <v>82</v>
      </c>
      <c r="AC4" s="18" t="s">
        <v>116</v>
      </c>
      <c r="AD4" s="16" t="s">
        <v>84</v>
      </c>
      <c r="AE4" s="17" t="s">
        <v>81</v>
      </c>
      <c r="AF4" s="17" t="s">
        <v>82</v>
      </c>
      <c r="AG4" s="18" t="s">
        <v>116</v>
      </c>
      <c r="AH4" s="16" t="s">
        <v>84</v>
      </c>
      <c r="AI4" s="17" t="s">
        <v>81</v>
      </c>
      <c r="AJ4" s="17" t="s">
        <v>82</v>
      </c>
      <c r="AK4" s="18" t="s">
        <v>116</v>
      </c>
      <c r="AL4" s="16" t="s">
        <v>84</v>
      </c>
      <c r="AM4" s="17" t="s">
        <v>81</v>
      </c>
      <c r="AN4" s="17" t="s">
        <v>82</v>
      </c>
      <c r="AO4" s="18" t="s">
        <v>116</v>
      </c>
      <c r="AP4" s="16" t="s">
        <v>84</v>
      </c>
      <c r="AQ4" s="17" t="s">
        <v>81</v>
      </c>
      <c r="AR4" s="17" t="s">
        <v>82</v>
      </c>
      <c r="AS4" s="18" t="s">
        <v>116</v>
      </c>
      <c r="AT4" s="16" t="s">
        <v>84</v>
      </c>
      <c r="AU4" s="17" t="s">
        <v>81</v>
      </c>
      <c r="AV4" s="17" t="s">
        <v>82</v>
      </c>
      <c r="AW4" s="18" t="s">
        <v>116</v>
      </c>
      <c r="AX4" s="16" t="s">
        <v>84</v>
      </c>
      <c r="AY4" s="17" t="s">
        <v>81</v>
      </c>
      <c r="AZ4" s="17" t="s">
        <v>82</v>
      </c>
      <c r="BA4" s="18" t="s">
        <v>116</v>
      </c>
      <c r="BB4" s="16" t="s">
        <v>84</v>
      </c>
      <c r="BC4" s="17" t="s">
        <v>81</v>
      </c>
      <c r="BD4" s="17" t="s">
        <v>82</v>
      </c>
      <c r="BE4" s="18" t="s">
        <v>116</v>
      </c>
      <c r="BF4" s="16" t="s">
        <v>84</v>
      </c>
      <c r="BG4" s="17" t="s">
        <v>81</v>
      </c>
      <c r="BH4" s="17" t="s">
        <v>82</v>
      </c>
      <c r="BI4" s="18" t="s">
        <v>116</v>
      </c>
      <c r="BJ4" s="16" t="s">
        <v>84</v>
      </c>
      <c r="BK4" s="17" t="s">
        <v>81</v>
      </c>
      <c r="BL4" s="17" t="s">
        <v>82</v>
      </c>
      <c r="BM4" s="18" t="s">
        <v>116</v>
      </c>
      <c r="BN4" s="16" t="s">
        <v>84</v>
      </c>
      <c r="BO4" s="17" t="s">
        <v>81</v>
      </c>
      <c r="BP4" s="17" t="s">
        <v>82</v>
      </c>
      <c r="BQ4" s="18" t="s">
        <v>116</v>
      </c>
      <c r="BR4" s="16" t="s">
        <v>84</v>
      </c>
      <c r="BS4" s="17" t="s">
        <v>81</v>
      </c>
      <c r="BT4" s="17" t="s">
        <v>82</v>
      </c>
      <c r="BU4" s="18" t="s">
        <v>116</v>
      </c>
      <c r="BV4" s="16" t="s">
        <v>84</v>
      </c>
      <c r="BW4" s="17" t="s">
        <v>81</v>
      </c>
      <c r="BX4" s="17" t="s">
        <v>82</v>
      </c>
      <c r="BY4" s="18" t="s">
        <v>116</v>
      </c>
      <c r="BZ4" s="16" t="s">
        <v>84</v>
      </c>
      <c r="CA4" s="17" t="s">
        <v>81</v>
      </c>
      <c r="CB4" s="17" t="s">
        <v>82</v>
      </c>
      <c r="CC4" s="18" t="s">
        <v>116</v>
      </c>
      <c r="CD4" s="16" t="s">
        <v>84</v>
      </c>
      <c r="CE4" s="17" t="s">
        <v>81</v>
      </c>
      <c r="CF4" s="17" t="s">
        <v>82</v>
      </c>
      <c r="CG4" s="18" t="s">
        <v>116</v>
      </c>
      <c r="CH4" s="16" t="s">
        <v>84</v>
      </c>
      <c r="CI4" s="17" t="s">
        <v>81</v>
      </c>
      <c r="CJ4" s="17" t="s">
        <v>82</v>
      </c>
      <c r="CK4" s="18" t="s">
        <v>116</v>
      </c>
      <c r="CL4" s="16" t="s">
        <v>84</v>
      </c>
      <c r="CM4" s="17" t="s">
        <v>81</v>
      </c>
      <c r="CN4" s="17" t="s">
        <v>82</v>
      </c>
      <c r="CO4" s="18" t="s">
        <v>116</v>
      </c>
      <c r="CP4" s="16" t="s">
        <v>84</v>
      </c>
      <c r="CQ4" s="17" t="s">
        <v>81</v>
      </c>
      <c r="CR4" s="17" t="s">
        <v>82</v>
      </c>
      <c r="CS4" s="18" t="s">
        <v>116</v>
      </c>
      <c r="CT4" s="16" t="s">
        <v>84</v>
      </c>
      <c r="CU4" s="17" t="s">
        <v>81</v>
      </c>
      <c r="CV4" s="17" t="s">
        <v>82</v>
      </c>
      <c r="CW4" s="18" t="s">
        <v>116</v>
      </c>
    </row>
    <row r="5" spans="1:101" x14ac:dyDescent="0.25">
      <c r="A5" s="19" t="s">
        <v>2</v>
      </c>
      <c r="B5" s="20">
        <f>[2]byGOVDetalhado!B5</f>
        <v>1202.3772157699991</v>
      </c>
      <c r="C5" s="21">
        <f>[2]byGOVDetalhado!C5</f>
        <v>0</v>
      </c>
      <c r="D5" s="21">
        <f>[2]byGOVDetalhado!D5</f>
        <v>0</v>
      </c>
      <c r="E5" s="22">
        <f>[2]byGOVDetalhado!E5</f>
        <v>0</v>
      </c>
      <c r="F5" s="20">
        <f>[3]byGOVDetalhado!B5</f>
        <v>1315.7550000000001</v>
      </c>
      <c r="G5" s="21">
        <f>[3]byGOVDetalhado!C5</f>
        <v>0</v>
      </c>
      <c r="H5" s="21">
        <f>[3]byGOVDetalhado!D5</f>
        <v>0</v>
      </c>
      <c r="I5" s="22">
        <f>[3]byGOVDetalhado!E5</f>
        <v>0</v>
      </c>
      <c r="J5" s="20">
        <f>[4]byGOVDetalhado!B5</f>
        <v>1488.787</v>
      </c>
      <c r="K5" s="21">
        <f>[4]byGOVDetalhado!C5</f>
        <v>0</v>
      </c>
      <c r="L5" s="21">
        <f>[4]byGOVDetalhado!D5</f>
        <v>0</v>
      </c>
      <c r="M5" s="22">
        <f>[4]byGOVDetalhado!E5</f>
        <v>0</v>
      </c>
      <c r="N5" s="20">
        <f>[5]byGOVDetalhado!B5</f>
        <v>1717.95</v>
      </c>
      <c r="O5" s="21">
        <f>[5]byGOVDetalhado!C5</f>
        <v>0</v>
      </c>
      <c r="P5" s="21">
        <f>[5]byGOVDetalhado!D5</f>
        <v>0</v>
      </c>
      <c r="Q5" s="22">
        <f>[5]byGOVDetalhado!E5</f>
        <v>0</v>
      </c>
      <c r="R5" s="20">
        <f>[6]byGOVDetalhado!B5</f>
        <v>1957.751</v>
      </c>
      <c r="S5" s="21">
        <f>[6]byGOVDetalhado!C5</f>
        <v>0</v>
      </c>
      <c r="T5" s="21">
        <f>[6]byGOVDetalhado!D5</f>
        <v>0</v>
      </c>
      <c r="U5" s="22">
        <f>[6]byGOVDetalhado!E5</f>
        <v>0</v>
      </c>
      <c r="V5" s="20">
        <f>[7]byGOVDetalhado!B5</f>
        <v>2170.585</v>
      </c>
      <c r="W5" s="21">
        <f>[7]byGOVDetalhado!C5</f>
        <v>0</v>
      </c>
      <c r="X5" s="21">
        <f>[7]byGOVDetalhado!D5</f>
        <v>0</v>
      </c>
      <c r="Y5" s="22">
        <f>[7]byGOVDetalhado!E5</f>
        <v>0</v>
      </c>
      <c r="Z5" s="20">
        <f>[8]byGOVDetalhado!B5</f>
        <v>2409.4499999999998</v>
      </c>
      <c r="AA5" s="21">
        <f>[8]byGOVDetalhado!C5</f>
        <v>0</v>
      </c>
      <c r="AB5" s="21">
        <f>[8]byGOVDetalhado!D5</f>
        <v>0</v>
      </c>
      <c r="AC5" s="22">
        <f>[8]byGOVDetalhado!E5</f>
        <v>0</v>
      </c>
      <c r="AD5" s="20">
        <f>[9]byGOVDetalhado!B5</f>
        <v>2720.2629999999999</v>
      </c>
      <c r="AE5" s="21">
        <f>[9]byGOVDetalhado!C5</f>
        <v>0</v>
      </c>
      <c r="AF5" s="21">
        <f>[9]byGOVDetalhado!D5</f>
        <v>0</v>
      </c>
      <c r="AG5" s="22">
        <f>[9]byGOVDetalhado!E5</f>
        <v>0</v>
      </c>
      <c r="AH5" s="20">
        <f>[10]byGOVDetalhado!B5</f>
        <v>3109.8029999999999</v>
      </c>
      <c r="AI5" s="21">
        <f>[10]byGOVDetalhado!C5</f>
        <v>0</v>
      </c>
      <c r="AJ5" s="21">
        <f>[10]byGOVDetalhado!D5</f>
        <v>0</v>
      </c>
      <c r="AK5" s="22">
        <f>[10]byGOVDetalhado!E5</f>
        <v>0</v>
      </c>
      <c r="AL5" s="20">
        <f>[11]byGOVDetalhado!B5</f>
        <v>3333.0390000000002</v>
      </c>
      <c r="AM5" s="21">
        <f>[11]byGOVDetalhado!C5</f>
        <v>0</v>
      </c>
      <c r="AN5" s="21">
        <f>[11]byGOVDetalhado!D5</f>
        <v>0</v>
      </c>
      <c r="AO5" s="22">
        <f>[11]byGOVDetalhado!E5</f>
        <v>0</v>
      </c>
      <c r="AP5" s="20">
        <f>[12]byGOVDetalhado!B5</f>
        <v>3885.8470000000002</v>
      </c>
      <c r="AQ5" s="21">
        <f>[12]byGOVDetalhado!C5</f>
        <v>0</v>
      </c>
      <c r="AR5" s="21">
        <f>[12]byGOVDetalhado!D5</f>
        <v>0</v>
      </c>
      <c r="AS5" s="22">
        <f>[12]byGOVDetalhado!E5</f>
        <v>0</v>
      </c>
      <c r="AT5" s="20">
        <f>[13]byGOVDetalhado!B5</f>
        <v>4376.3819999999996</v>
      </c>
      <c r="AU5" s="21">
        <f>[13]byGOVDetalhado!C5</f>
        <v>0</v>
      </c>
      <c r="AV5" s="21">
        <f>[13]byGOVDetalhado!D5</f>
        <v>0</v>
      </c>
      <c r="AW5" s="22">
        <f>[13]byGOVDetalhado!E5</f>
        <v>0</v>
      </c>
      <c r="AX5" s="20">
        <f>[14]byGOVDetalhado!B5</f>
        <v>4814.76</v>
      </c>
      <c r="AY5" s="21">
        <f>[14]byGOVDetalhado!C5</f>
        <v>0</v>
      </c>
      <c r="AZ5" s="21">
        <f>[14]byGOVDetalhado!D5</f>
        <v>0</v>
      </c>
      <c r="BA5" s="22">
        <f>[14]byGOVDetalhado!E5</f>
        <v>0</v>
      </c>
      <c r="BB5" s="20">
        <f>[15]byGOVDetalhado!B5</f>
        <v>5331.6189999999997</v>
      </c>
      <c r="BC5" s="21">
        <f>[15]byGOVDetalhado!C5</f>
        <v>0</v>
      </c>
      <c r="BD5" s="21">
        <f>[15]byGOVDetalhado!D5</f>
        <v>0</v>
      </c>
      <c r="BE5" s="22">
        <f>[15]byGOVDetalhado!E5</f>
        <v>0</v>
      </c>
      <c r="BF5" s="20">
        <f>[16]byGOVDetalhado!B5</f>
        <v>5778.9530000000004</v>
      </c>
      <c r="BG5" s="21">
        <f>[16]byGOVDetalhado!C5</f>
        <v>0</v>
      </c>
      <c r="BH5" s="21">
        <f>[16]byGOVDetalhado!D5</f>
        <v>0</v>
      </c>
      <c r="BI5" s="22">
        <f>[16]byGOVDetalhado!E5</f>
        <v>0</v>
      </c>
      <c r="BJ5" s="20">
        <f>[17]byGOVDetalhado!B5</f>
        <v>5995.7870000000003</v>
      </c>
      <c r="BK5" s="21">
        <f>[17]byGOVDetalhado!C5</f>
        <v>0</v>
      </c>
      <c r="BL5" s="21">
        <f>[17]byGOVDetalhado!D5</f>
        <v>0</v>
      </c>
      <c r="BM5" s="22">
        <f>[17]byGOVDetalhado!E5</f>
        <v>0</v>
      </c>
      <c r="BN5" s="20">
        <f>[18]byGOVDetalhado!B5</f>
        <v>6267.2049999999999</v>
      </c>
      <c r="BO5" s="21">
        <f>[18]byGOVDetalhado!C5</f>
        <v>0</v>
      </c>
      <c r="BP5" s="21">
        <f>[18]byGOVDetalhado!D5</f>
        <v>0</v>
      </c>
      <c r="BQ5" s="22">
        <f>[18]byGOVDetalhado!E5</f>
        <v>0</v>
      </c>
      <c r="BR5" s="20">
        <f>[19]byGOVDetalhado!B5</f>
        <v>6553.8426904999897</v>
      </c>
      <c r="BS5" s="21">
        <f>[19]byGOVDetalhado!C5</f>
        <v>0</v>
      </c>
      <c r="BT5" s="21">
        <f>[19]byGOVDetalhado!D5</f>
        <v>0</v>
      </c>
      <c r="BU5" s="22">
        <f>[19]byGOVDetalhado!E5</f>
        <v>0</v>
      </c>
      <c r="BV5" s="20">
        <f>[20]byGOVDetalhado!B5</f>
        <v>6889.1760999999997</v>
      </c>
      <c r="BW5" s="21">
        <f>[20]byGOVDetalhado!C5</f>
        <v>0</v>
      </c>
      <c r="BX5" s="21">
        <f>[20]byGOVDetalhado!D5</f>
        <v>0</v>
      </c>
      <c r="BY5" s="22">
        <f>[20]byGOVDetalhado!E5</f>
        <v>0</v>
      </c>
      <c r="BZ5" s="20">
        <f>[21]byGOVDetalhado!B5</f>
        <v>7389.1310000000003</v>
      </c>
      <c r="CA5" s="21">
        <f>[21]byGOVDetalhado!C5</f>
        <v>0</v>
      </c>
      <c r="CB5" s="21">
        <f>[21]byGOVDetalhado!D5</f>
        <v>0</v>
      </c>
      <c r="CC5" s="22">
        <f>[21]byGOVDetalhado!E5</f>
        <v>0</v>
      </c>
      <c r="CD5" s="20">
        <f>[22]byGOVDetalhado!B5</f>
        <v>7609.5969999999998</v>
      </c>
      <c r="CE5" s="21">
        <f>[22]byGOVDetalhado!C5</f>
        <v>0</v>
      </c>
      <c r="CF5" s="21">
        <f>[22]byGOVDetalhado!D5</f>
        <v>0</v>
      </c>
      <c r="CG5" s="22">
        <f>[22]byGOVDetalhado!E5</f>
        <v>0</v>
      </c>
      <c r="CH5" s="20">
        <f>[23]byGOVDetalhado!B5</f>
        <v>8898.7270000000008</v>
      </c>
      <c r="CI5" s="21">
        <f>[23]byGOVDetalhado!C5</f>
        <v>0</v>
      </c>
      <c r="CJ5" s="21">
        <f>[23]byGOVDetalhado!D5</f>
        <v>0</v>
      </c>
      <c r="CK5" s="22">
        <f>[23]byGOVDetalhado!E5</f>
        <v>0</v>
      </c>
      <c r="CL5" s="20">
        <f>[24]byGOVDetalhado!B5</f>
        <v>10079.675999999999</v>
      </c>
      <c r="CM5" s="21">
        <f>[24]byGOVDetalhado!C5</f>
        <v>0</v>
      </c>
      <c r="CN5" s="21">
        <f>[24]byGOVDetalhado!D5</f>
        <v>0</v>
      </c>
      <c r="CO5" s="22">
        <f>[24]byGOVDetalhado!E5</f>
        <v>0</v>
      </c>
      <c r="CP5" s="20">
        <f>[25]byGOVDetalhado!B5</f>
        <v>10943.343999999999</v>
      </c>
      <c r="CQ5" s="21">
        <f>[25]byGOVDetalhado!C5</f>
        <v>0</v>
      </c>
      <c r="CR5" s="21">
        <f>[25]byGOVDetalhado!D5</f>
        <v>0</v>
      </c>
      <c r="CS5" s="22">
        <f>[25]byGOVDetalhado!E5</f>
        <v>0</v>
      </c>
      <c r="CT5" s="20">
        <f>[26]byGOVDetalhado!B5</f>
        <v>11744.709000000001</v>
      </c>
      <c r="CU5" s="21">
        <f>[26]byGOVDetalhado!C5</f>
        <v>0</v>
      </c>
      <c r="CV5" s="21">
        <f>[26]byGOVDetalhado!D5</f>
        <v>0</v>
      </c>
      <c r="CW5" s="22">
        <f>[26]byGOVDetalhado!E5</f>
        <v>0</v>
      </c>
    </row>
    <row r="6" spans="1:101" x14ac:dyDescent="0.25">
      <c r="A6" s="19" t="s">
        <v>121</v>
      </c>
      <c r="B6" s="23">
        <f>[2]byGOVDetalhado!B6</f>
        <v>173448346</v>
      </c>
      <c r="C6" s="21">
        <f>[2]byGOVDetalhado!C6</f>
        <v>0</v>
      </c>
      <c r="D6" s="21">
        <f>[2]byGOVDetalhado!D6</f>
        <v>0</v>
      </c>
      <c r="E6" s="22">
        <f>[2]byGOVDetalhado!E6</f>
        <v>0</v>
      </c>
      <c r="F6" s="23">
        <f>[3]byGOVDetalhado!B6</f>
        <v>173448346</v>
      </c>
      <c r="G6" s="21">
        <f>[3]byGOVDetalhado!C6</f>
        <v>0</v>
      </c>
      <c r="H6" s="21">
        <f>[3]byGOVDetalhado!D6</f>
        <v>0</v>
      </c>
      <c r="I6" s="22">
        <f>[3]byGOVDetalhado!E6</f>
        <v>0</v>
      </c>
      <c r="J6" s="23">
        <f>[4]byGOVDetalhado!B6</f>
        <v>178276128</v>
      </c>
      <c r="K6" s="21">
        <f>[4]byGOVDetalhado!C6</f>
        <v>0</v>
      </c>
      <c r="L6" s="21">
        <f>[4]byGOVDetalhado!D6</f>
        <v>0</v>
      </c>
      <c r="M6" s="22">
        <f>[4]byGOVDetalhado!E6</f>
        <v>0</v>
      </c>
      <c r="N6" s="23">
        <f>[5]byGOVDetalhado!B6</f>
        <v>180619108</v>
      </c>
      <c r="O6" s="21">
        <f>[5]byGOVDetalhado!C6</f>
        <v>0</v>
      </c>
      <c r="P6" s="21">
        <f>[5]byGOVDetalhado!D6</f>
        <v>0</v>
      </c>
      <c r="Q6" s="22">
        <f>[5]byGOVDetalhado!E6</f>
        <v>0</v>
      </c>
      <c r="R6" s="23">
        <f>[6]byGOVDetalhado!B6</f>
        <v>182911487</v>
      </c>
      <c r="S6" s="21">
        <f>[6]byGOVDetalhado!C6</f>
        <v>0</v>
      </c>
      <c r="T6" s="21">
        <f>[6]byGOVDetalhado!D6</f>
        <v>0</v>
      </c>
      <c r="U6" s="22">
        <f>[6]byGOVDetalhado!E6</f>
        <v>0</v>
      </c>
      <c r="V6" s="23">
        <f>[7]byGOVDetalhado!B6</f>
        <v>185150806</v>
      </c>
      <c r="W6" s="21">
        <f>[7]byGOVDetalhado!C6</f>
        <v>0</v>
      </c>
      <c r="X6" s="21">
        <f>[7]byGOVDetalhado!D6</f>
        <v>0</v>
      </c>
      <c r="Y6" s="22">
        <f>[7]byGOVDetalhado!E6</f>
        <v>0</v>
      </c>
      <c r="Z6" s="23">
        <f>[8]byGOVDetalhado!B6</f>
        <v>187335137</v>
      </c>
      <c r="AA6" s="21">
        <f>[8]byGOVDetalhado!C6</f>
        <v>0</v>
      </c>
      <c r="AB6" s="21">
        <f>[8]byGOVDetalhado!D6</f>
        <v>0</v>
      </c>
      <c r="AC6" s="22">
        <f>[8]byGOVDetalhado!E6</f>
        <v>0</v>
      </c>
      <c r="AD6" s="23">
        <f>[9]byGOVDetalhado!B6</f>
        <v>189462755</v>
      </c>
      <c r="AE6" s="21">
        <f>[9]byGOVDetalhado!C6</f>
        <v>0</v>
      </c>
      <c r="AF6" s="21">
        <f>[9]byGOVDetalhado!D6</f>
        <v>0</v>
      </c>
      <c r="AG6" s="22">
        <f>[9]byGOVDetalhado!E6</f>
        <v>0</v>
      </c>
      <c r="AH6" s="23">
        <f>[10]byGOVDetalhado!B6</f>
        <v>191532439</v>
      </c>
      <c r="AI6" s="21">
        <f>[10]byGOVDetalhado!C6</f>
        <v>0</v>
      </c>
      <c r="AJ6" s="21">
        <f>[10]byGOVDetalhado!D6</f>
        <v>0</v>
      </c>
      <c r="AK6" s="22">
        <f>[10]byGOVDetalhado!E6</f>
        <v>0</v>
      </c>
      <c r="AL6" s="23">
        <f>[11]byGOVDetalhado!B6</f>
        <v>193543969</v>
      </c>
      <c r="AM6" s="21">
        <f>[11]byGOVDetalhado!C6</f>
        <v>0</v>
      </c>
      <c r="AN6" s="21">
        <f>[11]byGOVDetalhado!D6</f>
        <v>0</v>
      </c>
      <c r="AO6" s="22">
        <f>[11]byGOVDetalhado!E6</f>
        <v>0</v>
      </c>
      <c r="AP6" s="23">
        <f>[12]byGOVDetalhado!B6</f>
        <v>195497797</v>
      </c>
      <c r="AQ6" s="21">
        <f>[12]byGOVDetalhado!C6</f>
        <v>0</v>
      </c>
      <c r="AR6" s="21">
        <f>[12]byGOVDetalhado!D6</f>
        <v>0</v>
      </c>
      <c r="AS6" s="22">
        <f>[12]byGOVDetalhado!E6</f>
        <v>0</v>
      </c>
      <c r="AT6" s="23">
        <f>[13]byGOVDetalhado!B6</f>
        <v>197397018</v>
      </c>
      <c r="AU6" s="21">
        <f>[13]byGOVDetalhado!C6</f>
        <v>0</v>
      </c>
      <c r="AV6" s="21">
        <f>[13]byGOVDetalhado!D6</f>
        <v>0</v>
      </c>
      <c r="AW6" s="22">
        <f>[13]byGOVDetalhado!E6</f>
        <v>0</v>
      </c>
      <c r="AX6" s="23">
        <f>[14]byGOVDetalhado!B6</f>
        <v>199242462</v>
      </c>
      <c r="AY6" s="21">
        <f>[14]byGOVDetalhado!C6</f>
        <v>0</v>
      </c>
      <c r="AZ6" s="21">
        <f>[14]byGOVDetalhado!D6</f>
        <v>0</v>
      </c>
      <c r="BA6" s="22">
        <f>[14]byGOVDetalhado!E6</f>
        <v>0</v>
      </c>
      <c r="BB6" s="23">
        <f>[15]byGOVDetalhado!B6</f>
        <v>201032714</v>
      </c>
      <c r="BC6" s="21">
        <f>[15]byGOVDetalhado!C6</f>
        <v>0</v>
      </c>
      <c r="BD6" s="21">
        <f>[15]byGOVDetalhado!D6</f>
        <v>0</v>
      </c>
      <c r="BE6" s="22">
        <f>[15]byGOVDetalhado!E6</f>
        <v>0</v>
      </c>
      <c r="BF6" s="23">
        <f>[16]byGOVDetalhado!B6</f>
        <v>202768562</v>
      </c>
      <c r="BG6" s="21">
        <f>[16]byGOVDetalhado!C6</f>
        <v>0</v>
      </c>
      <c r="BH6" s="21">
        <f>[16]byGOVDetalhado!D6</f>
        <v>0</v>
      </c>
      <c r="BI6" s="22">
        <f>[16]byGOVDetalhado!E6</f>
        <v>0</v>
      </c>
      <c r="BJ6" s="23">
        <f>[17]byGOVDetalhado!B6</f>
        <v>204450649</v>
      </c>
      <c r="BK6" s="21">
        <f>[17]byGOVDetalhado!C6</f>
        <v>0</v>
      </c>
      <c r="BL6" s="21">
        <f>[17]byGOVDetalhado!D6</f>
        <v>0</v>
      </c>
      <c r="BM6" s="22">
        <f>[17]byGOVDetalhado!E6</f>
        <v>0</v>
      </c>
      <c r="BN6" s="23">
        <f>[18]byGOVDetalhado!B6</f>
        <v>206081432</v>
      </c>
      <c r="BO6" s="21">
        <f>[18]byGOVDetalhado!C6</f>
        <v>0</v>
      </c>
      <c r="BP6" s="21">
        <f>[18]byGOVDetalhado!D6</f>
        <v>0</v>
      </c>
      <c r="BQ6" s="22">
        <f>[18]byGOVDetalhado!E6</f>
        <v>0</v>
      </c>
      <c r="BR6" s="23">
        <f>[19]byGOVDetalhado!B6</f>
        <v>207660929</v>
      </c>
      <c r="BS6" s="21">
        <f>[19]byGOVDetalhado!C6</f>
        <v>0</v>
      </c>
      <c r="BT6" s="21">
        <f>[19]byGOVDetalhado!D6</f>
        <v>0</v>
      </c>
      <c r="BU6" s="22">
        <f>[19]byGOVDetalhado!E6</f>
        <v>0</v>
      </c>
      <c r="BV6" s="23">
        <f>[20]byGOVDetalhado!B6</f>
        <v>208494900</v>
      </c>
      <c r="BW6" s="21">
        <f>[20]byGOVDetalhado!C6</f>
        <v>0</v>
      </c>
      <c r="BX6" s="21">
        <f>[20]byGOVDetalhado!D6</f>
        <v>0</v>
      </c>
      <c r="BY6" s="22">
        <f>[20]byGOVDetalhado!E6</f>
        <v>0</v>
      </c>
      <c r="BZ6" s="23">
        <f>[21]byGOVDetalhado!B6</f>
        <v>210147125</v>
      </c>
      <c r="CA6" s="21">
        <f>[21]byGOVDetalhado!C6</f>
        <v>0</v>
      </c>
      <c r="CB6" s="21">
        <f>[21]byGOVDetalhado!D6</f>
        <v>0</v>
      </c>
      <c r="CC6" s="22">
        <f>[21]byGOVDetalhado!E6</f>
        <v>0</v>
      </c>
      <c r="CD6" s="23">
        <f>[22]byGOVDetalhado!B6</f>
        <v>211755692</v>
      </c>
      <c r="CE6" s="21">
        <f>[22]byGOVDetalhado!C6</f>
        <v>0</v>
      </c>
      <c r="CF6" s="21">
        <f>[22]byGOVDetalhado!D6</f>
        <v>0</v>
      </c>
      <c r="CG6" s="22">
        <f>[22]byGOVDetalhado!E6</f>
        <v>0</v>
      </c>
      <c r="CH6" s="23">
        <f>[23]byGOVDetalhado!B6</f>
        <v>213317639</v>
      </c>
      <c r="CI6" s="21">
        <f>[23]byGOVDetalhado!C6</f>
        <v>0</v>
      </c>
      <c r="CJ6" s="21">
        <f>[23]byGOVDetalhado!D6</f>
        <v>0</v>
      </c>
      <c r="CK6" s="22">
        <f>[23]byGOVDetalhado!E6</f>
        <v>0</v>
      </c>
      <c r="CL6" s="23">
        <f>[24]byGOVDetalhado!B6</f>
        <v>203080756</v>
      </c>
      <c r="CM6" s="21">
        <f>[24]byGOVDetalhado!C6</f>
        <v>0</v>
      </c>
      <c r="CN6" s="21">
        <f>[24]byGOVDetalhado!D6</f>
        <v>0</v>
      </c>
      <c r="CO6" s="22">
        <f>[24]byGOVDetalhado!E6</f>
        <v>0</v>
      </c>
      <c r="CP6" s="23">
        <f>[25]byGOVDetalhado!B6</f>
        <v>207832253</v>
      </c>
      <c r="CQ6" s="21">
        <f>[25]byGOVDetalhado!C6</f>
        <v>0</v>
      </c>
      <c r="CR6" s="21">
        <f>[25]byGOVDetalhado!D6</f>
        <v>0</v>
      </c>
      <c r="CS6" s="22">
        <f>[25]byGOVDetalhado!E6</f>
        <v>0</v>
      </c>
      <c r="CT6" s="23">
        <f>[26]byGOVDetalhado!B6</f>
        <v>212583750</v>
      </c>
      <c r="CU6" s="21">
        <f>[26]byGOVDetalhado!C6</f>
        <v>0</v>
      </c>
      <c r="CV6" s="21">
        <f>[26]byGOVDetalhado!D6</f>
        <v>0</v>
      </c>
      <c r="CW6" s="22">
        <f>[26]byGOVDetalhado!E6</f>
        <v>0</v>
      </c>
    </row>
    <row r="7" spans="1:101" x14ac:dyDescent="0.25">
      <c r="A7" s="25" t="s">
        <v>14</v>
      </c>
      <c r="B7" s="26">
        <f>[2]byGOVDetalhado!B7</f>
        <v>367.44514574477847</v>
      </c>
      <c r="C7" s="27">
        <f>[2]byGOVDetalhado!C7</f>
        <v>30.559889269813524</v>
      </c>
      <c r="D7" s="28">
        <f>[2]byGOVDetalhado!D7</f>
        <v>99.999999999999986</v>
      </c>
      <c r="E7" s="29">
        <f>[2]byGOVDetalhado!E7</f>
        <v>2118.4701625507482</v>
      </c>
      <c r="F7" s="26">
        <f>[3]byGOVDetalhado!B7</f>
        <v>421.64663452730184</v>
      </c>
      <c r="G7" s="27">
        <f>[3]byGOVDetalhado!C7</f>
        <v>32.045983828851256</v>
      </c>
      <c r="H7" s="28">
        <f>[3]byGOVDetalhado!D7</f>
        <v>100</v>
      </c>
      <c r="I7" s="29">
        <f>[3]byGOVDetalhado!E7</f>
        <v>2430.9637090877868</v>
      </c>
      <c r="J7" s="26">
        <f>[4]byGOVDetalhado!B7</f>
        <v>495.42481028470365</v>
      </c>
      <c r="K7" s="27">
        <f>[4]byGOVDetalhado!C7</f>
        <v>33.277077935574638</v>
      </c>
      <c r="L7" s="28">
        <f>[4]byGOVDetalhado!D7</f>
        <v>100.00000000000001</v>
      </c>
      <c r="M7" s="29">
        <f>[4]byGOVDetalhado!E7</f>
        <v>2778.97448100681</v>
      </c>
      <c r="N7" s="26">
        <f>[5]byGOVDetalhado!B7</f>
        <v>560.01486740093776</v>
      </c>
      <c r="O7" s="27">
        <f>[5]byGOVDetalhado!C7</f>
        <v>32.597856014490397</v>
      </c>
      <c r="P7" s="28">
        <f>[5]byGOVDetalhado!D7</f>
        <v>99.999999999999986</v>
      </c>
      <c r="Q7" s="29">
        <f>[5]byGOVDetalhado!E7</f>
        <v>3100.5294711174065</v>
      </c>
      <c r="R7" s="26">
        <f>[6]byGOVDetalhado!B7</f>
        <v>658.25295701947584</v>
      </c>
      <c r="S7" s="27">
        <f>[6]byGOVDetalhado!C7</f>
        <v>33.622915121457005</v>
      </c>
      <c r="T7" s="28">
        <f>[6]byGOVDetalhado!D7</f>
        <v>100.00000000000003</v>
      </c>
      <c r="U7" s="29">
        <f>[6]byGOVDetalhado!E7</f>
        <v>3598.7513294858068</v>
      </c>
      <c r="V7" s="26">
        <f>[7]byGOVDetalhado!B7</f>
        <v>754.18429112437548</v>
      </c>
      <c r="W7" s="27">
        <f>[7]byGOVDetalhado!C7</f>
        <v>34.745669537215804</v>
      </c>
      <c r="X7" s="28">
        <f>[7]byGOVDetalhado!D7</f>
        <v>99.999999999999986</v>
      </c>
      <c r="Y7" s="29">
        <f>[7]byGOVDetalhado!E7</f>
        <v>4073.3513799792777</v>
      </c>
      <c r="Z7" s="26">
        <f>[8]byGOVDetalhado!B7</f>
        <v>829.53576664493528</v>
      </c>
      <c r="AA7" s="27">
        <f>[8]byGOVDetalhado!C7</f>
        <v>34.428428340282444</v>
      </c>
      <c r="AB7" s="28">
        <f>[8]byGOVDetalhado!D7</f>
        <v>100</v>
      </c>
      <c r="AC7" s="29">
        <f>[8]byGOVDetalhado!E7</f>
        <v>4428.084234112127</v>
      </c>
      <c r="AD7" s="26">
        <f>[9]byGOVDetalhado!B7</f>
        <v>940.81947852322844</v>
      </c>
      <c r="AE7" s="27">
        <f>[9]byGOVDetalhado!C7</f>
        <v>34.585607293237032</v>
      </c>
      <c r="AF7" s="28">
        <f>[9]byGOVDetalhado!D7</f>
        <v>99.999999999999986</v>
      </c>
      <c r="AG7" s="29">
        <f>[9]byGOVDetalhado!E7</f>
        <v>4965.7225691837339</v>
      </c>
      <c r="AH7" s="26">
        <f>[10]byGOVDetalhado!B7</f>
        <v>1080.8858871867769</v>
      </c>
      <c r="AI7" s="27">
        <f>[10]byGOVDetalhado!C7</f>
        <v>34.757374894383247</v>
      </c>
      <c r="AJ7" s="28">
        <f>[10]byGOVDetalhado!D7</f>
        <v>100.00000000000001</v>
      </c>
      <c r="AK7" s="29">
        <f>[10]byGOVDetalhado!E7</f>
        <v>5643.3567746024319</v>
      </c>
      <c r="AL7" s="26">
        <f>[11]byGOVDetalhado!B7</f>
        <v>1105.3740756788607</v>
      </c>
      <c r="AM7" s="27">
        <f>[11]byGOVDetalhado!C7</f>
        <v>33.164150664869538</v>
      </c>
      <c r="AN7" s="28">
        <f>[11]byGOVDetalhado!D7</f>
        <v>99.999999999999986</v>
      </c>
      <c r="AO7" s="29">
        <f>[11]byGOVDetalhado!E7</f>
        <v>5711.2297602973131</v>
      </c>
      <c r="AP7" s="26">
        <f>[12]byGOVDetalhado!B7</f>
        <v>1291.3620855079682</v>
      </c>
      <c r="AQ7" s="27">
        <f>[12]byGOVDetalhado!C7</f>
        <v>33.232448048211054</v>
      </c>
      <c r="AR7" s="28">
        <f>[12]byGOVDetalhado!D7</f>
        <v>100</v>
      </c>
      <c r="AS7" s="29">
        <f>[12]byGOVDetalhado!E7</f>
        <v>6605.5070968803211</v>
      </c>
      <c r="AT7" s="26">
        <f>[13]byGOVDetalhado!B7</f>
        <v>1491.6039399458753</v>
      </c>
      <c r="AU7" s="27">
        <f>[13]byGOVDetalhado!C7</f>
        <v>34.08303799681736</v>
      </c>
      <c r="AV7" s="28">
        <f>[13]byGOVDetalhado!D7</f>
        <v>100</v>
      </c>
      <c r="AW7" s="29">
        <f>[13]byGOVDetalhado!E7</f>
        <v>7556.3651115837793</v>
      </c>
      <c r="AX7" s="26">
        <f>[14]byGOVDetalhado!B7</f>
        <v>1638.1111399890101</v>
      </c>
      <c r="AY7" s="27">
        <f>[14]byGOVDetalhado!C7</f>
        <v>34.022695627383513</v>
      </c>
      <c r="AZ7" s="28">
        <f>[14]byGOVDetalhado!D7</f>
        <v>99.999999999999957</v>
      </c>
      <c r="BA7" s="29">
        <f>[14]byGOVDetalhado!E7</f>
        <v>8221.6969392247829</v>
      </c>
      <c r="BB7" s="26">
        <f>[15]byGOVDetalhado!B7</f>
        <v>1792.2460733358776</v>
      </c>
      <c r="BC7" s="27">
        <f>[15]byGOVDetalhado!C7</f>
        <v>33.615419131334733</v>
      </c>
      <c r="BD7" s="28">
        <f>[15]byGOVDetalhado!D7</f>
        <v>100</v>
      </c>
      <c r="BE7" s="29">
        <f>[15]byGOVDetalhado!E7</f>
        <v>8915.1961274117675</v>
      </c>
      <c r="BF7" s="26">
        <f>[16]byGOVDetalhado!B7</f>
        <v>1899.7812754348608</v>
      </c>
      <c r="BG7" s="27">
        <f>[16]byGOVDetalhado!C7</f>
        <v>32.874143040008462</v>
      </c>
      <c r="BH7" s="28">
        <f>[16]byGOVDetalhado!D7</f>
        <v>100.00000000000001</v>
      </c>
      <c r="BI7" s="29">
        <f>[16]byGOVDetalhado!E7</f>
        <v>9369.2101807915406</v>
      </c>
      <c r="BJ7" s="26">
        <f>[17]byGOVDetalhado!B7</f>
        <v>1969.0309956733586</v>
      </c>
      <c r="BK7" s="27">
        <f>[17]byGOVDetalhado!C7</f>
        <v>32.840242584891008</v>
      </c>
      <c r="BL7" s="28">
        <f>[17]byGOVDetalhado!D7</f>
        <v>99.999999999999972</v>
      </c>
      <c r="BM7" s="29">
        <f>[17]byGOVDetalhado!E7</f>
        <v>9630.8375899230268</v>
      </c>
      <c r="BN7" s="26">
        <f>[18]byGOVDetalhado!B7</f>
        <v>2086.1564913820675</v>
      </c>
      <c r="BO7" s="27">
        <f>[18]byGOVDetalhado!C7</f>
        <v>33.286871761527962</v>
      </c>
      <c r="BP7" s="28">
        <f>[18]byGOVDetalhado!D7</f>
        <v>99.999999999999972</v>
      </c>
      <c r="BQ7" s="29">
        <f>[18]byGOVDetalhado!E7</f>
        <v>10122.971638619376</v>
      </c>
      <c r="BR7" s="26">
        <f>[19]byGOVDetalhado!B7</f>
        <v>2203.4044596355443</v>
      </c>
      <c r="BS7" s="27">
        <f>[19]byGOVDetalhado!C7</f>
        <v>33.620038864061399</v>
      </c>
      <c r="BT7" s="28">
        <f>[19]byGOVDetalhado!D7</f>
        <v>100.00000000000001</v>
      </c>
      <c r="BU7" s="29">
        <f>[19]byGOVDetalhado!E7</f>
        <v>10610.587510352245</v>
      </c>
      <c r="BV7" s="26">
        <f>[20]byGOVDetalhado!B7</f>
        <v>2372.7995314657519</v>
      </c>
      <c r="BW7" s="27">
        <f>[20]byGOVDetalhado!C7</f>
        <v>34.442428194944114</v>
      </c>
      <c r="BX7" s="28">
        <f>[20]byGOVDetalhado!D7</f>
        <v>100.00000000000003</v>
      </c>
      <c r="BY7" s="29">
        <f>[20]byGOVDetalhado!E7</f>
        <v>11380.611858926775</v>
      </c>
      <c r="BZ7" s="26">
        <f>[21]byGOVDetalhado!B7</f>
        <v>2496.9242893211763</v>
      </c>
      <c r="CA7" s="27">
        <f>[21]byGOVDetalhado!C7</f>
        <v>33.791853051748255</v>
      </c>
      <c r="CB7" s="28">
        <f>[21]byGOVDetalhado!D7</f>
        <v>100</v>
      </c>
      <c r="CC7" s="29">
        <f>[21]byGOVDetalhado!E7</f>
        <v>11881.791337003428</v>
      </c>
      <c r="CD7" s="26">
        <f>[22]byGOVDetalhado!B7</f>
        <v>2451.5573404858737</v>
      </c>
      <c r="CE7" s="27">
        <f>[22]byGOVDetalhado!C7</f>
        <v>32.216651426953014</v>
      </c>
      <c r="CF7" s="28">
        <f>[22]byGOVDetalhado!D7</f>
        <v>100</v>
      </c>
      <c r="CG7" s="29">
        <f>[22]byGOVDetalhado!E7</f>
        <v>11577.291346132379</v>
      </c>
      <c r="CH7" s="26">
        <f>[23]byGOVDetalhado!B7</f>
        <v>3060.9656125131296</v>
      </c>
      <c r="CI7" s="27">
        <f>[23]byGOVDetalhado!C7</f>
        <v>34.397792094454971</v>
      </c>
      <c r="CJ7" s="28">
        <f>[23]byGOVDetalhado!D7</f>
        <v>99.999999999999986</v>
      </c>
      <c r="CK7" s="29">
        <f>[23]byGOVDetalhado!E7</f>
        <v>14349.33194864926</v>
      </c>
      <c r="CL7" s="26">
        <f>[24]byGOVDetalhado!B7</f>
        <v>3518.4966363961894</v>
      </c>
      <c r="CM7" s="27">
        <f>[24]byGOVDetalhado!C7</f>
        <v>34.906842604823694</v>
      </c>
      <c r="CN7" s="28">
        <f>[24]byGOVDetalhado!D7</f>
        <v>100.00000000000003</v>
      </c>
      <c r="CO7" s="29">
        <f>[24]byGOVDetalhado!E7</f>
        <v>17325.603398857693</v>
      </c>
      <c r="CP7" s="26">
        <f>[25]byGOVDetalhado!B7</f>
        <v>3783.9875168681051</v>
      </c>
      <c r="CQ7" s="27">
        <f>[25]byGOVDetalhado!C7</f>
        <v>34.577981984922566</v>
      </c>
      <c r="CR7" s="28">
        <f>[25]byGOVDetalhado!D7</f>
        <v>100</v>
      </c>
      <c r="CS7" s="29">
        <f>[25]byGOVDetalhado!E7</f>
        <v>18206.931129539866</v>
      </c>
      <c r="CT7" s="26">
        <f>[26]byGOVDetalhado!B7</f>
        <v>4222.2219899236061</v>
      </c>
      <c r="CU7" s="27">
        <f>[26]byGOVDetalhado!C7</f>
        <v>35.949992374639557</v>
      </c>
      <c r="CV7" s="28">
        <f>[26]byGOVDetalhado!D7</f>
        <v>99.999999999999986</v>
      </c>
      <c r="CW7" s="29">
        <f>[26]byGOVDetalhado!E7</f>
        <v>19861.452203771954</v>
      </c>
    </row>
    <row r="8" spans="1:101" x14ac:dyDescent="0.25">
      <c r="A8" s="30"/>
      <c r="B8" s="20">
        <f>[2]byGOVDetalhado!B8</f>
        <v>0</v>
      </c>
      <c r="C8" s="31">
        <f>[2]byGOVDetalhado!C8</f>
        <v>0</v>
      </c>
      <c r="D8" s="21">
        <f>[2]byGOVDetalhado!D8</f>
        <v>0</v>
      </c>
      <c r="E8" s="22">
        <f>[2]byGOVDetalhado!E8</f>
        <v>0</v>
      </c>
      <c r="F8" s="20">
        <f>[3]byGOVDetalhado!B8</f>
        <v>0</v>
      </c>
      <c r="G8" s="31">
        <f>[3]byGOVDetalhado!C8</f>
        <v>0</v>
      </c>
      <c r="H8" s="21">
        <f>[3]byGOVDetalhado!D8</f>
        <v>0</v>
      </c>
      <c r="I8" s="22">
        <f>[3]byGOVDetalhado!E8</f>
        <v>0</v>
      </c>
      <c r="J8" s="20">
        <f>[4]byGOVDetalhado!B8</f>
        <v>0</v>
      </c>
      <c r="K8" s="31">
        <f>[4]byGOVDetalhado!C8</f>
        <v>0</v>
      </c>
      <c r="L8" s="21">
        <f>[4]byGOVDetalhado!D8</f>
        <v>0</v>
      </c>
      <c r="M8" s="22">
        <f>[4]byGOVDetalhado!E8</f>
        <v>0</v>
      </c>
      <c r="N8" s="20">
        <f>[5]byGOVDetalhado!B8</f>
        <v>0</v>
      </c>
      <c r="O8" s="31">
        <f>[5]byGOVDetalhado!C8</f>
        <v>0</v>
      </c>
      <c r="P8" s="21">
        <f>[5]byGOVDetalhado!D8</f>
        <v>0</v>
      </c>
      <c r="Q8" s="22">
        <f>[5]byGOVDetalhado!E8</f>
        <v>0</v>
      </c>
      <c r="R8" s="20">
        <f>[6]byGOVDetalhado!B8</f>
        <v>0</v>
      </c>
      <c r="S8" s="31">
        <f>[6]byGOVDetalhado!C8</f>
        <v>0</v>
      </c>
      <c r="T8" s="21">
        <f>[6]byGOVDetalhado!D8</f>
        <v>0</v>
      </c>
      <c r="U8" s="22">
        <f>[6]byGOVDetalhado!E8</f>
        <v>0</v>
      </c>
      <c r="V8" s="20">
        <f>[7]byGOVDetalhado!B8</f>
        <v>0</v>
      </c>
      <c r="W8" s="31">
        <f>[7]byGOVDetalhado!C8</f>
        <v>0</v>
      </c>
      <c r="X8" s="21">
        <f>[7]byGOVDetalhado!D8</f>
        <v>0</v>
      </c>
      <c r="Y8" s="22">
        <f>[7]byGOVDetalhado!E8</f>
        <v>0</v>
      </c>
      <c r="Z8" s="20">
        <f>[8]byGOVDetalhado!B8</f>
        <v>0</v>
      </c>
      <c r="AA8" s="31">
        <f>[8]byGOVDetalhado!C8</f>
        <v>0</v>
      </c>
      <c r="AB8" s="21">
        <f>[8]byGOVDetalhado!D8</f>
        <v>0</v>
      </c>
      <c r="AC8" s="22">
        <f>[8]byGOVDetalhado!E8</f>
        <v>0</v>
      </c>
      <c r="AD8" s="20">
        <f>[9]byGOVDetalhado!B8</f>
        <v>0</v>
      </c>
      <c r="AE8" s="31">
        <f>[9]byGOVDetalhado!C8</f>
        <v>0</v>
      </c>
      <c r="AF8" s="21">
        <f>[9]byGOVDetalhado!D8</f>
        <v>0</v>
      </c>
      <c r="AG8" s="22">
        <f>[9]byGOVDetalhado!E8</f>
        <v>0</v>
      </c>
      <c r="AH8" s="20">
        <f>[10]byGOVDetalhado!B8</f>
        <v>0</v>
      </c>
      <c r="AI8" s="31">
        <f>[10]byGOVDetalhado!C8</f>
        <v>0</v>
      </c>
      <c r="AJ8" s="21">
        <f>[10]byGOVDetalhado!D8</f>
        <v>0</v>
      </c>
      <c r="AK8" s="22">
        <f>[10]byGOVDetalhado!E8</f>
        <v>0</v>
      </c>
      <c r="AL8" s="20">
        <f>[11]byGOVDetalhado!B8</f>
        <v>0</v>
      </c>
      <c r="AM8" s="31">
        <f>[11]byGOVDetalhado!C8</f>
        <v>0</v>
      </c>
      <c r="AN8" s="21">
        <f>[11]byGOVDetalhado!D8</f>
        <v>0</v>
      </c>
      <c r="AO8" s="22">
        <f>[11]byGOVDetalhado!E8</f>
        <v>0</v>
      </c>
      <c r="AP8" s="20">
        <f>[12]byGOVDetalhado!B8</f>
        <v>0</v>
      </c>
      <c r="AQ8" s="31">
        <f>[12]byGOVDetalhado!C8</f>
        <v>0</v>
      </c>
      <c r="AR8" s="21">
        <f>[12]byGOVDetalhado!D8</f>
        <v>0</v>
      </c>
      <c r="AS8" s="22">
        <f>[12]byGOVDetalhado!E8</f>
        <v>0</v>
      </c>
      <c r="AT8" s="20">
        <f>[13]byGOVDetalhado!B8</f>
        <v>0</v>
      </c>
      <c r="AU8" s="31">
        <f>[13]byGOVDetalhado!C8</f>
        <v>0</v>
      </c>
      <c r="AV8" s="21">
        <f>[13]byGOVDetalhado!D8</f>
        <v>0</v>
      </c>
      <c r="AW8" s="22">
        <f>[13]byGOVDetalhado!E8</f>
        <v>0</v>
      </c>
      <c r="AX8" s="20">
        <f>[14]byGOVDetalhado!B8</f>
        <v>0</v>
      </c>
      <c r="AY8" s="31">
        <f>[14]byGOVDetalhado!C8</f>
        <v>0</v>
      </c>
      <c r="AZ8" s="21">
        <f>[14]byGOVDetalhado!D8</f>
        <v>0</v>
      </c>
      <c r="BA8" s="22">
        <f>[14]byGOVDetalhado!E8</f>
        <v>0</v>
      </c>
      <c r="BB8" s="20">
        <f>[15]byGOVDetalhado!B8</f>
        <v>0</v>
      </c>
      <c r="BC8" s="31">
        <f>[15]byGOVDetalhado!C8</f>
        <v>0</v>
      </c>
      <c r="BD8" s="21">
        <f>[15]byGOVDetalhado!D8</f>
        <v>0</v>
      </c>
      <c r="BE8" s="22">
        <f>[15]byGOVDetalhado!E8</f>
        <v>0</v>
      </c>
      <c r="BF8" s="20">
        <f>[16]byGOVDetalhado!B8</f>
        <v>0</v>
      </c>
      <c r="BG8" s="31">
        <f>[16]byGOVDetalhado!C8</f>
        <v>0</v>
      </c>
      <c r="BH8" s="21">
        <f>[16]byGOVDetalhado!D8</f>
        <v>0</v>
      </c>
      <c r="BI8" s="22">
        <f>[16]byGOVDetalhado!E8</f>
        <v>0</v>
      </c>
      <c r="BJ8" s="20">
        <f>[17]byGOVDetalhado!B8</f>
        <v>0</v>
      </c>
      <c r="BK8" s="31">
        <f>[17]byGOVDetalhado!C8</f>
        <v>0</v>
      </c>
      <c r="BL8" s="21">
        <f>[17]byGOVDetalhado!D8</f>
        <v>0</v>
      </c>
      <c r="BM8" s="22">
        <f>[17]byGOVDetalhado!E8</f>
        <v>0</v>
      </c>
      <c r="BN8" s="20">
        <f>[18]byGOVDetalhado!B8</f>
        <v>0</v>
      </c>
      <c r="BO8" s="31">
        <f>[18]byGOVDetalhado!C8</f>
        <v>0</v>
      </c>
      <c r="BP8" s="21">
        <f>[18]byGOVDetalhado!D8</f>
        <v>0</v>
      </c>
      <c r="BQ8" s="22">
        <f>[18]byGOVDetalhado!E8</f>
        <v>0</v>
      </c>
      <c r="BR8" s="20">
        <f>[19]byGOVDetalhado!B8</f>
        <v>0</v>
      </c>
      <c r="BS8" s="31">
        <f>[19]byGOVDetalhado!C8</f>
        <v>0</v>
      </c>
      <c r="BT8" s="21">
        <f>[19]byGOVDetalhado!D8</f>
        <v>0</v>
      </c>
      <c r="BU8" s="22">
        <f>[19]byGOVDetalhado!E8</f>
        <v>0</v>
      </c>
      <c r="BV8" s="20">
        <f>[20]byGOVDetalhado!B8</f>
        <v>0</v>
      </c>
      <c r="BW8" s="31">
        <f>[20]byGOVDetalhado!C8</f>
        <v>0</v>
      </c>
      <c r="BX8" s="21">
        <f>[20]byGOVDetalhado!D8</f>
        <v>0</v>
      </c>
      <c r="BY8" s="22">
        <f>[20]byGOVDetalhado!E8</f>
        <v>0</v>
      </c>
      <c r="BZ8" s="20">
        <f>[21]byGOVDetalhado!B8</f>
        <v>0</v>
      </c>
      <c r="CA8" s="31">
        <f>[21]byGOVDetalhado!C8</f>
        <v>0</v>
      </c>
      <c r="CB8" s="21">
        <f>[21]byGOVDetalhado!D8</f>
        <v>0</v>
      </c>
      <c r="CC8" s="22">
        <f>[21]byGOVDetalhado!E8</f>
        <v>0</v>
      </c>
      <c r="CD8" s="20">
        <f>[22]byGOVDetalhado!B8</f>
        <v>0</v>
      </c>
      <c r="CE8" s="31">
        <f>[22]byGOVDetalhado!C8</f>
        <v>0</v>
      </c>
      <c r="CF8" s="21">
        <f>[22]byGOVDetalhado!D8</f>
        <v>0</v>
      </c>
      <c r="CG8" s="22">
        <f>[22]byGOVDetalhado!E8</f>
        <v>0</v>
      </c>
      <c r="CH8" s="20">
        <f>[23]byGOVDetalhado!B8</f>
        <v>0</v>
      </c>
      <c r="CI8" s="31">
        <f>[23]byGOVDetalhado!C8</f>
        <v>0</v>
      </c>
      <c r="CJ8" s="21">
        <f>[23]byGOVDetalhado!D8</f>
        <v>0</v>
      </c>
      <c r="CK8" s="22">
        <f>[23]byGOVDetalhado!E8</f>
        <v>0</v>
      </c>
      <c r="CL8" s="20">
        <f>[24]byGOVDetalhado!B8</f>
        <v>0</v>
      </c>
      <c r="CM8" s="31">
        <f>[24]byGOVDetalhado!C8</f>
        <v>0</v>
      </c>
      <c r="CN8" s="21">
        <f>[24]byGOVDetalhado!D8</f>
        <v>0</v>
      </c>
      <c r="CO8" s="22">
        <f>[24]byGOVDetalhado!E8</f>
        <v>0</v>
      </c>
      <c r="CP8" s="20">
        <f>[25]byGOVDetalhado!B8</f>
        <v>0</v>
      </c>
      <c r="CQ8" s="31">
        <f>[25]byGOVDetalhado!C8</f>
        <v>0</v>
      </c>
      <c r="CR8" s="21">
        <f>[25]byGOVDetalhado!D8</f>
        <v>0</v>
      </c>
      <c r="CS8" s="22">
        <f>[25]byGOVDetalhado!E8</f>
        <v>0</v>
      </c>
      <c r="CT8" s="20">
        <f>[26]byGOVDetalhado!B8</f>
        <v>0</v>
      </c>
      <c r="CU8" s="31">
        <f>[26]byGOVDetalhado!C8</f>
        <v>0</v>
      </c>
      <c r="CV8" s="21">
        <f>[26]byGOVDetalhado!D8</f>
        <v>0</v>
      </c>
      <c r="CW8" s="22">
        <f>[26]byGOVDetalhado!E8</f>
        <v>0</v>
      </c>
    </row>
    <row r="9" spans="1:101" s="9" customFormat="1" ht="11.4" x14ac:dyDescent="0.25">
      <c r="A9" s="32" t="s">
        <v>1</v>
      </c>
      <c r="B9" s="33">
        <f>[2]byGOVDetalhado!B9</f>
        <v>245.03203954924996</v>
      </c>
      <c r="C9" s="34">
        <f>[2]byGOVDetalhado!C9</f>
        <v>20.378965630376836</v>
      </c>
      <c r="D9" s="35">
        <f>[2]byGOVDetalhado!D9</f>
        <v>66.685338583693053</v>
      </c>
      <c r="E9" s="36">
        <f>[2]byGOVDetalhado!E9</f>
        <v>1412.7090006914796</v>
      </c>
      <c r="F9" s="33">
        <f>[3]byGOVDetalhado!B9</f>
        <v>281.98372694996999</v>
      </c>
      <c r="G9" s="34">
        <f>[3]byGOVDetalhado!C9</f>
        <v>21.431324748906139</v>
      </c>
      <c r="H9" s="35">
        <f>[3]byGOVDetalhado!D9</f>
        <v>66.876788253295402</v>
      </c>
      <c r="I9" s="36">
        <f>[3]byGOVDetalhado!E9</f>
        <v>1625.7504522410952</v>
      </c>
      <c r="J9" s="33">
        <f>[4]byGOVDetalhado!B9</f>
        <v>337.12694509392009</v>
      </c>
      <c r="K9" s="34">
        <f>[4]byGOVDetalhado!C9</f>
        <v>22.644404142024342</v>
      </c>
      <c r="L9" s="35">
        <f>[4]byGOVDetalhado!D9</f>
        <v>68.048054537314115</v>
      </c>
      <c r="M9" s="36">
        <f>[4]byGOVDetalhado!E9</f>
        <v>1891.0380704135559</v>
      </c>
      <c r="N9" s="33">
        <f>[5]byGOVDetalhado!B9</f>
        <v>377.00184365502997</v>
      </c>
      <c r="O9" s="34">
        <f>[5]byGOVDetalhado!C9</f>
        <v>21.944867059869615</v>
      </c>
      <c r="P9" s="35">
        <f>[5]byGOVDetalhado!D9</f>
        <v>67.319970522339503</v>
      </c>
      <c r="Q9" s="36">
        <f>[5]byGOVDetalhado!E9</f>
        <v>2087.2755259926871</v>
      </c>
      <c r="R9" s="33">
        <f>[6]byGOVDetalhado!B9</f>
        <v>443.4438623753199</v>
      </c>
      <c r="S9" s="34">
        <f>[6]byGOVDetalhado!C9</f>
        <v>22.65067735249886</v>
      </c>
      <c r="T9" s="35">
        <f>[6]byGOVDetalhado!D9</f>
        <v>67.366786225040826</v>
      </c>
      <c r="U9" s="36">
        <f>[6]byGOVDetalhado!E9</f>
        <v>2424.3631149055163</v>
      </c>
      <c r="V9" s="33">
        <f>[7]byGOVDetalhado!B9</f>
        <v>515.78385678532004</v>
      </c>
      <c r="W9" s="34">
        <f>[7]byGOVDetalhado!C9</f>
        <v>23.762435324362791</v>
      </c>
      <c r="X9" s="35">
        <f>[7]byGOVDetalhado!D9</f>
        <v>68.38963140114781</v>
      </c>
      <c r="Y9" s="36">
        <f>[7]byGOVDetalhado!E9</f>
        <v>2785.7499944413962</v>
      </c>
      <c r="Z9" s="33">
        <f>[8]byGOVDetalhado!B9</f>
        <v>564.59653388898982</v>
      </c>
      <c r="AA9" s="34">
        <f>[8]byGOVDetalhado!C9</f>
        <v>23.432589756541528</v>
      </c>
      <c r="AB9" s="35">
        <f>[8]byGOVDetalhado!D9</f>
        <v>68.061746893989323</v>
      </c>
      <c r="AC9" s="36">
        <f>[8]byGOVDetalhado!E9</f>
        <v>3013.8314836740419</v>
      </c>
      <c r="AD9" s="33">
        <f>[9]byGOVDetalhado!B9</f>
        <v>646.59570142053997</v>
      </c>
      <c r="AE9" s="34">
        <f>[9]byGOVDetalhado!C9</f>
        <v>23.769602476692139</v>
      </c>
      <c r="AF9" s="35">
        <f>[9]byGOVDetalhado!D9</f>
        <v>68.7268616542122</v>
      </c>
      <c r="AG9" s="36">
        <f>[9]byGOVDetalhado!E9</f>
        <v>3412.7852802548973</v>
      </c>
      <c r="AH9" s="33">
        <f>[10]byGOVDetalhado!B9</f>
        <v>738.74106788094002</v>
      </c>
      <c r="AI9" s="34">
        <f>[10]byGOVDetalhado!C9</f>
        <v>23.755236839148335</v>
      </c>
      <c r="AJ9" s="35">
        <f>[10]byGOVDetalhado!D9</f>
        <v>68.345888926689796</v>
      </c>
      <c r="AK9" s="36">
        <f>[10]byGOVDetalhado!E9</f>
        <v>3857.0023529066011</v>
      </c>
      <c r="AL9" s="33">
        <f>[11]byGOVDetalhado!B9</f>
        <v>745.83668001186982</v>
      </c>
      <c r="AM9" s="34">
        <f>[11]byGOVDetalhado!C9</f>
        <v>22.377076296193053</v>
      </c>
      <c r="AN9" s="35">
        <f>[11]byGOVDetalhado!D9</f>
        <v>67.473690257645799</v>
      </c>
      <c r="AO9" s="36">
        <f>[11]byGOVDetalhado!E9</f>
        <v>3853.577478365497</v>
      </c>
      <c r="AP9" s="33">
        <f>[12]byGOVDetalhado!B9</f>
        <v>868.73678569674996</v>
      </c>
      <c r="AQ9" s="34">
        <f>[12]byGOVDetalhado!C9</f>
        <v>22.356433119902807</v>
      </c>
      <c r="AR9" s="35">
        <f>[12]byGOVDetalhado!D9</f>
        <v>67.272904744994491</v>
      </c>
      <c r="AS9" s="36">
        <f>[12]byGOVDetalhado!E9</f>
        <v>4443.71649720815</v>
      </c>
      <c r="AT9" s="33">
        <f>[13]byGOVDetalhado!B9</f>
        <v>1017.0070951182497</v>
      </c>
      <c r="AU9" s="34">
        <f>[13]byGOVDetalhado!C9</f>
        <v>23.238535738385046</v>
      </c>
      <c r="AV9" s="35">
        <f>[13]byGOVDetalhado!D9</f>
        <v>68.18211375568994</v>
      </c>
      <c r="AW9" s="36">
        <f>[13]byGOVDetalhado!E9</f>
        <v>5152.0894561753194</v>
      </c>
      <c r="AX9" s="33">
        <f>[14]byGOVDetalhado!B9</f>
        <v>1111.1551610718998</v>
      </c>
      <c r="AY9" s="34">
        <f>[14]byGOVDetalhado!C9</f>
        <v>23.078100696024311</v>
      </c>
      <c r="AZ9" s="35">
        <f>[14]byGOVDetalhado!D9</f>
        <v>67.831487983126351</v>
      </c>
      <c r="BA9" s="36">
        <f>[14]byGOVDetalhado!E9</f>
        <v>5576.8993713393274</v>
      </c>
      <c r="BB9" s="33">
        <f>[15]byGOVDetalhado!B9</f>
        <v>1208.3874362288898</v>
      </c>
      <c r="BC9" s="34">
        <f>[15]byGOVDetalhado!C9</f>
        <v>22.664549665474784</v>
      </c>
      <c r="BD9" s="35">
        <f>[15]byGOVDetalhado!D9</f>
        <v>67.423076228574942</v>
      </c>
      <c r="BE9" s="36">
        <f>[15]byGOVDetalhado!E9</f>
        <v>6010.8994809117976</v>
      </c>
      <c r="BF9" s="33">
        <f>[16]byGOVDetalhado!B9</f>
        <v>1266.1929959723002</v>
      </c>
      <c r="BG9" s="34">
        <f>[16]byGOVDetalhado!C9</f>
        <v>21.910422112315153</v>
      </c>
      <c r="BH9" s="35">
        <f>[16]byGOVDetalhado!D9</f>
        <v>66.649409189616748</v>
      </c>
      <c r="BI9" s="36">
        <f>[16]byGOVDetalhado!E9</f>
        <v>6244.5232312309845</v>
      </c>
      <c r="BJ9" s="33">
        <f>[17]byGOVDetalhado!B9</f>
        <v>1299.1238138973797</v>
      </c>
      <c r="BK9" s="34">
        <f>[17]byGOVDetalhado!C9</f>
        <v>21.667277605048007</v>
      </c>
      <c r="BL9" s="35">
        <f>[17]byGOVDetalhado!D9</f>
        <v>65.977824460458123</v>
      </c>
      <c r="BM9" s="36">
        <f>[17]byGOVDetalhado!E9</f>
        <v>6354.2171191512316</v>
      </c>
      <c r="BN9" s="33">
        <f>[18]byGOVDetalhado!B9</f>
        <v>1374.5453953713395</v>
      </c>
      <c r="BO9" s="34">
        <f>[18]byGOVDetalhado!C9</f>
        <v>21.93235095024561</v>
      </c>
      <c r="BP9" s="35">
        <f>[18]byGOVDetalhado!D9</f>
        <v>65.888891895195769</v>
      </c>
      <c r="BQ9" s="36">
        <f>[18]byGOVDetalhado!E9</f>
        <v>6669.9138395512491</v>
      </c>
      <c r="BR9" s="33">
        <f>[19]byGOVDetalhado!B9</f>
        <v>1439.7472453331</v>
      </c>
      <c r="BS9" s="34">
        <f>[19]byGOVDetalhado!C9</f>
        <v>21.967986009491209</v>
      </c>
      <c r="BT9" s="35">
        <f>[19]byGOVDetalhado!D9</f>
        <v>65.341941150978826</v>
      </c>
      <c r="BU9" s="36">
        <f>[19]byGOVDetalhado!E9</f>
        <v>6933.1638467874709</v>
      </c>
      <c r="BV9" s="33">
        <f>[20]byGOVDetalhado!B9</f>
        <v>1550.4920455762201</v>
      </c>
      <c r="BW9" s="34">
        <f>[20]byGOVDetalhado!C9</f>
        <v>22.506204269857751</v>
      </c>
      <c r="BX9" s="35">
        <f>[20]byGOVDetalhado!D9</f>
        <v>65.344418060401154</v>
      </c>
      <c r="BY9" s="36">
        <f>[20]byGOVDetalhado!E9</f>
        <v>7436.5945909287002</v>
      </c>
      <c r="BZ9" s="33">
        <f>[21]byGOVDetalhado!B9</f>
        <v>1610.6225090690798</v>
      </c>
      <c r="CA9" s="34">
        <f>[21]byGOVDetalhado!C9</f>
        <v>21.797184392441821</v>
      </c>
      <c r="CB9" s="35">
        <f>[21]byGOVDetalhado!D9</f>
        <v>64.504258937981263</v>
      </c>
      <c r="CC9" s="36">
        <f>[21]byGOVDetalhado!E9</f>
        <v>7664.2614504913154</v>
      </c>
      <c r="CD9" s="33">
        <f>[22]byGOVDetalhado!B9</f>
        <v>1541.6975596177697</v>
      </c>
      <c r="CE9" s="34">
        <f>[22]byGOVDetalhado!C9</f>
        <v>20.25991073663651</v>
      </c>
      <c r="CF9" s="35">
        <f>[22]byGOVDetalhado!D9</f>
        <v>62.886457279935421</v>
      </c>
      <c r="CG9" s="36">
        <f>[22]byGOVDetalhado!E9</f>
        <v>7280.5483765591989</v>
      </c>
      <c r="CH9" s="33">
        <f>[23]byGOVDetalhado!B9</f>
        <v>1962.2414599582896</v>
      </c>
      <c r="CI9" s="34">
        <f>[23]byGOVDetalhado!C9</f>
        <v>22.050810862703056</v>
      </c>
      <c r="CJ9" s="35">
        <f>[23]byGOVDetalhado!D9</f>
        <v>64.105308858639546</v>
      </c>
      <c r="CK9" s="36">
        <f>[23]byGOVDetalhado!E9</f>
        <v>9198.6835648330489</v>
      </c>
      <c r="CL9" s="33">
        <f>[24]byGOVDetalhado!B9</f>
        <v>2292.7228653501907</v>
      </c>
      <c r="CM9" s="34">
        <f>[24]byGOVDetalhado!C9</f>
        <v>22.745997642684049</v>
      </c>
      <c r="CN9" s="35">
        <f>[24]byGOVDetalhado!D9</f>
        <v>65.162002476674417</v>
      </c>
      <c r="CO9" s="36">
        <f>[24]byGOVDetalhado!E9</f>
        <v>11289.710115862432</v>
      </c>
      <c r="CP9" s="33">
        <f>[25]byGOVDetalhado!B9</f>
        <v>2470.28269669975</v>
      </c>
      <c r="CQ9" s="34">
        <f>[25]byGOVDetalhado!C9</f>
        <v>22.573380647631563</v>
      </c>
      <c r="CR9" s="35">
        <f>[25]byGOVDetalhado!D9</f>
        <v>65.282527642806031</v>
      </c>
      <c r="CS9" s="36">
        <f>[25]byGOVDetalhado!E9</f>
        <v>11885.944847548519</v>
      </c>
      <c r="CT9" s="33">
        <f>[26]byGOVDetalhado!B9</f>
        <v>2735.2139160069196</v>
      </c>
      <c r="CU9" s="34">
        <f>[26]byGOVDetalhado!C9</f>
        <v>23.288903250024493</v>
      </c>
      <c r="CV9" s="35">
        <f>[26]byGOVDetalhado!D9</f>
        <v>64.781385785364847</v>
      </c>
      <c r="CW9" s="36">
        <f>[26]byGOVDetalhado!E9</f>
        <v>12866.523974701357</v>
      </c>
    </row>
    <row r="10" spans="1:101" x14ac:dyDescent="0.25">
      <c r="A10" s="37" t="s">
        <v>52</v>
      </c>
      <c r="B10" s="38">
        <f>[2]byGOVDetalhado!B10</f>
        <v>48.051029648749996</v>
      </c>
      <c r="C10" s="39">
        <f>[2]byGOVDetalhado!C10</f>
        <v>3.996335677234057</v>
      </c>
      <c r="D10" s="40">
        <f>[2]byGOVDetalhado!D10</f>
        <v>13.077062033668954</v>
      </c>
      <c r="E10" s="41">
        <f>[2]byGOVDetalhado!E10</f>
        <v>277.03365732152901</v>
      </c>
      <c r="F10" s="38">
        <f>[3]byGOVDetalhado!B10</f>
        <v>58.452662197709991</v>
      </c>
      <c r="G10" s="39">
        <f>[3]byGOVDetalhado!C10</f>
        <v>4.4425187210164498</v>
      </c>
      <c r="H10" s="40">
        <f>[3]byGOVDetalhado!D10</f>
        <v>13.862950018144909</v>
      </c>
      <c r="I10" s="41">
        <f>[3]byGOVDetalhado!E10</f>
        <v>337.00328395008154</v>
      </c>
      <c r="J10" s="38">
        <f>[4]byGOVDetalhado!B10</f>
        <v>75.551116416230002</v>
      </c>
      <c r="K10" s="39">
        <f>[4]byGOVDetalhado!C10</f>
        <v>5.074675988991709</v>
      </c>
      <c r="L10" s="40">
        <f>[4]byGOVDetalhado!D10</f>
        <v>15.249764413859971</v>
      </c>
      <c r="M10" s="41">
        <f>[4]byGOVDetalhado!E10</f>
        <v>423.78706147482626</v>
      </c>
      <c r="N10" s="38">
        <f>[5]byGOVDetalhado!B10</f>
        <v>82.421690026640007</v>
      </c>
      <c r="O10" s="39">
        <f>[5]byGOVDetalhado!C10</f>
        <v>4.7976768838813699</v>
      </c>
      <c r="P10" s="40">
        <f>[5]byGOVDetalhado!D10</f>
        <v>14.717768192327455</v>
      </c>
      <c r="Q10" s="41">
        <f>[5]byGOVDetalhado!E10</f>
        <v>456.32874029385647</v>
      </c>
      <c r="R10" s="38">
        <f>[6]byGOVDetalhado!B10</f>
        <v>90.36273354910999</v>
      </c>
      <c r="S10" s="39">
        <f>[6]byGOVDetalhado!C10</f>
        <v>4.6156397595562453</v>
      </c>
      <c r="T10" s="40">
        <f>[6]byGOVDetalhado!D10</f>
        <v>13.72766086129962</v>
      </c>
      <c r="U10" s="41">
        <f>[6]byGOVDetalhado!E10</f>
        <v>494.02437775332277</v>
      </c>
      <c r="V10" s="38">
        <f>[7]byGOVDetalhado!B10</f>
        <v>112.57153149588001</v>
      </c>
      <c r="W10" s="39">
        <f>[7]byGOVDetalhado!C10</f>
        <v>5.1862300483915629</v>
      </c>
      <c r="X10" s="40">
        <f>[7]byGOVDetalhado!D10</f>
        <v>14.926263092546352</v>
      </c>
      <c r="Y10" s="41">
        <f>[7]byGOVDetalhado!E10</f>
        <v>607.99914365957443</v>
      </c>
      <c r="Z10" s="38">
        <f>[8]byGOVDetalhado!B10</f>
        <v>122.18486880626999</v>
      </c>
      <c r="AA10" s="39">
        <f>[8]byGOVDetalhado!C10</f>
        <v>5.071068866599016</v>
      </c>
      <c r="AB10" s="40">
        <f>[8]byGOVDetalhado!D10</f>
        <v>14.729306886964954</v>
      </c>
      <c r="AC10" s="41">
        <f>[8]byGOVDetalhado!E10</f>
        <v>652.22611605568682</v>
      </c>
      <c r="AD10" s="38">
        <f>[9]byGOVDetalhado!B10</f>
        <v>143.96079139776998</v>
      </c>
      <c r="AE10" s="39">
        <f>[9]byGOVDetalhado!C10</f>
        <v>5.2921644487231561</v>
      </c>
      <c r="AF10" s="40">
        <f>[9]byGOVDetalhado!D10</f>
        <v>15.301638059592495</v>
      </c>
      <c r="AG10" s="41">
        <f>[9]byGOVDetalhado!E10</f>
        <v>759.83689457999276</v>
      </c>
      <c r="AH10" s="38">
        <f>[10]byGOVDetalhado!B10</f>
        <v>174.29936897449002</v>
      </c>
      <c r="AI10" s="39">
        <f>[10]byGOVDetalhado!C10</f>
        <v>5.6048363505498591</v>
      </c>
      <c r="AJ10" s="40">
        <f>[10]byGOVDetalhado!D10</f>
        <v>16.125603177976465</v>
      </c>
      <c r="AK10" s="41">
        <f>[10]byGOVDetalhado!E10</f>
        <v>910.02531938983986</v>
      </c>
      <c r="AL10" s="38">
        <f>[11]byGOVDetalhado!B10</f>
        <v>172.60141726969999</v>
      </c>
      <c r="AM10" s="39">
        <f>[11]byGOVDetalhado!C10</f>
        <v>5.1784997796215402</v>
      </c>
      <c r="AN10" s="40">
        <f>[11]byGOVDetalhado!D10</f>
        <v>15.61475169966308</v>
      </c>
      <c r="AO10" s="41">
        <f>[11]byGOVDetalhado!E10</f>
        <v>891.79434606768848</v>
      </c>
      <c r="AP10" s="38">
        <f>[12]byGOVDetalhado!B10</f>
        <v>190.54987511116997</v>
      </c>
      <c r="AQ10" s="39">
        <f>[12]byGOVDetalhado!C10</f>
        <v>4.9036895974331962</v>
      </c>
      <c r="AR10" s="40">
        <f>[12]byGOVDetalhado!D10</f>
        <v>14.755727866690121</v>
      </c>
      <c r="AS10" s="41">
        <f>[12]byGOVDetalhado!E10</f>
        <v>974.69065143056298</v>
      </c>
      <c r="AT10" s="38">
        <f>[13]byGOVDetalhado!B10</f>
        <v>231.29945093385999</v>
      </c>
      <c r="AU10" s="39">
        <f>[13]byGOVDetalhado!C10</f>
        <v>5.2851750814682079</v>
      </c>
      <c r="AV10" s="40">
        <f>[13]byGOVDetalhado!D10</f>
        <v>15.506760523993584</v>
      </c>
      <c r="AW10" s="41">
        <f>[13]byGOVDetalhado!E10</f>
        <v>1171.7474421718973</v>
      </c>
      <c r="AX10" s="38">
        <f>[14]byGOVDetalhado!B10</f>
        <v>235.64137130084998</v>
      </c>
      <c r="AY10" s="39">
        <f>[14]byGOVDetalhado!C10</f>
        <v>4.8941457372922006</v>
      </c>
      <c r="AZ10" s="40">
        <f>[14]byGOVDetalhado!D10</f>
        <v>14.384944070548888</v>
      </c>
      <c r="BA10" s="41">
        <f>[14]byGOVDetalhado!E10</f>
        <v>1182.6865063575151</v>
      </c>
      <c r="BB10" s="38">
        <f>[15]byGOVDetalhado!B10</f>
        <v>259.61410802</v>
      </c>
      <c r="BC10" s="39">
        <f>[15]byGOVDetalhado!C10</f>
        <v>4.8693297105438331</v>
      </c>
      <c r="BD10" s="40">
        <f>[15]byGOVDetalhado!D10</f>
        <v>14.485405318075806</v>
      </c>
      <c r="BE10" s="41">
        <f>[15]byGOVDetalhado!E10</f>
        <v>1291.4022939569925</v>
      </c>
      <c r="BF10" s="38">
        <f>[16]byGOVDetalhado!B10</f>
        <v>277.40030178272002</v>
      </c>
      <c r="BG10" s="39">
        <f>[16]byGOVDetalhado!C10</f>
        <v>4.8001826936941692</v>
      </c>
      <c r="BH10" s="40">
        <f>[16]byGOVDetalhado!D10</f>
        <v>14.6016968042399</v>
      </c>
      <c r="BI10" s="41">
        <f>[16]byGOVDetalhado!E10</f>
        <v>1368.0636635511576</v>
      </c>
      <c r="BJ10" s="38">
        <f>[17]byGOVDetalhado!B10</f>
        <v>294.59893951855997</v>
      </c>
      <c r="BK10" s="39">
        <f>[17]byGOVDetalhado!C10</f>
        <v>4.9134323737410943</v>
      </c>
      <c r="BL10" s="40">
        <f>[17]byGOVDetalhado!D10</f>
        <v>14.961620216537755</v>
      </c>
      <c r="BM10" s="41">
        <f>[17]byGOVDetalhado!E10</f>
        <v>1440.9293438758416</v>
      </c>
      <c r="BN10" s="38">
        <f>[18]byGOVDetalhado!B10</f>
        <v>333.76770803288002</v>
      </c>
      <c r="BO10" s="39">
        <f>[18]byGOVDetalhado!C10</f>
        <v>5.3256229536592476</v>
      </c>
      <c r="BP10" s="40">
        <f>[18]byGOVDetalhado!D10</f>
        <v>15.999169257516273</v>
      </c>
      <c r="BQ10" s="41">
        <f>[18]byGOVDetalhado!E10</f>
        <v>1619.5913663530832</v>
      </c>
      <c r="BR10" s="38">
        <f>[19]byGOVDetalhado!B10</f>
        <v>352.07921321182005</v>
      </c>
      <c r="BS10" s="39">
        <f>[19]byGOVDetalhado!C10</f>
        <v>5.372103509932737</v>
      </c>
      <c r="BT10" s="40">
        <f>[19]byGOVDetalhado!D10</f>
        <v>15.978873586833716</v>
      </c>
      <c r="BU10" s="41">
        <f>[19]byGOVDetalhado!E10</f>
        <v>1695.4523650995516</v>
      </c>
      <c r="BV10" s="38">
        <f>[20]byGOVDetalhado!B10</f>
        <v>350.80170560281999</v>
      </c>
      <c r="BW10" s="39">
        <f>[20]byGOVDetalhado!C10</f>
        <v>5.0920705249909348</v>
      </c>
      <c r="BX10" s="40">
        <f>[20]byGOVDetalhado!D10</f>
        <v>14.784295974052178</v>
      </c>
      <c r="BY10" s="41">
        <f>[20]byGOVDetalhado!E10</f>
        <v>1682.5433408818153</v>
      </c>
      <c r="BZ10" s="38">
        <f>[21]byGOVDetalhado!B10</f>
        <v>388.12890352641</v>
      </c>
      <c r="CA10" s="39">
        <f>[21]byGOVDetalhado!C10</f>
        <v>5.2527002637578084</v>
      </c>
      <c r="CB10" s="40">
        <f>[21]byGOVDetalhado!D10</f>
        <v>15.544280024282523</v>
      </c>
      <c r="CC10" s="41">
        <f>[21]byGOVDetalhado!E10</f>
        <v>1846.938917324755</v>
      </c>
      <c r="CD10" s="38">
        <f>[22]byGOVDetalhado!B10</f>
        <v>374.9158578534599</v>
      </c>
      <c r="CE10" s="39">
        <f>[22]byGOVDetalhado!C10</f>
        <v>4.9268819078521497</v>
      </c>
      <c r="CF10" s="40">
        <f>[22]byGOVDetalhado!D10</f>
        <v>15.29296711367785</v>
      </c>
      <c r="CG10" s="41">
        <f>[22]byGOVDetalhado!E10</f>
        <v>1770.5113582186962</v>
      </c>
      <c r="CH10" s="38">
        <f>[23]byGOVDetalhado!B10</f>
        <v>506.31433945537998</v>
      </c>
      <c r="CI10" s="39">
        <f>[23]byGOVDetalhado!C10</f>
        <v>5.6897389868840786</v>
      </c>
      <c r="CJ10" s="40">
        <f>[23]byGOVDetalhado!D10</f>
        <v>16.541000571374699</v>
      </c>
      <c r="CK10" s="41">
        <f>[23]byGOVDetalhado!E10</f>
        <v>2373.5230796145274</v>
      </c>
      <c r="CL10" s="38">
        <f>[24]byGOVDetalhado!B10</f>
        <v>653.46836752695003</v>
      </c>
      <c r="CM10" s="39">
        <f>[24]byGOVDetalhado!C10</f>
        <v>6.4830294895088905</v>
      </c>
      <c r="CN10" s="40">
        <f>[24]byGOVDetalhado!D10</f>
        <v>18.572374370556837</v>
      </c>
      <c r="CO10" s="41">
        <f>[24]byGOVDetalhado!E10</f>
        <v>3217.7759251937691</v>
      </c>
      <c r="CP10" s="38">
        <f>[25]byGOVDetalhado!B10</f>
        <v>731.63772064031991</v>
      </c>
      <c r="CQ10" s="39">
        <f>[25]byGOVDetalhado!C10</f>
        <v>6.6856869403019772</v>
      </c>
      <c r="CR10" s="40">
        <f>[25]byGOVDetalhado!D10</f>
        <v>19.335098685681583</v>
      </c>
      <c r="CS10" s="41">
        <f>[25]byGOVDetalhado!E10</f>
        <v>3520.3281015306125</v>
      </c>
      <c r="CT10" s="38">
        <f>[26]byGOVDetalhado!B10</f>
        <v>764.55033295458998</v>
      </c>
      <c r="CU10" s="39">
        <f>[26]byGOVDetalhado!C10</f>
        <v>6.5097426675670711</v>
      </c>
      <c r="CV10" s="40">
        <f>[26]byGOVDetalhado!D10</f>
        <v>18.10777203991643</v>
      </c>
      <c r="CW10" s="41">
        <f>[26]byGOVDetalhado!E10</f>
        <v>3596.4664888759839</v>
      </c>
    </row>
    <row r="11" spans="1:101" x14ac:dyDescent="0.25">
      <c r="A11" s="37" t="s">
        <v>53</v>
      </c>
      <c r="B11" s="38">
        <f>[2]byGOVDetalhado!B11</f>
        <v>17.553938179349998</v>
      </c>
      <c r="C11" s="39">
        <f>[2]byGOVDetalhado!C11</f>
        <v>1.4599360291527566</v>
      </c>
      <c r="D11" s="40">
        <f>[2]byGOVDetalhado!D11</f>
        <v>4.7772948922130212</v>
      </c>
      <c r="E11" s="41">
        <f>[2]byGOVDetalhado!E11</f>
        <v>101.20556686859382</v>
      </c>
      <c r="F11" s="38">
        <f>[3]byGOVDetalhado!B11</f>
        <v>18.83748975244</v>
      </c>
      <c r="G11" s="39">
        <f>[3]byGOVDetalhado!C11</f>
        <v>1.4316867313778019</v>
      </c>
      <c r="H11" s="40">
        <f>[3]byGOVDetalhado!D11</f>
        <v>4.467601116645521</v>
      </c>
      <c r="I11" s="41">
        <f>[3]byGOVDetalhado!E11</f>
        <v>108.60576181245337</v>
      </c>
      <c r="J11" s="38">
        <f>[4]byGOVDetalhado!B11</f>
        <v>18.471561741290003</v>
      </c>
      <c r="K11" s="39">
        <f>[4]byGOVDetalhado!C11</f>
        <v>1.2407121865847837</v>
      </c>
      <c r="L11" s="40">
        <f>[4]byGOVDetalhado!D11</f>
        <v>3.7284288872563796</v>
      </c>
      <c r="M11" s="41">
        <f>[4]byGOVDetalhado!E11</f>
        <v>103.61208731934096</v>
      </c>
      <c r="N11" s="38">
        <f>[5]byGOVDetalhado!B11</f>
        <v>17.92386812981</v>
      </c>
      <c r="O11" s="39">
        <f>[5]byGOVDetalhado!C11</f>
        <v>1.0433288588032248</v>
      </c>
      <c r="P11" s="40">
        <f>[5]byGOVDetalhado!D11</f>
        <v>3.2006057648068769</v>
      </c>
      <c r="Q11" s="41">
        <f>[5]byGOVDetalhado!E11</f>
        <v>99.235724992119884</v>
      </c>
      <c r="R11" s="38">
        <f>[6]byGOVDetalhado!B11</f>
        <v>21.05903418362</v>
      </c>
      <c r="S11" s="39">
        <f>[6]byGOVDetalhado!C11</f>
        <v>1.0756748015258324</v>
      </c>
      <c r="T11" s="40">
        <f>[6]byGOVDetalhado!D11</f>
        <v>3.1992312315578286</v>
      </c>
      <c r="U11" s="41">
        <f>[6]byGOVDetalhado!E11</f>
        <v>115.13237647901249</v>
      </c>
      <c r="V11" s="38">
        <f>[7]byGOVDetalhado!B11</f>
        <v>24.061421317649998</v>
      </c>
      <c r="W11" s="39">
        <f>[7]byGOVDetalhado!C11</f>
        <v>1.1085224175809747</v>
      </c>
      <c r="X11" s="40">
        <f>[7]byGOVDetalhado!D11</f>
        <v>3.1903901474503038</v>
      </c>
      <c r="Y11" s="41">
        <f>[7]byGOVDetalhado!E11</f>
        <v>129.95580109788989</v>
      </c>
      <c r="Z11" s="38">
        <f>[8]byGOVDetalhado!B11</f>
        <v>26.780064494209995</v>
      </c>
      <c r="AA11" s="39">
        <f>[8]byGOVDetalhado!C11</f>
        <v>1.1114596482271886</v>
      </c>
      <c r="AB11" s="40">
        <f>[8]byGOVDetalhado!D11</f>
        <v>3.2283194493857934</v>
      </c>
      <c r="AC11" s="41">
        <f>[8]byGOVDetalhado!E11</f>
        <v>142.95270456502774</v>
      </c>
      <c r="AD11" s="38">
        <f>[9]byGOVDetalhado!B11</f>
        <v>31.24002807738</v>
      </c>
      <c r="AE11" s="39">
        <f>[9]byGOVDetalhado!C11</f>
        <v>1.1484194019982625</v>
      </c>
      <c r="AF11" s="40">
        <f>[9]byGOVDetalhado!D11</f>
        <v>3.3205124671117972</v>
      </c>
      <c r="AG11" s="41">
        <f>[9]byGOVDetalhado!E11</f>
        <v>164.88743699193017</v>
      </c>
      <c r="AH11" s="38">
        <f>[10]byGOVDetalhado!B11</f>
        <v>36.695285377910004</v>
      </c>
      <c r="AI11" s="39">
        <f>[10]byGOVDetalhado!C11</f>
        <v>1.1799874583023429</v>
      </c>
      <c r="AJ11" s="40">
        <f>[10]byGOVDetalhado!D11</f>
        <v>3.3949268662778893</v>
      </c>
      <c r="AK11" s="41">
        <f>[10]byGOVDetalhado!E11</f>
        <v>191.58783530089127</v>
      </c>
      <c r="AL11" s="38">
        <f>[11]byGOVDetalhado!B11</f>
        <v>27.598789248500001</v>
      </c>
      <c r="AM11" s="39">
        <f>[11]byGOVDetalhado!C11</f>
        <v>0.82803679310383105</v>
      </c>
      <c r="AN11" s="40">
        <f>[11]byGOVDetalhado!D11</f>
        <v>2.4967827503599009</v>
      </c>
      <c r="AO11" s="41">
        <f>[11]byGOVDetalhado!E11</f>
        <v>142.59699948852449</v>
      </c>
      <c r="AP11" s="38">
        <f>[12]byGOVDetalhado!B11</f>
        <v>37.255019833280002</v>
      </c>
      <c r="AQ11" s="39">
        <f>[12]byGOVDetalhado!C11</f>
        <v>0.95873614769907312</v>
      </c>
      <c r="AR11" s="40">
        <f>[12]byGOVDetalhado!D11</f>
        <v>2.8849398825756474</v>
      </c>
      <c r="AS11" s="41">
        <f>[12]byGOVDetalhado!E11</f>
        <v>190.56490868426511</v>
      </c>
      <c r="AT11" s="38">
        <f>[13]byGOVDetalhado!B11</f>
        <v>41.140073034149999</v>
      </c>
      <c r="AU11" s="39">
        <f>[13]byGOVDetalhado!C11</f>
        <v>0.94004757889393564</v>
      </c>
      <c r="AV11" s="40">
        <f>[13]byGOVDetalhado!D11</f>
        <v>2.7581097054250749</v>
      </c>
      <c r="AW11" s="41">
        <f>[13]byGOVDetalhado!E11</f>
        <v>208.41283951994654</v>
      </c>
      <c r="AX11" s="38">
        <f>[14]byGOVDetalhado!B11</f>
        <v>42.5667751079</v>
      </c>
      <c r="AY11" s="39">
        <f>[14]byGOVDetalhado!C11</f>
        <v>0.88408924033389003</v>
      </c>
      <c r="AZ11" s="40">
        <f>[14]byGOVDetalhado!D11</f>
        <v>2.5985279062436248</v>
      </c>
      <c r="BA11" s="41">
        <f>[14]byGOVDetalhado!E11</f>
        <v>213.64308933253395</v>
      </c>
      <c r="BB11" s="38">
        <f>[15]byGOVDetalhado!B11</f>
        <v>42.70626477479999</v>
      </c>
      <c r="BC11" s="39">
        <f>[15]byGOVDetalhado!C11</f>
        <v>0.80099993594440999</v>
      </c>
      <c r="BD11" s="40">
        <f>[15]byGOVDetalhado!D11</f>
        <v>2.3828348913780313</v>
      </c>
      <c r="BE11" s="41">
        <f>[15]byGOVDetalhado!E11</f>
        <v>212.43440395875066</v>
      </c>
      <c r="BF11" s="38">
        <f>[16]byGOVDetalhado!B11</f>
        <v>48.910482261369999</v>
      </c>
      <c r="BG11" s="39">
        <f>[16]byGOVDetalhado!C11</f>
        <v>0.84635542565184385</v>
      </c>
      <c r="BH11" s="40">
        <f>[16]byGOVDetalhado!D11</f>
        <v>2.5745322839953975</v>
      </c>
      <c r="BI11" s="41">
        <f>[16]byGOVDetalhado!E11</f>
        <v>241.21334085986172</v>
      </c>
      <c r="BJ11" s="38">
        <f>[17]byGOVDetalhado!B11</f>
        <v>47.961109658980007</v>
      </c>
      <c r="BK11" s="39">
        <f>[17]byGOVDetalhado!C11</f>
        <v>0.79991350024575592</v>
      </c>
      <c r="BL11" s="40">
        <f>[17]byGOVDetalhado!D11</f>
        <v>2.4357722028940691</v>
      </c>
      <c r="BM11" s="41">
        <f>[17]byGOVDetalhado!E11</f>
        <v>234.58526492121825</v>
      </c>
      <c r="BN11" s="38">
        <f>[18]byGOVDetalhado!B11</f>
        <v>41.757059205250002</v>
      </c>
      <c r="BO11" s="39">
        <f>[18]byGOVDetalhado!C11</f>
        <v>0.66627881496217212</v>
      </c>
      <c r="BP11" s="40">
        <f>[18]byGOVDetalhado!D11</f>
        <v>2.0016264061564311</v>
      </c>
      <c r="BQ11" s="41">
        <f>[18]byGOVDetalhado!E11</f>
        <v>202.62407340633192</v>
      </c>
      <c r="BR11" s="38">
        <f>[19]byGOVDetalhado!B11</f>
        <v>47.576969316800003</v>
      </c>
      <c r="BS11" s="39">
        <f>[19]byGOVDetalhado!C11</f>
        <v>0.72594005629345337</v>
      </c>
      <c r="BT11" s="40">
        <f>[19]byGOVDetalhado!D11</f>
        <v>2.1592481175548457</v>
      </c>
      <c r="BU11" s="41">
        <f>[19]byGOVDetalhado!E11</f>
        <v>229.10891107879038</v>
      </c>
      <c r="BV11" s="38">
        <f>[20]byGOVDetalhado!B11</f>
        <v>53.762110791090002</v>
      </c>
      <c r="BW11" s="39">
        <f>[20]byGOVDetalhado!C11</f>
        <v>0.7803852015205418</v>
      </c>
      <c r="BX11" s="40">
        <f>[20]byGOVDetalhado!D11</f>
        <v>2.2657670855944367</v>
      </c>
      <c r="BY11" s="41">
        <f>[20]byGOVDetalhado!E11</f>
        <v>257.85815763881999</v>
      </c>
      <c r="BZ11" s="38">
        <f>[21]byGOVDetalhado!B11</f>
        <v>52.258162229589985</v>
      </c>
      <c r="CA11" s="39">
        <f>[21]byGOVDetalhado!C11</f>
        <v>0.70723014965616371</v>
      </c>
      <c r="CB11" s="40">
        <f>[21]byGOVDetalhado!D11</f>
        <v>2.0929013527998119</v>
      </c>
      <c r="CC11" s="41">
        <f>[21]byGOVDetalhado!E11</f>
        <v>248.67417162899554</v>
      </c>
      <c r="CD11" s="38">
        <f>[22]byGOVDetalhado!B11</f>
        <v>55.675970292149998</v>
      </c>
      <c r="CE11" s="39">
        <f>[22]byGOVDetalhado!C11</f>
        <v>0.73165464993941198</v>
      </c>
      <c r="CF11" s="40">
        <f>[22]byGOVDetalhado!D11</f>
        <v>2.2710449954687002</v>
      </c>
      <c r="CG11" s="41">
        <f>[22]byGOVDetalhado!E11</f>
        <v>262.92549572717036</v>
      </c>
      <c r="CH11" s="38">
        <f>[23]byGOVDetalhado!B11</f>
        <v>70.086018986019994</v>
      </c>
      <c r="CI11" s="39">
        <f>[23]byGOVDetalhado!C11</f>
        <v>0.78759601217140374</v>
      </c>
      <c r="CJ11" s="40">
        <f>[23]byGOVDetalhado!D11</f>
        <v>2.2896702497901504</v>
      </c>
      <c r="CK11" s="41">
        <f>[23]byGOVDetalhado!E11</f>
        <v>328.55238467185541</v>
      </c>
      <c r="CL11" s="38">
        <f>[24]byGOVDetalhado!B11</f>
        <v>58.255360537810006</v>
      </c>
      <c r="CM11" s="39">
        <f>[24]byGOVDetalhado!C11</f>
        <v>0.57794874098939297</v>
      </c>
      <c r="CN11" s="40">
        <f>[24]byGOVDetalhado!D11</f>
        <v>1.6556889648607969</v>
      </c>
      <c r="CO11" s="41">
        <f>[24]byGOVDetalhado!E11</f>
        <v>286.85810357043385</v>
      </c>
      <c r="CP11" s="38">
        <f>[25]byGOVDetalhado!B11</f>
        <v>59.723118909839997</v>
      </c>
      <c r="CQ11" s="39">
        <f>[25]byGOVDetalhado!C11</f>
        <v>0.5457483462992665</v>
      </c>
      <c r="CR11" s="40">
        <f>[25]byGOVDetalhado!D11</f>
        <v>1.5783117318333828</v>
      </c>
      <c r="CS11" s="41">
        <f>[25]byGOVDetalhado!E11</f>
        <v>287.36213002435187</v>
      </c>
      <c r="CT11" s="38">
        <f>[26]byGOVDetalhado!B11</f>
        <v>82.173979121600013</v>
      </c>
      <c r="CU11" s="39">
        <f>[26]byGOVDetalhado!C11</f>
        <v>0.69966807284539789</v>
      </c>
      <c r="CV11" s="40">
        <f>[26]byGOVDetalhado!D11</f>
        <v>1.9462259283786927</v>
      </c>
      <c r="CW11" s="41">
        <f>[26]byGOVDetalhado!E11</f>
        <v>386.54873254235099</v>
      </c>
    </row>
    <row r="12" spans="1:101" x14ac:dyDescent="0.25">
      <c r="A12" s="37" t="s">
        <v>54</v>
      </c>
      <c r="B12" s="38">
        <f>[2]byGOVDetalhado!B12</f>
        <v>3.09098993904</v>
      </c>
      <c r="C12" s="39">
        <f>[2]byGOVDetalhado!C12</f>
        <v>0.25707322947404143</v>
      </c>
      <c r="D12" s="40">
        <f>[2]byGOVDetalhado!D12</f>
        <v>0.84121125964933874</v>
      </c>
      <c r="E12" s="41">
        <f>[2]byGOVDetalhado!E12</f>
        <v>17.820809539688547</v>
      </c>
      <c r="F12" s="38">
        <f>[3]byGOVDetalhado!B12</f>
        <v>3.5519022288999995</v>
      </c>
      <c r="G12" s="39">
        <f>[3]byGOVDetalhado!C12</f>
        <v>0.26995164212942374</v>
      </c>
      <c r="H12" s="40">
        <f>[3]byGOVDetalhado!D12</f>
        <v>0.84238837406634437</v>
      </c>
      <c r="I12" s="41">
        <f>[3]byGOVDetalhado!E12</f>
        <v>20.478155663127509</v>
      </c>
      <c r="J12" s="38">
        <f>[4]byGOVDetalhado!B12</f>
        <v>3.9932629838199998</v>
      </c>
      <c r="K12" s="39">
        <f>[4]byGOVDetalhado!C12</f>
        <v>0.26822258548872335</v>
      </c>
      <c r="L12" s="40">
        <f>[4]byGOVDetalhado!D12</f>
        <v>0.80602805933865307</v>
      </c>
      <c r="M12" s="41">
        <f>[4]byGOVDetalhado!E12</f>
        <v>22.399314078775593</v>
      </c>
      <c r="N12" s="38">
        <f>[5]byGOVDetalhado!B12</f>
        <v>4.4184167645799999</v>
      </c>
      <c r="O12" s="39">
        <f>[5]byGOVDetalhado!C12</f>
        <v>0.25719123167612562</v>
      </c>
      <c r="P12" s="40">
        <f>[5]byGOVDetalhado!D12</f>
        <v>0.78898204704566754</v>
      </c>
      <c r="Q12" s="41">
        <f>[5]byGOVDetalhado!E12</f>
        <v>24.462620890476327</v>
      </c>
      <c r="R12" s="38">
        <f>[6]byGOVDetalhado!B12</f>
        <v>5.2309541445300001</v>
      </c>
      <c r="S12" s="39">
        <f>[6]byGOVDetalhado!C12</f>
        <v>0.26719200473042792</v>
      </c>
      <c r="T12" s="40">
        <f>[6]byGOVDetalhado!D12</f>
        <v>0.79467233511800717</v>
      </c>
      <c r="U12" s="41">
        <f>[6]byGOVDetalhado!E12</f>
        <v>28.598281225115183</v>
      </c>
      <c r="V12" s="38">
        <f>[7]byGOVDetalhado!B12</f>
        <v>5.9653248037899997</v>
      </c>
      <c r="W12" s="39">
        <f>[7]byGOVDetalhado!C12</f>
        <v>0.27482567159498472</v>
      </c>
      <c r="X12" s="40">
        <f>[7]byGOVDetalhado!D12</f>
        <v>0.79096381003860394</v>
      </c>
      <c r="Y12" s="41">
        <f>[7]byGOVDetalhado!E12</f>
        <v>32.218735271344158</v>
      </c>
      <c r="Z12" s="38">
        <f>[8]byGOVDetalhado!B12</f>
        <v>6.7375805047800004</v>
      </c>
      <c r="AA12" s="39">
        <f>[8]byGOVDetalhado!C12</f>
        <v>0.27963147211106271</v>
      </c>
      <c r="AB12" s="40">
        <f>[8]byGOVDetalhado!D12</f>
        <v>0.81221097096635197</v>
      </c>
      <c r="AC12" s="41">
        <f>[8]byGOVDetalhado!E12</f>
        <v>35.965385953090056</v>
      </c>
      <c r="AD12" s="38">
        <f>[9]byGOVDetalhado!B12</f>
        <v>7.8165821498900012</v>
      </c>
      <c r="AE12" s="39">
        <f>[9]byGOVDetalhado!C12</f>
        <v>0.28734655986902746</v>
      </c>
      <c r="AF12" s="40">
        <f>[9]byGOVDetalhado!D12</f>
        <v>0.83082698948361688</v>
      </c>
      <c r="AG12" s="41">
        <f>[9]byGOVDetalhado!E12</f>
        <v>41.25656332765773</v>
      </c>
      <c r="AH12" s="38">
        <f>[10]byGOVDetalhado!B12</f>
        <v>20.167891471099999</v>
      </c>
      <c r="AI12" s="39">
        <f>[10]byGOVDetalhado!C12</f>
        <v>0.64852633659109593</v>
      </c>
      <c r="AJ12" s="40">
        <f>[10]byGOVDetalhado!D12</f>
        <v>1.8658668514574646</v>
      </c>
      <c r="AK12" s="41">
        <f>[10]byGOVDetalhado!E12</f>
        <v>105.29752336678592</v>
      </c>
      <c r="AL12" s="38">
        <f>[11]byGOVDetalhado!B12</f>
        <v>19.193097568059997</v>
      </c>
      <c r="AM12" s="39">
        <f>[11]byGOVDetalhado!C12</f>
        <v>0.57584377404704823</v>
      </c>
      <c r="AN12" s="40">
        <f>[11]byGOVDetalhado!D12</f>
        <v>1.7363441019975643</v>
      </c>
      <c r="AO12" s="41">
        <f>[11]byGOVDetalhado!E12</f>
        <v>99.166601094452076</v>
      </c>
      <c r="AP12" s="38">
        <f>[12]byGOVDetalhado!B12</f>
        <v>26.529574587689996</v>
      </c>
      <c r="AQ12" s="39">
        <f>[12]byGOVDetalhado!C12</f>
        <v>0.68272308682482852</v>
      </c>
      <c r="AR12" s="40">
        <f>[12]byGOVDetalhado!D12</f>
        <v>2.0543869829703394</v>
      </c>
      <c r="AS12" s="41">
        <f>[12]byGOVDetalhado!E12</f>
        <v>135.70267795749123</v>
      </c>
      <c r="AT12" s="38">
        <f>[13]byGOVDetalhado!B12</f>
        <v>31.8704784904</v>
      </c>
      <c r="AU12" s="39">
        <f>[13]byGOVDetalhado!C12</f>
        <v>0.72823803978720325</v>
      </c>
      <c r="AV12" s="40">
        <f>[13]byGOVDetalhado!D12</f>
        <v>2.1366582399585545</v>
      </c>
      <c r="AW12" s="41">
        <f>[13]byGOVDetalhado!E12</f>
        <v>161.45369779800828</v>
      </c>
      <c r="AX12" s="38">
        <f>[14]byGOVDetalhado!B12</f>
        <v>30.998400117089997</v>
      </c>
      <c r="AY12" s="39">
        <f>[14]byGOVDetalhado!C12</f>
        <v>0.64382025515477392</v>
      </c>
      <c r="AZ12" s="40">
        <f>[14]byGOVDetalhado!D12</f>
        <v>1.8923258233441935</v>
      </c>
      <c r="BA12" s="41">
        <f>[14]byGOVDetalhado!E12</f>
        <v>155.58129429804976</v>
      </c>
      <c r="BB12" s="38">
        <f>[15]byGOVDetalhado!B12</f>
        <v>29.412259601910002</v>
      </c>
      <c r="BC12" s="39">
        <f>[15]byGOVDetalhado!C12</f>
        <v>0.55165719084409459</v>
      </c>
      <c r="BD12" s="40">
        <f>[15]byGOVDetalhado!D12</f>
        <v>1.6410837797047291</v>
      </c>
      <c r="BE12" s="41">
        <f>[15]byGOVDetalhado!E12</f>
        <v>146.30583757581863</v>
      </c>
      <c r="BF12" s="38">
        <f>[16]byGOVDetalhado!B12</f>
        <v>29.739886525400003</v>
      </c>
      <c r="BG12" s="39">
        <f>[16]byGOVDetalhado!C12</f>
        <v>0.51462412872020247</v>
      </c>
      <c r="BH12" s="40">
        <f>[16]byGOVDetalhado!D12</f>
        <v>1.56543739587035</v>
      </c>
      <c r="BI12" s="41">
        <f>[16]byGOVDetalhado!E12</f>
        <v>146.66911986780278</v>
      </c>
      <c r="BJ12" s="38">
        <f>[17]byGOVDetalhado!B12</f>
        <v>34.68021132266</v>
      </c>
      <c r="BK12" s="39">
        <f>[17]byGOVDetalhado!C12</f>
        <v>0.57840966202868782</v>
      </c>
      <c r="BL12" s="40">
        <f>[17]byGOVDetalhado!D12</f>
        <v>1.7612831590190503</v>
      </c>
      <c r="BM12" s="41">
        <f>[17]byGOVDetalhado!E12</f>
        <v>169.62632054379051</v>
      </c>
      <c r="BN12" s="38">
        <f>[18]byGOVDetalhado!B12</f>
        <v>33.642583159099999</v>
      </c>
      <c r="BO12" s="39">
        <f>[18]byGOVDetalhado!C12</f>
        <v>0.53680361754721595</v>
      </c>
      <c r="BP12" s="40">
        <f>[18]byGOVDetalhado!D12</f>
        <v>1.6126586523148103</v>
      </c>
      <c r="BQ12" s="41">
        <f>[18]byGOVDetalhado!E12</f>
        <v>163.24897800156978</v>
      </c>
      <c r="BR12" s="38">
        <f>[19]byGOVDetalhado!B12</f>
        <v>34.408094746450004</v>
      </c>
      <c r="BS12" s="39">
        <f>[19]byGOVDetalhado!C12</f>
        <v>0.52500641793440761</v>
      </c>
      <c r="BT12" s="40">
        <f>[19]byGOVDetalhado!D12</f>
        <v>1.5615877782212215</v>
      </c>
      <c r="BU12" s="41">
        <f>[19]byGOVDetalhado!E12</f>
        <v>165.69363775912802</v>
      </c>
      <c r="BV12" s="38">
        <f>[20]byGOVDetalhado!B12</f>
        <v>36.612378865470006</v>
      </c>
      <c r="BW12" s="39">
        <f>[20]byGOVDetalhado!C12</f>
        <v>0.53144785869924283</v>
      </c>
      <c r="BX12" s="40">
        <f>[20]byGOVDetalhado!D12</f>
        <v>1.543003459835202</v>
      </c>
      <c r="BY12" s="41">
        <f>[20]byGOVDetalhado!E12</f>
        <v>175.6032347336554</v>
      </c>
      <c r="BZ12" s="38">
        <f>[21]byGOVDetalhado!B12</f>
        <v>40.941984042829986</v>
      </c>
      <c r="CA12" s="39">
        <f>[21]byGOVDetalhado!C12</f>
        <v>0.55408388405659592</v>
      </c>
      <c r="CB12" s="40">
        <f>[21]byGOVDetalhado!D12</f>
        <v>1.639696654717578</v>
      </c>
      <c r="CC12" s="41">
        <f>[21]byGOVDetalhado!E12</f>
        <v>194.82533507336817</v>
      </c>
      <c r="CD12" s="38">
        <f>[22]byGOVDetalhado!B12</f>
        <v>21.944817092709997</v>
      </c>
      <c r="CE12" s="39">
        <f>[22]byGOVDetalhado!C12</f>
        <v>0.28838343335014976</v>
      </c>
      <c r="CF12" s="40">
        <f>[22]byGOVDetalhado!D12</f>
        <v>0.8951378264870915</v>
      </c>
      <c r="CG12" s="41">
        <f>[22]byGOVDetalhado!E12</f>
        <v>103.63271412184753</v>
      </c>
      <c r="CH12" s="38">
        <f>[23]byGOVDetalhado!B12</f>
        <v>49.01222802457</v>
      </c>
      <c r="CI12" s="39">
        <f>[23]byGOVDetalhado!C12</f>
        <v>0.55077797110272053</v>
      </c>
      <c r="CJ12" s="40">
        <f>[23]byGOVDetalhado!D12</f>
        <v>1.6012015236044981</v>
      </c>
      <c r="CK12" s="41">
        <f>[23]byGOVDetalhado!E12</f>
        <v>229.76172178883903</v>
      </c>
      <c r="CL12" s="38">
        <f>[24]byGOVDetalhado!B12</f>
        <v>58.96007748597998</v>
      </c>
      <c r="CM12" s="39">
        <f>[24]byGOVDetalhado!C12</f>
        <v>0.58494020528020929</v>
      </c>
      <c r="CN12" s="40">
        <f>[24]byGOVDetalhado!D12</f>
        <v>1.6757178868975615</v>
      </c>
      <c r="CO12" s="41">
        <f>[24]byGOVDetalhado!E12</f>
        <v>290.32823516759009</v>
      </c>
      <c r="CP12" s="38">
        <f>[25]byGOVDetalhado!B12</f>
        <v>61.012797037120002</v>
      </c>
      <c r="CQ12" s="39">
        <f>[25]byGOVDetalhado!C12</f>
        <v>0.55753339232614829</v>
      </c>
      <c r="CR12" s="40">
        <f>[25]byGOVDetalhado!D12</f>
        <v>1.6123942472098456</v>
      </c>
      <c r="CS12" s="41">
        <f>[25]byGOVDetalhado!E12</f>
        <v>293.56751012615933</v>
      </c>
      <c r="CT12" s="38">
        <f>[26]byGOVDetalhado!B12</f>
        <v>67.402229597279984</v>
      </c>
      <c r="CU12" s="39">
        <f>[26]byGOVDetalhado!C12</f>
        <v>0.57389442000887358</v>
      </c>
      <c r="CV12" s="40">
        <f>[26]byGOVDetalhado!D12</f>
        <v>1.5963686835542132</v>
      </c>
      <c r="CW12" s="41">
        <f>[26]byGOVDetalhado!E12</f>
        <v>317.06200308010364</v>
      </c>
    </row>
    <row r="13" spans="1:101" x14ac:dyDescent="0.25">
      <c r="A13" s="37" t="s">
        <v>55</v>
      </c>
      <c r="B13" s="38">
        <f>[2]byGOVDetalhado!B13</f>
        <v>8.4307441880700011</v>
      </c>
      <c r="C13" s="39">
        <f>[2]byGOVDetalhado!C13</f>
        <v>0.70117298277903373</v>
      </c>
      <c r="D13" s="40">
        <f>[2]byGOVDetalhado!D13</f>
        <v>2.2944225242060643</v>
      </c>
      <c r="E13" s="41">
        <f>[2]byGOVDetalhado!E13</f>
        <v>48.60665657814922</v>
      </c>
      <c r="F13" s="38">
        <f>[3]byGOVDetalhado!B13</f>
        <v>9.0965328661400022</v>
      </c>
      <c r="G13" s="39">
        <f>[3]byGOVDetalhado!C13</f>
        <v>0.69135461131745668</v>
      </c>
      <c r="H13" s="40">
        <f>[3]byGOVDetalhado!D13</f>
        <v>2.1573830125166094</v>
      </c>
      <c r="I13" s="41">
        <f>[3]byGOVDetalhado!E13</f>
        <v>52.4451981003036</v>
      </c>
      <c r="J13" s="38">
        <f>[4]byGOVDetalhado!B13</f>
        <v>7.9535269308999998</v>
      </c>
      <c r="K13" s="39">
        <f>[4]byGOVDetalhado!C13</f>
        <v>0.53422866608185049</v>
      </c>
      <c r="L13" s="40">
        <f>[4]byGOVDetalhado!D13</f>
        <v>1.6053953628865258</v>
      </c>
      <c r="M13" s="41">
        <f>[4]byGOVDetalhado!E13</f>
        <v>44.613527453883222</v>
      </c>
      <c r="N13" s="38">
        <f>[5]byGOVDetalhado!B13</f>
        <v>8.1282985647099988</v>
      </c>
      <c r="O13" s="39">
        <f>[5]byGOVDetalhado!C13</f>
        <v>0.47313941411042221</v>
      </c>
      <c r="P13" s="40">
        <f>[5]byGOVDetalhado!D13</f>
        <v>1.4514433522870409</v>
      </c>
      <c r="Q13" s="41">
        <f>[5]byGOVDetalhado!E13</f>
        <v>45.00242889423415</v>
      </c>
      <c r="R13" s="38">
        <f>[6]byGOVDetalhado!B13</f>
        <v>9.215887946799997</v>
      </c>
      <c r="S13" s="39">
        <f>[6]byGOVDetalhado!C13</f>
        <v>0.47073851305911724</v>
      </c>
      <c r="T13" s="40">
        <f>[6]byGOVDetalhado!D13</f>
        <v>1.4000526467103023</v>
      </c>
      <c r="U13" s="41">
        <f>[6]byGOVDetalhado!E13</f>
        <v>50.384413236988209</v>
      </c>
      <c r="V13" s="38">
        <f>[7]byGOVDetalhado!B13</f>
        <v>8.9411286647900017</v>
      </c>
      <c r="W13" s="39">
        <f>[7]byGOVDetalhado!C13</f>
        <v>0.41192253078271535</v>
      </c>
      <c r="X13" s="40">
        <f>[7]byGOVDetalhado!D13</f>
        <v>1.1855363165228647</v>
      </c>
      <c r="Y13" s="41">
        <f>[7]byGOVDetalhado!E13</f>
        <v>48.291059909239614</v>
      </c>
      <c r="Z13" s="38">
        <f>[8]byGOVDetalhado!B13</f>
        <v>9.8571358125100019</v>
      </c>
      <c r="AA13" s="39">
        <f>[8]byGOVDetalhado!C13</f>
        <v>0.40910314854053842</v>
      </c>
      <c r="AB13" s="40">
        <f>[8]byGOVDetalhado!D13</f>
        <v>1.1882713451135778</v>
      </c>
      <c r="AC13" s="41">
        <f>[8]byGOVDetalhado!E13</f>
        <v>52.617656091446435</v>
      </c>
      <c r="AD13" s="38">
        <f>[9]byGOVDetalhado!B13</f>
        <v>12.216069787259999</v>
      </c>
      <c r="AE13" s="39">
        <f>[9]byGOVDetalhado!C13</f>
        <v>0.44907679100366393</v>
      </c>
      <c r="AF13" s="40">
        <f>[9]byGOVDetalhado!D13</f>
        <v>1.298449922235362</v>
      </c>
      <c r="AG13" s="41">
        <f>[9]byGOVDetalhado!E13</f>
        <v>64.477420837990024</v>
      </c>
      <c r="AH13" s="38">
        <f>[10]byGOVDetalhado!B13</f>
        <v>17.101490331640001</v>
      </c>
      <c r="AI13" s="39">
        <f>[10]byGOVDetalhado!C13</f>
        <v>0.54992198321372776</v>
      </c>
      <c r="AJ13" s="40">
        <f>[10]byGOVDetalhado!D13</f>
        <v>1.5821735239924422</v>
      </c>
      <c r="AK13" s="41">
        <f>[10]byGOVDetalhado!E13</f>
        <v>89.287696752193511</v>
      </c>
      <c r="AL13" s="38">
        <f>[11]byGOVDetalhado!B13</f>
        <v>15.806918437590005</v>
      </c>
      <c r="AM13" s="39">
        <f>[11]byGOVDetalhado!C13</f>
        <v>0.4742494293523119</v>
      </c>
      <c r="AN13" s="40">
        <f>[11]byGOVDetalhado!D13</f>
        <v>1.4300062562876958</v>
      </c>
      <c r="AO13" s="41">
        <f>[11]byGOVDetalhado!E13</f>
        <v>81.670942883216398</v>
      </c>
      <c r="AP13" s="38">
        <f>[12]byGOVDetalhado!B13</f>
        <v>21.080739008959995</v>
      </c>
      <c r="AQ13" s="39">
        <f>[12]byGOVDetalhado!C13</f>
        <v>0.54250048982782895</v>
      </c>
      <c r="AR13" s="40">
        <f>[12]byGOVDetalhado!D13</f>
        <v>1.6324421512396901</v>
      </c>
      <c r="AS13" s="41">
        <f>[12]byGOVDetalhado!E13</f>
        <v>107.83108215260347</v>
      </c>
      <c r="AT13" s="38">
        <f>[13]byGOVDetalhado!B13</f>
        <v>26.644493091240001</v>
      </c>
      <c r="AU13" s="39">
        <f>[13]byGOVDetalhado!C13</f>
        <v>0.60882466592815709</v>
      </c>
      <c r="AV13" s="40">
        <f>[13]byGOVDetalhado!D13</f>
        <v>1.7862981169255172</v>
      </c>
      <c r="AW13" s="41">
        <f>[13]byGOVDetalhado!E13</f>
        <v>134.97920769623786</v>
      </c>
      <c r="AX13" s="38">
        <f>[14]byGOVDetalhado!B13</f>
        <v>31.085492404929997</v>
      </c>
      <c r="AY13" s="39">
        <f>[14]byGOVDetalhado!C13</f>
        <v>0.64562911557232328</v>
      </c>
      <c r="AZ13" s="40">
        <f>[14]byGOVDetalhado!D13</f>
        <v>1.8976424520950719</v>
      </c>
      <c r="BA13" s="41">
        <f>[14]byGOVDetalhado!E13</f>
        <v>156.0184114013307</v>
      </c>
      <c r="BB13" s="38">
        <f>[15]byGOVDetalhado!B13</f>
        <v>36.709334433320002</v>
      </c>
      <c r="BC13" s="39">
        <f>[15]byGOVDetalhado!C13</f>
        <v>0.68852133720207698</v>
      </c>
      <c r="BD13" s="40">
        <f>[15]byGOVDetalhado!D13</f>
        <v>2.0482307077952489</v>
      </c>
      <c r="BE13" s="41">
        <f>[15]byGOVDetalhado!E13</f>
        <v>182.60378474182068</v>
      </c>
      <c r="BF13" s="38">
        <f>[16]byGOVDetalhado!B13</f>
        <v>36.764845972899998</v>
      </c>
      <c r="BG13" s="39">
        <f>[16]byGOVDetalhado!C13</f>
        <v>0.63618523931411097</v>
      </c>
      <c r="BH13" s="40">
        <f>[16]byGOVDetalhado!D13</f>
        <v>1.9352146717250132</v>
      </c>
      <c r="BI13" s="41">
        <f>[16]byGOVDetalhado!E13</f>
        <v>181.31433004343148</v>
      </c>
      <c r="BJ13" s="38">
        <f>[17]byGOVDetalhado!B13</f>
        <v>38.963128408579998</v>
      </c>
      <c r="BK13" s="39">
        <f>[17]byGOVDetalhado!C13</f>
        <v>0.64984177070633087</v>
      </c>
      <c r="BL13" s="40">
        <f>[17]byGOVDetalhado!D13</f>
        <v>1.978797108536912</v>
      </c>
      <c r="BM13" s="41">
        <f>[17]byGOVDetalhado!E13</f>
        <v>190.57473575728289</v>
      </c>
      <c r="BN13" s="38">
        <f>[18]byGOVDetalhado!B13</f>
        <v>31.443843066339998</v>
      </c>
      <c r="BO13" s="39">
        <f>[18]byGOVDetalhado!C13</f>
        <v>0.50172035327295017</v>
      </c>
      <c r="BP13" s="40">
        <f>[18]byGOVDetalhado!D13</f>
        <v>1.5072619526020603</v>
      </c>
      <c r="BQ13" s="41">
        <f>[18]byGOVDetalhado!E13</f>
        <v>152.57969998160726</v>
      </c>
      <c r="BR13" s="38">
        <f>[19]byGOVDetalhado!B13</f>
        <v>32.430855851270003</v>
      </c>
      <c r="BS13" s="39">
        <f>[19]byGOVDetalhado!C13</f>
        <v>0.49483726391967869</v>
      </c>
      <c r="BT13" s="40">
        <f>[19]byGOVDetalhado!D13</f>
        <v>1.4718521472283059</v>
      </c>
      <c r="BU13" s="41">
        <f>[19]byGOVDetalhado!E13</f>
        <v>156.17216010465793</v>
      </c>
      <c r="BV13" s="38">
        <f>[20]byGOVDetalhado!B13</f>
        <v>40.69489102032</v>
      </c>
      <c r="BW13" s="39">
        <f>[20]byGOVDetalhado!C13</f>
        <v>0.59070766125894214</v>
      </c>
      <c r="BX13" s="40">
        <f>[20]byGOVDetalhado!D13</f>
        <v>1.7150581193507535</v>
      </c>
      <c r="BY13" s="41">
        <f>[20]byGOVDetalhado!E13</f>
        <v>195.1841077183183</v>
      </c>
      <c r="BZ13" s="38">
        <f>[21]byGOVDetalhado!B13</f>
        <v>42.926630044120003</v>
      </c>
      <c r="CA13" s="39">
        <f>[21]byGOVDetalhado!C13</f>
        <v>0.58094287466442263</v>
      </c>
      <c r="CB13" s="40">
        <f>[21]byGOVDetalhado!D13</f>
        <v>1.7191802822259461</v>
      </c>
      <c r="CC13" s="41">
        <f>[21]byGOVDetalhado!E13</f>
        <v>204.26941384099356</v>
      </c>
      <c r="CD13" s="38">
        <f>[22]byGOVDetalhado!B13</f>
        <v>45.713057662609998</v>
      </c>
      <c r="CE13" s="39">
        <f>[22]byGOVDetalhado!C13</f>
        <v>0.60072902234651848</v>
      </c>
      <c r="CF13" s="40">
        <f>[22]byGOVDetalhado!D13</f>
        <v>1.8646538226003775</v>
      </c>
      <c r="CG13" s="41">
        <f>[22]byGOVDetalhado!E13</f>
        <v>215.87640563924015</v>
      </c>
      <c r="CH13" s="38">
        <f>[23]byGOVDetalhado!B13</f>
        <v>62.028225092980023</v>
      </c>
      <c r="CI13" s="39">
        <f>[23]byGOVDetalhado!C13</f>
        <v>0.6970460504404733</v>
      </c>
      <c r="CJ13" s="40">
        <f>[23]byGOVDetalhado!D13</f>
        <v>2.0264267210128271</v>
      </c>
      <c r="CK13" s="41">
        <f>[23]byGOVDetalhado!E13</f>
        <v>290.77869689425933</v>
      </c>
      <c r="CL13" s="38">
        <f>[24]byGOVDetalhado!B13</f>
        <v>59.015767544939983</v>
      </c>
      <c r="CM13" s="39">
        <f>[24]byGOVDetalhado!C13</f>
        <v>0.58549270378274043</v>
      </c>
      <c r="CN13" s="40">
        <f>[24]byGOVDetalhado!D13</f>
        <v>1.6773006668378325</v>
      </c>
      <c r="CO13" s="41">
        <f>[24]byGOVDetalhado!E13</f>
        <v>290.60246134271819</v>
      </c>
      <c r="CP13" s="38">
        <f>[25]byGOVDetalhado!B13</f>
        <v>58.575785866770005</v>
      </c>
      <c r="CQ13" s="39">
        <f>[25]byGOVDetalhado!C13</f>
        <v>0.53526404604269051</v>
      </c>
      <c r="CR13" s="40">
        <f>[25]byGOVDetalhado!D13</f>
        <v>1.5479909911344387</v>
      </c>
      <c r="CS13" s="41">
        <f>[25]byGOVDetalhado!E13</f>
        <v>281.84165364732877</v>
      </c>
      <c r="CT13" s="38">
        <f>[26]byGOVDetalhado!B13</f>
        <v>77.507333275820002</v>
      </c>
      <c r="CU13" s="39">
        <f>[26]byGOVDetalhado!C13</f>
        <v>0.65993404583987558</v>
      </c>
      <c r="CV13" s="40">
        <f>[26]byGOVDetalhado!D13</f>
        <v>1.8357000996345616</v>
      </c>
      <c r="CW13" s="41">
        <f>[26]byGOVDetalhado!E13</f>
        <v>364.59669789351261</v>
      </c>
    </row>
    <row r="14" spans="1:101" x14ac:dyDescent="0.25">
      <c r="A14" s="37" t="s">
        <v>56</v>
      </c>
      <c r="B14" s="38">
        <f>[2]byGOVDetalhado!B14</f>
        <v>0.23082787163999999</v>
      </c>
      <c r="C14" s="39">
        <f>[2]byGOVDetalhado!C14</f>
        <v>1.9197625222146148E-2</v>
      </c>
      <c r="D14" s="40">
        <f>[2]byGOVDetalhado!D14</f>
        <v>6.2819681879898684E-2</v>
      </c>
      <c r="E14" s="41">
        <f>[2]byGOVDetalhado!E14</f>
        <v>1.3308162168349531</v>
      </c>
      <c r="F14" s="38">
        <f>[3]byGOVDetalhado!B14</f>
        <v>0.18998402599000003</v>
      </c>
      <c r="G14" s="39">
        <f>[3]byGOVDetalhado!C14</f>
        <v>1.4439164281344173E-2</v>
      </c>
      <c r="H14" s="40">
        <f>[3]byGOVDetalhado!D14</f>
        <v>4.5057640790370987E-2</v>
      </c>
      <c r="I14" s="41">
        <f>[3]byGOVDetalhado!E14</f>
        <v>1.0953348957850544</v>
      </c>
      <c r="J14" s="38">
        <f>[4]byGOVDetalhado!B14</f>
        <v>0.18918939349000005</v>
      </c>
      <c r="K14" s="39">
        <f>[4]byGOVDetalhado!C14</f>
        <v>1.2707619927498028E-2</v>
      </c>
      <c r="L14" s="40">
        <f>[4]byGOVDetalhado!D14</f>
        <v>3.8187307046911811E-2</v>
      </c>
      <c r="M14" s="41">
        <f>[4]byGOVDetalhado!E14</f>
        <v>1.0612155178173941</v>
      </c>
      <c r="N14" s="38">
        <f>[5]byGOVDetalhado!B14</f>
        <v>0.22792357568000002</v>
      </c>
      <c r="O14" s="39">
        <f>[5]byGOVDetalhado!C14</f>
        <v>1.3267183310340816E-2</v>
      </c>
      <c r="P14" s="40">
        <f>[5]byGOVDetalhado!D14</f>
        <v>4.069955798455975E-2</v>
      </c>
      <c r="Q14" s="41">
        <f>[5]byGOVDetalhado!E14</f>
        <v>1.2619017899257925</v>
      </c>
      <c r="R14" s="38">
        <f>[6]byGOVDetalhado!B14</f>
        <v>0.23977248517999999</v>
      </c>
      <c r="S14" s="39">
        <f>[6]byGOVDetalhado!C14</f>
        <v>1.2247343261732466E-2</v>
      </c>
      <c r="T14" s="40">
        <f>[6]byGOVDetalhado!D14</f>
        <v>3.6425584210919973E-2</v>
      </c>
      <c r="U14" s="41">
        <f>[6]byGOVDetalhado!E14</f>
        <v>1.3108661960634544</v>
      </c>
      <c r="V14" s="38">
        <f>[7]byGOVDetalhado!B14</f>
        <v>0.27007667561999998</v>
      </c>
      <c r="W14" s="39">
        <f>[7]byGOVDetalhado!C14</f>
        <v>1.244257541722623E-2</v>
      </c>
      <c r="X14" s="40">
        <f>[7]byGOVDetalhado!D14</f>
        <v>3.5810435035362E-2</v>
      </c>
      <c r="Y14" s="41">
        <f>[7]byGOVDetalhado!E14</f>
        <v>1.4586848496895013</v>
      </c>
      <c r="Z14" s="38">
        <f>[8]byGOVDetalhado!B14</f>
        <v>0.28402331598000002</v>
      </c>
      <c r="AA14" s="39">
        <f>[8]byGOVDetalhado!C14</f>
        <v>1.1787890015563721E-2</v>
      </c>
      <c r="AB14" s="40">
        <f>[8]byGOVDetalhado!D14</f>
        <v>3.4238826992202501E-2</v>
      </c>
      <c r="AC14" s="41">
        <f>[8]byGOVDetalhado!E14</f>
        <v>1.5161240999866459</v>
      </c>
      <c r="AD14" s="38">
        <f>[9]byGOVDetalhado!B14</f>
        <v>0.31279980959000003</v>
      </c>
      <c r="AE14" s="39">
        <f>[9]byGOVDetalhado!C14</f>
        <v>1.1498881159284968E-2</v>
      </c>
      <c r="AF14" s="40">
        <f>[9]byGOVDetalhado!D14</f>
        <v>3.3247590715382615E-2</v>
      </c>
      <c r="AG14" s="41">
        <f>[9]byGOVDetalhado!E14</f>
        <v>1.6509831158635904</v>
      </c>
      <c r="AH14" s="38">
        <f>[10]byGOVDetalhado!B14</f>
        <v>0.39541171955999999</v>
      </c>
      <c r="AI14" s="39">
        <f>[10]byGOVDetalhado!C14</f>
        <v>1.2715008621446439E-2</v>
      </c>
      <c r="AJ14" s="40">
        <f>[10]byGOVDetalhado!D14</f>
        <v>3.6582189132762066E-2</v>
      </c>
      <c r="AK14" s="41">
        <f>[10]byGOVDetalhado!E14</f>
        <v>2.0644634487216029</v>
      </c>
      <c r="AL14" s="38">
        <f>[11]byGOVDetalhado!B14</f>
        <v>0.40889789591999998</v>
      </c>
      <c r="AM14" s="39">
        <f>[11]byGOVDetalhado!C14</f>
        <v>1.2268020143778695E-2</v>
      </c>
      <c r="AN14" s="40">
        <f>[11]byGOVDetalhado!D14</f>
        <v>3.6991811633439745E-2</v>
      </c>
      <c r="AO14" s="41">
        <f>[11]byGOVDetalhado!E14</f>
        <v>2.112687354882135</v>
      </c>
      <c r="AP14" s="38">
        <f>[12]byGOVDetalhado!B14</f>
        <v>0.47598754659000003</v>
      </c>
      <c r="AQ14" s="39">
        <f>[12]byGOVDetalhado!C14</f>
        <v>1.2249261141522041E-2</v>
      </c>
      <c r="AR14" s="40">
        <f>[12]byGOVDetalhado!D14</f>
        <v>3.6859340376465093E-2</v>
      </c>
      <c r="AS14" s="41">
        <f>[12]byGOVDetalhado!E14</f>
        <v>2.4347463444306743</v>
      </c>
      <c r="AT14" s="38">
        <f>[13]byGOVDetalhado!B14</f>
        <v>0.54624142319000002</v>
      </c>
      <c r="AU14" s="39">
        <f>[13]byGOVDetalhado!C14</f>
        <v>1.2481575492952857E-2</v>
      </c>
      <c r="AV14" s="40">
        <f>[13]byGOVDetalhado!D14</f>
        <v>3.662107671891917E-2</v>
      </c>
      <c r="AW14" s="41">
        <f>[13]byGOVDetalhado!E14</f>
        <v>2.767222264674738</v>
      </c>
      <c r="AX14" s="38">
        <f>[14]byGOVDetalhado!B14</f>
        <v>0.60943848990000005</v>
      </c>
      <c r="AY14" s="39">
        <f>[14]byGOVDetalhado!C14</f>
        <v>1.2657712739575803E-2</v>
      </c>
      <c r="AZ14" s="40">
        <f>[14]byGOVDetalhado!D14</f>
        <v>3.720373270302578E-2</v>
      </c>
      <c r="BA14" s="41">
        <f>[14]byGOVDetalhado!E14</f>
        <v>3.0587781529220419</v>
      </c>
      <c r="BB14" s="38">
        <f>[15]byGOVDetalhado!B14</f>
        <v>0.75283784435000001</v>
      </c>
      <c r="BC14" s="39">
        <f>[15]byGOVDetalhado!C14</f>
        <v>1.4120248358894362E-2</v>
      </c>
      <c r="BD14" s="40">
        <f>[15]byGOVDetalhado!D14</f>
        <v>4.2005272353519828E-2</v>
      </c>
      <c r="BE14" s="41">
        <f>[15]byGOVDetalhado!E14</f>
        <v>3.7448524141697654</v>
      </c>
      <c r="BF14" s="38">
        <f>[16]byGOVDetalhado!B14</f>
        <v>0.89117742080999995</v>
      </c>
      <c r="BG14" s="39">
        <f>[16]byGOVDetalhado!C14</f>
        <v>1.5421087882355158E-2</v>
      </c>
      <c r="BH14" s="40">
        <f>[16]byGOVDetalhado!D14</f>
        <v>4.6909474913421768E-2</v>
      </c>
      <c r="BI14" s="41">
        <f>[16]byGOVDetalhado!E14</f>
        <v>4.3950472993441654</v>
      </c>
      <c r="BJ14" s="38">
        <f>[17]byGOVDetalhado!B14</f>
        <v>1.1012954241499999</v>
      </c>
      <c r="BK14" s="39">
        <f>[17]byGOVDetalhado!C14</f>
        <v>1.8367821007484089E-2</v>
      </c>
      <c r="BL14" s="40">
        <f>[17]byGOVDetalhado!D14</f>
        <v>5.5930832301265256E-2</v>
      </c>
      <c r="BM14" s="41">
        <f>[17]byGOVDetalhado!E14</f>
        <v>5.3866076216270651</v>
      </c>
      <c r="BN14" s="38">
        <f>[18]byGOVDetalhado!B14</f>
        <v>1.11894155858</v>
      </c>
      <c r="BO14" s="39">
        <f>[18]byGOVDetalhado!C14</f>
        <v>1.7853916675455803E-2</v>
      </c>
      <c r="BP14" s="40">
        <f>[18]byGOVDetalhado!D14</f>
        <v>5.3636511124757792E-2</v>
      </c>
      <c r="BQ14" s="41">
        <f>[18]byGOVDetalhado!E14</f>
        <v>5.4296088091041597</v>
      </c>
      <c r="BR14" s="38">
        <f>[19]byGOVDetalhado!B14</f>
        <v>1.2712081235600001</v>
      </c>
      <c r="BS14" s="39">
        <f>[19]byGOVDetalhado!C14</f>
        <v>1.9396378332404256E-2</v>
      </c>
      <c r="BT14" s="40">
        <f>[19]byGOVDetalhado!D14</f>
        <v>5.7692908716825669E-2</v>
      </c>
      <c r="BU14" s="41">
        <f>[19]byGOVDetalhado!E14</f>
        <v>6.1215565666664249</v>
      </c>
      <c r="BV14" s="38">
        <f>[20]byGOVDetalhado!B14</f>
        <v>1.41398496744</v>
      </c>
      <c r="BW14" s="39">
        <f>[20]byGOVDetalhado!C14</f>
        <v>2.052473252120816E-2</v>
      </c>
      <c r="BX14" s="40">
        <f>[20]byGOVDetalhado!D14</f>
        <v>5.9591421385966729E-2</v>
      </c>
      <c r="BY14" s="41">
        <f>[20]byGOVDetalhado!E14</f>
        <v>6.7818683691543535</v>
      </c>
      <c r="BZ14" s="38">
        <f>[21]byGOVDetalhado!B14</f>
        <v>1.6252833120500001</v>
      </c>
      <c r="CA14" s="39">
        <f>[21]byGOVDetalhado!C14</f>
        <v>2.1995594773593811E-2</v>
      </c>
      <c r="CB14" s="40">
        <f>[21]byGOVDetalhado!D14</f>
        <v>6.5091413424147357E-2</v>
      </c>
      <c r="CC14" s="41">
        <f>[21]byGOVDetalhado!E14</f>
        <v>7.7340259213634264</v>
      </c>
      <c r="CD14" s="38">
        <f>[22]byGOVDetalhado!B14</f>
        <v>1.7570060383000001</v>
      </c>
      <c r="CE14" s="39">
        <f>[22]byGOVDetalhado!C14</f>
        <v>2.3089344130838994E-2</v>
      </c>
      <c r="CF14" s="40">
        <f>[22]byGOVDetalhado!D14</f>
        <v>7.166897584992972E-2</v>
      </c>
      <c r="CG14" s="41">
        <f>[22]byGOVDetalhado!E14</f>
        <v>8.2973261389356185</v>
      </c>
      <c r="CH14" s="38">
        <f>[23]byGOVDetalhado!B14</f>
        <v>2.1600570909200001</v>
      </c>
      <c r="CI14" s="39">
        <f>[23]byGOVDetalhado!C14</f>
        <v>2.4273776360596293E-2</v>
      </c>
      <c r="CJ14" s="40">
        <f>[23]byGOVDetalhado!D14</f>
        <v>7.0567832650251114E-2</v>
      </c>
      <c r="CK14" s="41">
        <f>[23]byGOVDetalhado!E14</f>
        <v>10.126012555951831</v>
      </c>
      <c r="CL14" s="38">
        <f>[24]byGOVDetalhado!B14</f>
        <v>2.5880176484800002</v>
      </c>
      <c r="CM14" s="39">
        <f>[24]byGOVDetalhado!C14</f>
        <v>2.5675603545986997E-2</v>
      </c>
      <c r="CN14" s="40">
        <f>[24]byGOVDetalhado!D14</f>
        <v>7.3554643244757245E-2</v>
      </c>
      <c r="CO14" s="41">
        <f>[24]byGOVDetalhado!E14</f>
        <v>12.743785770031307</v>
      </c>
      <c r="CP14" s="38">
        <f>[25]byGOVDetalhado!B14</f>
        <v>3.0321212307300005</v>
      </c>
      <c r="CQ14" s="39">
        <f>[25]byGOVDetalhado!C14</f>
        <v>2.7707446926003614E-2</v>
      </c>
      <c r="CR14" s="40">
        <f>[25]byGOVDetalhado!D14</f>
        <v>8.013031801012914E-2</v>
      </c>
      <c r="CS14" s="41">
        <f>[25]byGOVDetalhado!E14</f>
        <v>14.589271813985485</v>
      </c>
      <c r="CT14" s="38">
        <f>[26]byGOVDetalhado!B14</f>
        <v>3.2455194086500008</v>
      </c>
      <c r="CU14" s="39">
        <f>[26]byGOVDetalhado!C14</f>
        <v>2.7633885255479725E-2</v>
      </c>
      <c r="CV14" s="40">
        <f>[26]byGOVDetalhado!D14</f>
        <v>7.6867569170817635E-2</v>
      </c>
      <c r="CW14" s="41">
        <f>[26]byGOVDetalhado!E14</f>
        <v>15.26701551106329</v>
      </c>
    </row>
    <row r="15" spans="1:101" x14ac:dyDescent="0.25">
      <c r="A15" s="37" t="s">
        <v>57</v>
      </c>
      <c r="B15" s="38">
        <f>[2]byGOVDetalhado!B15</f>
        <v>1.3282668436700005</v>
      </c>
      <c r="C15" s="39">
        <f>[2]byGOVDetalhado!C15</f>
        <v>0.11047006099657186</v>
      </c>
      <c r="D15" s="40">
        <f>[2]byGOVDetalhado!D15</f>
        <v>0.36148711149189955</v>
      </c>
      <c r="E15" s="41">
        <f>[2]byGOVDetalhado!E15</f>
        <v>7.6579965984224518</v>
      </c>
      <c r="F15" s="38">
        <f>[3]byGOVDetalhado!B15</f>
        <v>1.49588490954</v>
      </c>
      <c r="G15" s="39">
        <f>[3]byGOVDetalhado!C15</f>
        <v>0.11369023180911339</v>
      </c>
      <c r="H15" s="40">
        <f>[3]byGOVDetalhado!D15</f>
        <v>0.35477216869452816</v>
      </c>
      <c r="I15" s="41">
        <f>[3]byGOVDetalhado!E15</f>
        <v>8.6243826709076838</v>
      </c>
      <c r="J15" s="38">
        <f>[4]byGOVDetalhado!B15</f>
        <v>1.7383783955700001</v>
      </c>
      <c r="K15" s="39">
        <f>[4]byGOVDetalhado!C15</f>
        <v>0.11676474845427856</v>
      </c>
      <c r="L15" s="40">
        <f>[4]byGOVDetalhado!D15</f>
        <v>0.35088642302169204</v>
      </c>
      <c r="M15" s="41">
        <f>[4]byGOVDetalhado!E15</f>
        <v>9.7510441530904242</v>
      </c>
      <c r="N15" s="38">
        <f>[5]byGOVDetalhado!B15</f>
        <v>2.07084075122</v>
      </c>
      <c r="O15" s="39">
        <f>[5]byGOVDetalhado!C15</f>
        <v>0.12054138660729358</v>
      </c>
      <c r="P15" s="40">
        <f>[5]byGOVDetalhado!D15</f>
        <v>0.3697831739415946</v>
      </c>
      <c r="Q15" s="41">
        <f>[5]byGOVDetalhado!E15</f>
        <v>11.465236287292482</v>
      </c>
      <c r="R15" s="38">
        <f>[6]byGOVDetalhado!B15</f>
        <v>2.5659850338600001</v>
      </c>
      <c r="S15" s="39">
        <f>[6]byGOVDetalhado!C15</f>
        <v>0.13106799760848034</v>
      </c>
      <c r="T15" s="40">
        <f>[6]byGOVDetalhado!D15</f>
        <v>0.38981747161130947</v>
      </c>
      <c r="U15" s="41">
        <f>[6]byGOVDetalhado!E15</f>
        <v>14.028561442179955</v>
      </c>
      <c r="V15" s="38">
        <f>[7]byGOVDetalhado!B15</f>
        <v>3.2479439180299998</v>
      </c>
      <c r="W15" s="39">
        <f>[7]byGOVDetalhado!C15</f>
        <v>0.14963449567881468</v>
      </c>
      <c r="X15" s="40">
        <f>[7]byGOVDetalhado!D15</f>
        <v>0.43065653266097637</v>
      </c>
      <c r="Y15" s="41">
        <f>[7]byGOVDetalhado!E15</f>
        <v>17.542153816116791</v>
      </c>
      <c r="Z15" s="38">
        <f>[8]byGOVDetalhado!B15</f>
        <v>3.6589161488299999</v>
      </c>
      <c r="AA15" s="39">
        <f>[8]byGOVDetalhado!C15</f>
        <v>0.15185690297910312</v>
      </c>
      <c r="AB15" s="40">
        <f>[8]byGOVDetalhado!D15</f>
        <v>0.44107997460176052</v>
      </c>
      <c r="AC15" s="41">
        <f>[8]byGOVDetalhado!E15</f>
        <v>19.531392815166328</v>
      </c>
      <c r="AD15" s="38">
        <f>[9]byGOVDetalhado!B15</f>
        <v>4.0543465749300003</v>
      </c>
      <c r="AE15" s="39">
        <f>[9]byGOVDetalhado!C15</f>
        <v>0.14904244828275798</v>
      </c>
      <c r="AF15" s="40">
        <f>[9]byGOVDetalhado!D15</f>
        <v>0.43093778003979749</v>
      </c>
      <c r="AG15" s="41">
        <f>[9]byGOVDetalhado!E15</f>
        <v>21.399174602575584</v>
      </c>
      <c r="AH15" s="38">
        <f>[10]byGOVDetalhado!B15</f>
        <v>4.9633387053299991</v>
      </c>
      <c r="AI15" s="39">
        <f>[10]byGOVDetalhado!C15</f>
        <v>0.15960299431603864</v>
      </c>
      <c r="AJ15" s="40">
        <f>[10]byGOVDetalhado!D15</f>
        <v>0.45919173931006596</v>
      </c>
      <c r="AK15" s="41">
        <f>[10]byGOVDetalhado!E15</f>
        <v>25.913828128769346</v>
      </c>
      <c r="AL15" s="38">
        <f>[11]byGOVDetalhado!B15</f>
        <v>4.9891651037300013</v>
      </c>
      <c r="AM15" s="39">
        <f>[11]byGOVDetalhado!C15</f>
        <v>0.149688170577362</v>
      </c>
      <c r="AN15" s="40">
        <f>[11]byGOVDetalhado!D15</f>
        <v>0.45135535684296968</v>
      </c>
      <c r="AO15" s="41">
        <f>[11]byGOVDetalhado!E15</f>
        <v>25.777941464711834</v>
      </c>
      <c r="AP15" s="38">
        <f>[12]byGOVDetalhado!B15</f>
        <v>5.9237249301999997</v>
      </c>
      <c r="AQ15" s="39">
        <f>[12]byGOVDetalhado!C15</f>
        <v>0.1524435967293617</v>
      </c>
      <c r="AR15" s="40">
        <f>[12]byGOVDetalhado!D15</f>
        <v>0.45871913049621971</v>
      </c>
      <c r="AS15" s="41">
        <f>[12]byGOVDetalhado!E15</f>
        <v>30.300724719675486</v>
      </c>
      <c r="AT15" s="38">
        <f>[13]byGOVDetalhado!B15</f>
        <v>7.1480912228999998</v>
      </c>
      <c r="AU15" s="39">
        <f>[13]byGOVDetalhado!C15</f>
        <v>0.16333334756655155</v>
      </c>
      <c r="AV15" s="40">
        <f>[13]byGOVDetalhado!D15</f>
        <v>0.47922179819123939</v>
      </c>
      <c r="AW15" s="41">
        <f>[13]byGOVDetalhado!E15</f>
        <v>36.211748765627249</v>
      </c>
      <c r="AX15" s="38">
        <f>[14]byGOVDetalhado!B15</f>
        <v>6.8505461372100021</v>
      </c>
      <c r="AY15" s="39">
        <f>[14]byGOVDetalhado!C15</f>
        <v>0.14228219344702545</v>
      </c>
      <c r="AZ15" s="40">
        <f>[14]byGOVDetalhado!D15</f>
        <v>0.41819788474522929</v>
      </c>
      <c r="BA15" s="41">
        <f>[14]byGOVDetalhado!E15</f>
        <v>34.3829626900013</v>
      </c>
      <c r="BB15" s="38">
        <f>[15]byGOVDetalhado!B15</f>
        <v>7.1480912228999998</v>
      </c>
      <c r="BC15" s="39">
        <f>[15]byGOVDetalhado!C15</f>
        <v>0.13406980549247799</v>
      </c>
      <c r="BD15" s="40">
        <f>[15]byGOVDetalhado!D15</f>
        <v>0.39883425212897117</v>
      </c>
      <c r="BE15" s="41">
        <f>[15]byGOVDetalhado!E15</f>
        <v>35.556855800593723</v>
      </c>
      <c r="BF15" s="38">
        <f>[16]byGOVDetalhado!B15</f>
        <v>6.8399028271200004</v>
      </c>
      <c r="BG15" s="39">
        <f>[16]byGOVDetalhado!C15</f>
        <v>0.11835885889918121</v>
      </c>
      <c r="BH15" s="40">
        <f>[16]byGOVDetalhado!D15</f>
        <v>0.36003633236959581</v>
      </c>
      <c r="BI15" s="41">
        <f>[16]byGOVDetalhado!E15</f>
        <v>33.732560706920637</v>
      </c>
      <c r="BJ15" s="38">
        <f>[17]byGOVDetalhado!B15</f>
        <v>7.3699429528200007</v>
      </c>
      <c r="BK15" s="39">
        <f>[17]byGOVDetalhado!C15</f>
        <v>0.12291869195520122</v>
      </c>
      <c r="BL15" s="40">
        <f>[17]byGOVDetalhado!D15</f>
        <v>0.37429288665411109</v>
      </c>
      <c r="BM15" s="41">
        <f>[17]byGOVDetalhado!E15</f>
        <v>36.047540024292125</v>
      </c>
      <c r="BN15" s="38">
        <f>[18]byGOVDetalhado!B15</f>
        <v>8.5112539117600008</v>
      </c>
      <c r="BO15" s="39">
        <f>[18]byGOVDetalhado!C15</f>
        <v>0.1358062152388505</v>
      </c>
      <c r="BP15" s="40">
        <f>[18]byGOVDetalhado!D15</f>
        <v>0.40798731767823115</v>
      </c>
      <c r="BQ15" s="41">
        <f>[18]byGOVDetalhado!E15</f>
        <v>41.300440457731298</v>
      </c>
      <c r="BR15" s="38">
        <f>[19]byGOVDetalhado!B15</f>
        <v>8.30670145725</v>
      </c>
      <c r="BS15" s="39">
        <f>[19]byGOVDetalhado!C15</f>
        <v>0.12674551174825782</v>
      </c>
      <c r="BT15" s="40">
        <f>[19]byGOVDetalhado!D15</f>
        <v>0.37699394774865708</v>
      </c>
      <c r="BU15" s="41">
        <f>[19]byGOVDetalhado!E15</f>
        <v>40.001272734602857</v>
      </c>
      <c r="BV15" s="38">
        <f>[20]byGOVDetalhado!B15</f>
        <v>9.6090796581499998</v>
      </c>
      <c r="BW15" s="39">
        <f>[20]byGOVDetalhado!C15</f>
        <v>0.13948082497339559</v>
      </c>
      <c r="BX15" s="40">
        <f>[20]byGOVDetalhado!D15</f>
        <v>0.40496803588856817</v>
      </c>
      <c r="BY15" s="41">
        <f>[20]byGOVDetalhado!E15</f>
        <v>46.087840317197205</v>
      </c>
      <c r="BZ15" s="38">
        <f>[21]byGOVDetalhado!B15</f>
        <v>8.5844524122799992</v>
      </c>
      <c r="CA15" s="39">
        <f>[21]byGOVDetalhado!C15</f>
        <v>0.11617675220915692</v>
      </c>
      <c r="CB15" s="40">
        <f>[21]byGOVDetalhado!D15</f>
        <v>0.34380106953958955</v>
      </c>
      <c r="CC15" s="41">
        <f>[21]byGOVDetalhado!E15</f>
        <v>40.849725697080075</v>
      </c>
      <c r="CD15" s="38">
        <f>[22]byGOVDetalhado!B15</f>
        <v>6.1198764065999978</v>
      </c>
      <c r="CE15" s="39">
        <f>[22]byGOVDetalhado!C15</f>
        <v>8.0423134189629195E-2</v>
      </c>
      <c r="CF15" s="40">
        <f>[22]byGOVDetalhado!D15</f>
        <v>0.24963219523909241</v>
      </c>
      <c r="CG15" s="41">
        <f>[22]byGOVDetalhado!E15</f>
        <v>28.900646536575731</v>
      </c>
      <c r="CH15" s="38">
        <f>[23]byGOVDetalhado!B15</f>
        <v>7.1798168543400003</v>
      </c>
      <c r="CI15" s="39">
        <f>[23]byGOVDetalhado!C15</f>
        <v>8.0683639967154844E-2</v>
      </c>
      <c r="CJ15" s="40">
        <f>[23]byGOVDetalhado!D15</f>
        <v>0.23456051988918586</v>
      </c>
      <c r="CK15" s="41">
        <f>[23]byGOVDetalhado!E15</f>
        <v>33.657867619376752</v>
      </c>
      <c r="CL15" s="38">
        <f>[24]byGOVDetalhado!B15</f>
        <v>7.8124658425200018</v>
      </c>
      <c r="CM15" s="39">
        <f>[24]byGOVDetalhado!C15</f>
        <v>7.7507112753624235E-2</v>
      </c>
      <c r="CN15" s="40">
        <f>[24]byGOVDetalhado!D15</f>
        <v>0.22203988378746609</v>
      </c>
      <c r="CO15" s="41">
        <f>[24]byGOVDetalhado!E15</f>
        <v>38.469749652300891</v>
      </c>
      <c r="CP15" s="38">
        <f>[25]byGOVDetalhado!B15</f>
        <v>8.9104358789600013</v>
      </c>
      <c r="CQ15" s="39">
        <f>[25]byGOVDetalhado!C15</f>
        <v>8.1423337134974488E-2</v>
      </c>
      <c r="CR15" s="40">
        <f>[25]byGOVDetalhado!D15</f>
        <v>0.2354774121013726</v>
      </c>
      <c r="CS15" s="41">
        <f>[25]byGOVDetalhado!E15</f>
        <v>42.873210246919669</v>
      </c>
      <c r="CT15" s="38">
        <f>[26]byGOVDetalhado!B15</f>
        <v>9.4437154102999994</v>
      </c>
      <c r="CU15" s="39">
        <f>[26]byGOVDetalhado!C15</f>
        <v>8.0408253710670896E-2</v>
      </c>
      <c r="CV15" s="40">
        <f>[26]byGOVDetalhado!D15</f>
        <v>0.22366695623388735</v>
      </c>
      <c r="CW15" s="41">
        <f>[26]byGOVDetalhado!E15</f>
        <v>44.423505608025067</v>
      </c>
    </row>
    <row r="16" spans="1:101" x14ac:dyDescent="0.25">
      <c r="A16" s="37" t="s">
        <v>58</v>
      </c>
      <c r="B16" s="38">
        <f>[2]byGOVDetalhado!B16</f>
        <v>55.712837299949996</v>
      </c>
      <c r="C16" s="39">
        <f>[2]byGOVDetalhado!C16</f>
        <v>4.6335573037511066</v>
      </c>
      <c r="D16" s="40">
        <f>[2]byGOVDetalhado!D16</f>
        <v>15.162218890393842</v>
      </c>
      <c r="E16" s="41">
        <f>[2]byGOVDetalhado!E16</f>
        <v>321.20708317362681</v>
      </c>
      <c r="F16" s="38">
        <f>[3]byGOVDetalhado!B16</f>
        <v>62.433581904580009</v>
      </c>
      <c r="G16" s="39">
        <f>[3]byGOVDetalhado!C16</f>
        <v>4.7450765457535793</v>
      </c>
      <c r="H16" s="40">
        <f>[3]byGOVDetalhado!D16</f>
        <v>14.807086501371661</v>
      </c>
      <c r="I16" s="41">
        <f>[3]byGOVDetalhado!E16</f>
        <v>359.95489922158157</v>
      </c>
      <c r="J16" s="38">
        <f>[4]byGOVDetalhado!B16</f>
        <v>69.251553640630007</v>
      </c>
      <c r="K16" s="39">
        <f>[4]byGOVDetalhado!C16</f>
        <v>4.6515420701974159</v>
      </c>
      <c r="L16" s="40">
        <f>[4]byGOVDetalhado!D16</f>
        <v>13.978216714829747</v>
      </c>
      <c r="M16" s="41">
        <f>[4]byGOVDetalhado!E16</f>
        <v>388.45107540494712</v>
      </c>
      <c r="N16" s="38">
        <f>[5]byGOVDetalhado!B16</f>
        <v>79.375176293060008</v>
      </c>
      <c r="O16" s="39">
        <f>[5]byGOVDetalhado!C16</f>
        <v>4.6203426347134666</v>
      </c>
      <c r="P16" s="40">
        <f>[5]byGOVDetalhado!D16</f>
        <v>14.17376232553341</v>
      </c>
      <c r="Q16" s="41">
        <f>[5]byGOVDetalhado!E16</f>
        <v>439.46167806929935</v>
      </c>
      <c r="R16" s="38">
        <f>[6]byGOVDetalhado!B16</f>
        <v>93.32754625681001</v>
      </c>
      <c r="S16" s="39">
        <f>[6]byGOVDetalhado!C16</f>
        <v>4.7670794833873158</v>
      </c>
      <c r="T16" s="40">
        <f>[6]byGOVDetalhado!D16</f>
        <v>14.178067149047191</v>
      </c>
      <c r="U16" s="41">
        <f>[6]byGOVDetalhado!E16</f>
        <v>510.23338002172608</v>
      </c>
      <c r="V16" s="38">
        <f>[7]byGOVDetalhado!B16</f>
        <v>106.65170452274</v>
      </c>
      <c r="W16" s="39">
        <f>[7]byGOVDetalhado!C16</f>
        <v>4.9135004859399656</v>
      </c>
      <c r="X16" s="40">
        <f>[7]byGOVDetalhado!D16</f>
        <v>14.141332003049056</v>
      </c>
      <c r="Y16" s="41">
        <f>[7]byGOVDetalhado!E16</f>
        <v>576.02614229365008</v>
      </c>
      <c r="Z16" s="38">
        <f>[8]byGOVDetalhado!B16</f>
        <v>121.05943461399001</v>
      </c>
      <c r="AA16" s="39">
        <f>[8]byGOVDetalhado!C16</f>
        <v>5.0243596926265335</v>
      </c>
      <c r="AB16" s="40">
        <f>[8]byGOVDetalhado!D16</f>
        <v>14.593636523186451</v>
      </c>
      <c r="AC16" s="41">
        <f>[8]byGOVDetalhado!E16</f>
        <v>646.21851806684833</v>
      </c>
      <c r="AD16" s="38">
        <f>[9]byGOVDetalhado!B16</f>
        <v>138.11807317168004</v>
      </c>
      <c r="AE16" s="39">
        <f>[9]byGOVDetalhado!C16</f>
        <v>5.0773793994066025</v>
      </c>
      <c r="AF16" s="40">
        <f>[9]byGOVDetalhado!D16</f>
        <v>14.68061369100044</v>
      </c>
      <c r="AG16" s="41">
        <f>[9]byGOVDetalhado!E16</f>
        <v>728.9985473486862</v>
      </c>
      <c r="AH16" s="38">
        <f>[10]byGOVDetalhado!B16</f>
        <v>158.09568003677003</v>
      </c>
      <c r="AI16" s="39">
        <f>[10]byGOVDetalhado!C16</f>
        <v>5.0837844081046306</v>
      </c>
      <c r="AJ16" s="40">
        <f>[10]byGOVDetalhado!D16</f>
        <v>14.626491280059717</v>
      </c>
      <c r="AK16" s="41">
        <f>[10]byGOVDetalhado!E16</f>
        <v>825.42508653988386</v>
      </c>
      <c r="AL16" s="38">
        <f>[11]byGOVDetalhado!B16</f>
        <v>178.24284120388998</v>
      </c>
      <c r="AM16" s="39">
        <f>[11]byGOVDetalhado!C16</f>
        <v>5.3477574430989243</v>
      </c>
      <c r="AN16" s="40">
        <f>[11]byGOVDetalhado!D16</f>
        <v>16.125115028993495</v>
      </c>
      <c r="AO16" s="41">
        <f>[11]byGOVDetalhado!E16</f>
        <v>920.94236841805173</v>
      </c>
      <c r="AP16" s="38">
        <f>[12]byGOVDetalhado!B16</f>
        <v>210.40369872757987</v>
      </c>
      <c r="AQ16" s="39">
        <f>[12]byGOVDetalhado!C16</f>
        <v>5.4146161371659733</v>
      </c>
      <c r="AR16" s="40">
        <f>[12]byGOVDetalhado!D16</f>
        <v>16.293160616126951</v>
      </c>
      <c r="AS16" s="41">
        <f>[12]byGOVDetalhado!E16</f>
        <v>1076.2458808043748</v>
      </c>
      <c r="AT16" s="38">
        <f>[13]byGOVDetalhado!B16</f>
        <v>242.23413878350001</v>
      </c>
      <c r="AU16" s="39">
        <f>[13]byGOVDetalhado!C16</f>
        <v>5.5350318775531937</v>
      </c>
      <c r="AV16" s="40">
        <f>[13]byGOVDetalhado!D16</f>
        <v>16.239843050581491</v>
      </c>
      <c r="AW16" s="41">
        <f>[13]byGOVDetalhado!E16</f>
        <v>1227.141834450103</v>
      </c>
      <c r="AX16" s="38">
        <f>[14]byGOVDetalhado!B16</f>
        <v>269.00561462611</v>
      </c>
      <c r="AY16" s="39">
        <f>[14]byGOVDetalhado!C16</f>
        <v>5.5871032954105706</v>
      </c>
      <c r="AZ16" s="40">
        <f>[14]byGOVDetalhado!D16</f>
        <v>16.421694966796615</v>
      </c>
      <c r="BA16" s="41">
        <f>[14]byGOVDetalhado!E16</f>
        <v>1350.141992453948</v>
      </c>
      <c r="BB16" s="38">
        <f>[15]byGOVDetalhado!B16</f>
        <v>292.73610093637996</v>
      </c>
      <c r="BC16" s="39">
        <f>[15]byGOVDetalhado!C16</f>
        <v>5.4905667666121678</v>
      </c>
      <c r="BD16" s="40">
        <f>[15]byGOVDetalhado!D16</f>
        <v>16.333477042664974</v>
      </c>
      <c r="BE16" s="41">
        <f>[15]byGOVDetalhado!E16</f>
        <v>1456.1615127793575</v>
      </c>
      <c r="BF16" s="38">
        <f>[16]byGOVDetalhado!B16</f>
        <v>312.81126375150006</v>
      </c>
      <c r="BG16" s="39">
        <f>[16]byGOVDetalhado!C16</f>
        <v>5.4129400905579272</v>
      </c>
      <c r="BH16" s="40">
        <f>[16]byGOVDetalhado!D16</f>
        <v>16.465646219188969</v>
      </c>
      <c r="BI16" s="41">
        <f>[16]byGOVDetalhado!E16</f>
        <v>1542.7010019013701</v>
      </c>
      <c r="BJ16" s="38">
        <f>[17]byGOVDetalhado!B16</f>
        <v>315.9469649211199</v>
      </c>
      <c r="BK16" s="39">
        <f>[17]byGOVDetalhado!C16</f>
        <v>5.2694828038607753</v>
      </c>
      <c r="BL16" s="40">
        <f>[17]byGOVDetalhado!D16</f>
        <v>16.045809619826422</v>
      </c>
      <c r="BM16" s="41">
        <f>[17]byGOVDetalhado!E16</f>
        <v>1545.3458644737286</v>
      </c>
      <c r="BN16" s="38">
        <f>[18]byGOVDetalhado!B16</f>
        <v>333.76555300312998</v>
      </c>
      <c r="BO16" s="39">
        <f>[18]byGOVDetalhado!C16</f>
        <v>5.325588567840529</v>
      </c>
      <c r="BP16" s="40">
        <f>[18]byGOVDetalhado!D16</f>
        <v>15.999065956073697</v>
      </c>
      <c r="BQ16" s="41">
        <f>[18]byGOVDetalhado!E16</f>
        <v>1619.580909177349</v>
      </c>
      <c r="BR16" s="38">
        <f>[19]byGOVDetalhado!B16</f>
        <v>351.88658371320003</v>
      </c>
      <c r="BS16" s="39">
        <f>[19]byGOVDetalhado!C16</f>
        <v>5.3691643258888586</v>
      </c>
      <c r="BT16" s="40">
        <f>[19]byGOVDetalhado!D16</f>
        <v>15.970131229170887</v>
      </c>
      <c r="BU16" s="41">
        <f>[19]byGOVDetalhado!E16</f>
        <v>1694.5247495892693</v>
      </c>
      <c r="BV16" s="38">
        <f>[20]byGOVDetalhado!B16</f>
        <v>371.29670191572995</v>
      </c>
      <c r="BW16" s="39">
        <f>[20]byGOVDetalhado!C16</f>
        <v>5.3895661328171007</v>
      </c>
      <c r="BX16" s="40">
        <f>[20]byGOVDetalhado!D16</f>
        <v>15.648043460560219</v>
      </c>
      <c r="BY16" s="41">
        <f>[20]byGOVDetalhado!E16</f>
        <v>1780.8430897625312</v>
      </c>
      <c r="BZ16" s="38">
        <f>[21]byGOVDetalhado!B16</f>
        <v>394.94102854339002</v>
      </c>
      <c r="CA16" s="39">
        <f>[21]byGOVDetalhado!C16</f>
        <v>5.3448914161000802</v>
      </c>
      <c r="CB16" s="40">
        <f>[21]byGOVDetalhado!D16</f>
        <v>15.817100671913453</v>
      </c>
      <c r="CC16" s="41">
        <f>[21]byGOVDetalhado!E16</f>
        <v>1879.3548974005237</v>
      </c>
      <c r="CD16" s="38">
        <f>[22]byGOVDetalhado!B16</f>
        <v>386.78781830195993</v>
      </c>
      <c r="CE16" s="39">
        <f>[22]byGOVDetalhado!C16</f>
        <v>5.0828949062868896</v>
      </c>
      <c r="CF16" s="40">
        <f>[22]byGOVDetalhado!D16</f>
        <v>15.777229107164287</v>
      </c>
      <c r="CG16" s="41">
        <f>[22]byGOVDetalhado!E16</f>
        <v>1826.57578008321</v>
      </c>
      <c r="CH16" s="38">
        <f>[23]byGOVDetalhado!B16</f>
        <v>443.13287608433996</v>
      </c>
      <c r="CI16" s="39">
        <f>[23]byGOVDetalhado!C16</f>
        <v>4.9797333493244587</v>
      </c>
      <c r="CJ16" s="40">
        <f>[23]byGOVDetalhado!D16</f>
        <v>14.476898213845555</v>
      </c>
      <c r="CK16" s="41">
        <f>[23]byGOVDetalhado!E16</f>
        <v>2077.3381805727745</v>
      </c>
      <c r="CL16" s="38">
        <f>[24]byGOVDetalhado!B16</f>
        <v>514.64479360614007</v>
      </c>
      <c r="CM16" s="39">
        <f>[24]byGOVDetalhado!C16</f>
        <v>5.1057672251185471</v>
      </c>
      <c r="CN16" s="40">
        <f>[24]byGOVDetalhado!D16</f>
        <v>14.626837731846287</v>
      </c>
      <c r="CO16" s="41">
        <f>[24]byGOVDetalhado!E16</f>
        <v>2534.1878952141583</v>
      </c>
      <c r="CP16" s="38">
        <f>[25]byGOVDetalhado!B16</f>
        <v>534.84267549474009</v>
      </c>
      <c r="CQ16" s="39">
        <f>[25]byGOVDetalhado!C16</f>
        <v>4.887378807563211</v>
      </c>
      <c r="CR16" s="40">
        <f>[25]byGOVDetalhado!D16</f>
        <v>14.134366805137185</v>
      </c>
      <c r="CS16" s="41">
        <f>[25]byGOVDetalhado!E16</f>
        <v>2573.4344298078709</v>
      </c>
      <c r="CT16" s="38">
        <f>[26]byGOVDetalhado!B16</f>
        <v>611.64220833006004</v>
      </c>
      <c r="CU16" s="39">
        <f>[26]byGOVDetalhado!C16</f>
        <v>5.2078106688727663</v>
      </c>
      <c r="CV16" s="40">
        <f>[26]byGOVDetalhado!D16</f>
        <v>14.486263625876447</v>
      </c>
      <c r="CW16" s="41">
        <f>[26]byGOVDetalhado!E16</f>
        <v>2877.1823261658524</v>
      </c>
    </row>
    <row r="17" spans="1:101" x14ac:dyDescent="0.25">
      <c r="A17" s="37" t="s">
        <v>59</v>
      </c>
      <c r="B17" s="38">
        <f>[2]byGOVDetalhado!B17</f>
        <v>38.634038693969998</v>
      </c>
      <c r="C17" s="39">
        <f>[2]byGOVDetalhado!C17</f>
        <v>3.2131379559807169</v>
      </c>
      <c r="D17" s="40">
        <f>[2]byGOVDetalhado!D17</f>
        <v>10.514232979091954</v>
      </c>
      <c r="E17" s="41">
        <f>[2]byGOVDetalhado!E17</f>
        <v>222.74088848313377</v>
      </c>
      <c r="F17" s="38">
        <f>[3]byGOVDetalhado!B17</f>
        <v>45.678823204409994</v>
      </c>
      <c r="G17" s="39">
        <f>[3]byGOVDetalhado!C17</f>
        <v>3.4716815215910248</v>
      </c>
      <c r="H17" s="40">
        <f>[3]byGOVDetalhado!D17</f>
        <v>10.83343716370924</v>
      </c>
      <c r="I17" s="41">
        <f>[3]byGOVDetalhado!E17</f>
        <v>263.3569258966009</v>
      </c>
      <c r="J17" s="38">
        <f>[4]byGOVDetalhado!B17</f>
        <v>50.855605865240008</v>
      </c>
      <c r="K17" s="39">
        <f>[4]byGOVDetalhado!C17</f>
        <v>3.4159087811245001</v>
      </c>
      <c r="L17" s="40">
        <f>[4]byGOVDetalhado!D17</f>
        <v>10.265050277965498</v>
      </c>
      <c r="M17" s="41">
        <f>[4]byGOVDetalhado!E17</f>
        <v>285.26312768717975</v>
      </c>
      <c r="N17" s="38">
        <f>[5]byGOVDetalhado!B17</f>
        <v>57.522166297600009</v>
      </c>
      <c r="O17" s="39">
        <f>[5]byGOVDetalhado!C17</f>
        <v>3.3483027036642512</v>
      </c>
      <c r="P17" s="40">
        <f>[5]byGOVDetalhado!D17</f>
        <v>10.271542711814741</v>
      </c>
      <c r="Q17" s="41">
        <f>[5]byGOVDetalhado!E17</f>
        <v>318.47220891822809</v>
      </c>
      <c r="R17" s="38">
        <f>[6]byGOVDetalhado!B17</f>
        <v>77.290068584170001</v>
      </c>
      <c r="S17" s="39">
        <f>[6]byGOVDetalhado!C17</f>
        <v>3.9479008609455439</v>
      </c>
      <c r="T17" s="40">
        <f>[6]byGOVDetalhado!D17</f>
        <v>11.741697133292666</v>
      </c>
      <c r="U17" s="41">
        <f>[6]byGOVDetalhado!E17</f>
        <v>422.55448168856668</v>
      </c>
      <c r="V17" s="38">
        <f>[7]byGOVDetalhado!B17</f>
        <v>86.532235198110016</v>
      </c>
      <c r="W17" s="39">
        <f>[7]byGOVDetalhado!C17</f>
        <v>3.9865858834420216</v>
      </c>
      <c r="X17" s="40">
        <f>[7]byGOVDetalhado!D17</f>
        <v>11.473619407943836</v>
      </c>
      <c r="Y17" s="41">
        <f>[7]byGOVDetalhado!E17</f>
        <v>467.36083448705062</v>
      </c>
      <c r="Z17" s="38">
        <f>[8]byGOVDetalhado!B17</f>
        <v>89.096351174710009</v>
      </c>
      <c r="AA17" s="39">
        <f>[8]byGOVDetalhado!C17</f>
        <v>3.6977879256556481</v>
      </c>
      <c r="AB17" s="40">
        <f>[8]byGOVDetalhado!D17</f>
        <v>10.740507493132089</v>
      </c>
      <c r="AC17" s="41">
        <f>[8]byGOVDetalhado!E17</f>
        <v>475.59871896701367</v>
      </c>
      <c r="AD17" s="38">
        <f>[9]byGOVDetalhado!B17</f>
        <v>100.55555147960999</v>
      </c>
      <c r="AE17" s="39">
        <f>[9]byGOVDetalhado!C17</f>
        <v>3.6965378523918457</v>
      </c>
      <c r="AF17" s="40">
        <f>[9]byGOVDetalhado!D17</f>
        <v>10.688081377465583</v>
      </c>
      <c r="AG17" s="41">
        <f>[9]byGOVDetalhado!E17</f>
        <v>530.74046917353223</v>
      </c>
      <c r="AH17" s="38">
        <f>[10]byGOVDetalhado!B17</f>
        <v>118.43104904162</v>
      </c>
      <c r="AI17" s="39">
        <f>[10]byGOVDetalhado!C17</f>
        <v>3.8083135504602703</v>
      </c>
      <c r="AJ17" s="40">
        <f>[10]byGOVDetalhado!D17</f>
        <v>10.95685034336609</v>
      </c>
      <c r="AK17" s="41">
        <f>[10]byGOVDetalhado!E17</f>
        <v>618.33415613540012</v>
      </c>
      <c r="AL17" s="38">
        <f>[11]byGOVDetalhado!B17</f>
        <v>114.72393355384001</v>
      </c>
      <c r="AM17" s="39">
        <f>[11]byGOVDetalhado!C17</f>
        <v>3.4420219371522509</v>
      </c>
      <c r="AN17" s="40">
        <f>[11]byGOVDetalhado!D17</f>
        <v>10.378742914101977</v>
      </c>
      <c r="AO17" s="41">
        <f>[11]byGOVDetalhado!E17</f>
        <v>592.75385405494092</v>
      </c>
      <c r="AP17" s="38">
        <f>[12]byGOVDetalhado!B17</f>
        <v>138.63600394068001</v>
      </c>
      <c r="AQ17" s="39">
        <f>[12]byGOVDetalhado!C17</f>
        <v>3.567716483450841</v>
      </c>
      <c r="AR17" s="40">
        <f>[12]byGOVDetalhado!D17</f>
        <v>10.735641497957282</v>
      </c>
      <c r="AS17" s="41">
        <f>[12]byGOVDetalhado!E17</f>
        <v>709.14356104319688</v>
      </c>
      <c r="AT17" s="38">
        <f>[13]byGOVDetalhado!B17</f>
        <v>158.16676446288002</v>
      </c>
      <c r="AU17" s="39">
        <f>[13]byGOVDetalhado!C17</f>
        <v>3.6140986884344204</v>
      </c>
      <c r="AV17" s="40">
        <f>[13]byGOVDetalhado!D17</f>
        <v>10.603804416648249</v>
      </c>
      <c r="AW17" s="41">
        <f>[13]byGOVDetalhado!E17</f>
        <v>801.26217744018822</v>
      </c>
      <c r="AX17" s="38">
        <f>[14]byGOVDetalhado!B17</f>
        <v>174.62599742731999</v>
      </c>
      <c r="AY17" s="39">
        <f>[14]byGOVDetalhado!C17</f>
        <v>3.6268889296106139</v>
      </c>
      <c r="AZ17" s="40">
        <f>[14]byGOVDetalhado!D17</f>
        <v>10.660204497998317</v>
      </c>
      <c r="BA17" s="41">
        <f>[14]byGOVDetalhado!E17</f>
        <v>876.44970692703032</v>
      </c>
      <c r="BB17" s="38">
        <f>[15]byGOVDetalhado!B17</f>
        <v>193.12482623354995</v>
      </c>
      <c r="BC17" s="39">
        <f>[15]byGOVDetalhado!C17</f>
        <v>3.6222548204128984</v>
      </c>
      <c r="BD17" s="40">
        <f>[15]byGOVDetalhado!D17</f>
        <v>10.775575358024915</v>
      </c>
      <c r="BE17" s="41">
        <f>[15]byGOVDetalhado!E17</f>
        <v>960.66367702497394</v>
      </c>
      <c r="BF17" s="38">
        <f>[16]byGOVDetalhado!B17</f>
        <v>193.55240874917999</v>
      </c>
      <c r="BG17" s="39">
        <f>[16]byGOVDetalhado!C17</f>
        <v>3.3492642828065913</v>
      </c>
      <c r="BH17" s="40">
        <f>[16]byGOVDetalhado!D17</f>
        <v>10.188141721992485</v>
      </c>
      <c r="BI17" s="41">
        <f>[16]byGOVDetalhado!E17</f>
        <v>954.5484114503904</v>
      </c>
      <c r="BJ17" s="38">
        <f>[17]byGOVDetalhado!B17</f>
        <v>199.3447021568</v>
      </c>
      <c r="BK17" s="39">
        <f>[17]byGOVDetalhado!C17</f>
        <v>3.3247462285901754</v>
      </c>
      <c r="BL17" s="40">
        <f>[17]byGOVDetalhado!D17</f>
        <v>10.124000211008823</v>
      </c>
      <c r="BM17" s="41">
        <f>[17]byGOVDetalhado!E17</f>
        <v>975.02601792572443</v>
      </c>
      <c r="BN17" s="38">
        <f>[18]byGOVDetalhado!B17</f>
        <v>200.94414766266004</v>
      </c>
      <c r="BO17" s="39">
        <f>[18]byGOVDetalhado!C17</f>
        <v>3.2062801147028064</v>
      </c>
      <c r="BP17" s="40">
        <f>[18]byGOVDetalhado!D17</f>
        <v>9.6322662510105133</v>
      </c>
      <c r="BQ17" s="41">
        <f>[18]byGOVDetalhado!E17</f>
        <v>975.07158074610061</v>
      </c>
      <c r="BR17" s="38">
        <f>[19]byGOVDetalhado!B17</f>
        <v>214.80577774813</v>
      </c>
      <c r="BS17" s="39">
        <f>[19]byGOVDetalhado!C17</f>
        <v>3.2775546788679875</v>
      </c>
      <c r="BT17" s="40">
        <f>[19]byGOVDetalhado!D17</f>
        <v>9.7488128794865077</v>
      </c>
      <c r="BU17" s="41">
        <f>[19]byGOVDetalhado!E17</f>
        <v>1034.4063217984062</v>
      </c>
      <c r="BV17" s="38">
        <f>[20]byGOVDetalhado!B17</f>
        <v>243.26353049001</v>
      </c>
      <c r="BW17" s="39">
        <f>[20]byGOVDetalhado!C17</f>
        <v>3.531097579143172</v>
      </c>
      <c r="BX17" s="40">
        <f>[20]byGOVDetalhado!D17</f>
        <v>10.252173740937087</v>
      </c>
      <c r="BY17" s="41">
        <f>[20]byGOVDetalhado!E17</f>
        <v>1166.7601005588626</v>
      </c>
      <c r="BZ17" s="38">
        <f>[21]byGOVDetalhado!B17</f>
        <v>236.27308958230998</v>
      </c>
      <c r="CA17" s="39">
        <f>[21]byGOVDetalhado!C17</f>
        <v>3.1975761369274678</v>
      </c>
      <c r="CB17" s="40">
        <f>[21]byGOVDetalhado!D17</f>
        <v>9.4625652284612958</v>
      </c>
      <c r="CC17" s="41">
        <f>[21]byGOVDetalhado!E17</f>
        <v>1124.3222555736129</v>
      </c>
      <c r="CD17" s="38">
        <f>[22]byGOVDetalhado!B17</f>
        <v>217.36630498938004</v>
      </c>
      <c r="CE17" s="39">
        <f>[22]byGOVDetalhado!C17</f>
        <v>2.8564759078487345</v>
      </c>
      <c r="CF17" s="40">
        <f>[22]byGOVDetalhado!D17</f>
        <v>8.8664581243814702</v>
      </c>
      <c r="CG17" s="41">
        <f>[22]byGOVDetalhado!E17</f>
        <v>1026.4956891424672</v>
      </c>
      <c r="CH17" s="38">
        <f>[23]byGOVDetalhado!B17</f>
        <v>267.76451084464003</v>
      </c>
      <c r="CI17" s="39">
        <f>[23]byGOVDetalhado!C17</f>
        <v>3.0090204008353103</v>
      </c>
      <c r="CJ17" s="40">
        <f>[23]byGOVDetalhado!D17</f>
        <v>8.7477137851541755</v>
      </c>
      <c r="CK17" s="41">
        <f>[23]byGOVDetalhado!E17</f>
        <v>1255.2384889495238</v>
      </c>
      <c r="CL17" s="38">
        <f>[24]byGOVDetalhado!B17</f>
        <v>269.29528162714996</v>
      </c>
      <c r="CM17" s="39">
        <f>[24]byGOVDetalhado!C17</f>
        <v>2.6716660498526936</v>
      </c>
      <c r="CN17" s="40">
        <f>[24]byGOVDetalhado!D17</f>
        <v>7.6537029719310743</v>
      </c>
      <c r="CO17" s="41">
        <f>[24]byGOVDetalhado!E17</f>
        <v>1326.050222243362</v>
      </c>
      <c r="CP17" s="38">
        <f>[25]byGOVDetalhado!B17</f>
        <v>326.94473821844002</v>
      </c>
      <c r="CQ17" s="39">
        <f>[25]byGOVDetalhado!C17</f>
        <v>2.9876127280513165</v>
      </c>
      <c r="CR17" s="40">
        <f>[25]byGOVDetalhado!D17</f>
        <v>8.6402171455640158</v>
      </c>
      <c r="CS17" s="41">
        <f>[25]byGOVDetalhado!E17</f>
        <v>1573.1183851355352</v>
      </c>
      <c r="CT17" s="38">
        <f>[26]byGOVDetalhado!B17</f>
        <v>353.79252403217998</v>
      </c>
      <c r="CU17" s="39">
        <f>[26]byGOVDetalhado!C17</f>
        <v>3.0123566623249665</v>
      </c>
      <c r="CV17" s="40">
        <f>[26]byGOVDetalhado!D17</f>
        <v>8.3792970828277369</v>
      </c>
      <c r="CW17" s="41">
        <f>[26]byGOVDetalhado!E17</f>
        <v>1664.2500851178888</v>
      </c>
    </row>
    <row r="18" spans="1:101" x14ac:dyDescent="0.25">
      <c r="A18" s="37" t="s">
        <v>60</v>
      </c>
      <c r="B18" s="38">
        <f>[2]byGOVDetalhado!B18</f>
        <v>14.39656139303</v>
      </c>
      <c r="C18" s="39">
        <f>[2]byGOVDetalhado!C18</f>
        <v>1.1973415001722634</v>
      </c>
      <c r="D18" s="40">
        <f>[2]byGOVDetalhado!D18</f>
        <v>3.9180164875629129</v>
      </c>
      <c r="E18" s="41">
        <f>[2]byGOVDetalhado!E18</f>
        <v>83.002010252839199</v>
      </c>
      <c r="F18" s="38">
        <f>[3]byGOVDetalhado!B18</f>
        <v>17.15700151851</v>
      </c>
      <c r="G18" s="39">
        <f>[3]byGOVDetalhado!C18</f>
        <v>1.3039662793232782</v>
      </c>
      <c r="H18" s="40">
        <f>[3]byGOVDetalhado!D18</f>
        <v>4.0690474235005603</v>
      </c>
      <c r="I18" s="41">
        <f>[3]byGOVDetalhado!E18</f>
        <v>98.917066170870257</v>
      </c>
      <c r="J18" s="38">
        <f>[4]byGOVDetalhado!B18</f>
        <v>20.266821600150003</v>
      </c>
      <c r="K18" s="39">
        <f>[4]byGOVDetalhado!C18</f>
        <v>1.361297593285675</v>
      </c>
      <c r="L18" s="40">
        <f>[4]byGOVDetalhado!D18</f>
        <v>4.0907966616575697</v>
      </c>
      <c r="M18" s="41">
        <f>[4]byGOVDetalhado!E18</f>
        <v>113.68219529734235</v>
      </c>
      <c r="N18" s="38">
        <f>[5]byGOVDetalhado!B18</f>
        <v>22.98413782343</v>
      </c>
      <c r="O18" s="39">
        <f>[5]byGOVDetalhado!C18</f>
        <v>1.3378816510043947</v>
      </c>
      <c r="P18" s="40">
        <f>[5]byGOVDetalhado!D18</f>
        <v>4.1042013634567862</v>
      </c>
      <c r="Q18" s="41">
        <f>[5]byGOVDetalhado!E18</f>
        <v>127.25197282798008</v>
      </c>
      <c r="R18" s="38">
        <f>[6]byGOVDetalhado!B18</f>
        <v>26.393531023000001</v>
      </c>
      <c r="S18" s="39">
        <f>[6]byGOVDetalhado!C18</f>
        <v>1.3481556655059812</v>
      </c>
      <c r="T18" s="40">
        <f>[6]byGOVDetalhado!D18</f>
        <v>4.0096334914328526</v>
      </c>
      <c r="U18" s="41">
        <f>[6]byGOVDetalhado!E18</f>
        <v>144.29673858044794</v>
      </c>
      <c r="V18" s="38">
        <f>[7]byGOVDetalhado!B18</f>
        <v>28.995769701339999</v>
      </c>
      <c r="W18" s="39">
        <f>[7]byGOVDetalhado!C18</f>
        <v>1.3358504597304413</v>
      </c>
      <c r="X18" s="40">
        <f>[7]byGOVDetalhado!D18</f>
        <v>3.8446530964085257</v>
      </c>
      <c r="Y18" s="41">
        <f>[7]byGOVDetalhado!E18</f>
        <v>156.60622995797274</v>
      </c>
      <c r="Z18" s="38">
        <f>[8]byGOVDetalhado!B18</f>
        <v>31.935232806380004</v>
      </c>
      <c r="AA18" s="39">
        <f>[8]byGOVDetalhado!C18</f>
        <v>1.3254158752570091</v>
      </c>
      <c r="AB18" s="40">
        <f>[8]byGOVDetalhado!D18</f>
        <v>3.849771654276263</v>
      </c>
      <c r="AC18" s="41">
        <f>[8]byGOVDetalhado!E18</f>
        <v>170.47113167232479</v>
      </c>
      <c r="AD18" s="38">
        <f>[9]byGOVDetalhado!B18</f>
        <v>36.319612692870002</v>
      </c>
      <c r="AE18" s="39">
        <f>[9]byGOVDetalhado!C18</f>
        <v>1.3351507811145467</v>
      </c>
      <c r="AF18" s="40">
        <f>[9]byGOVDetalhado!D18</f>
        <v>3.8604231228162527</v>
      </c>
      <c r="AG18" s="41">
        <f>[9]byGOVDetalhado!E18</f>
        <v>191.69790227567421</v>
      </c>
      <c r="AH18" s="38">
        <f>[10]byGOVDetalhado!B18</f>
        <v>0.97129909222999977</v>
      </c>
      <c r="AI18" s="39">
        <f>[10]byGOVDetalhado!C18</f>
        <v>3.1233460519203299E-2</v>
      </c>
      <c r="AJ18" s="40">
        <f>[10]byGOVDetalhado!D18</f>
        <v>8.9861390896498888E-2</v>
      </c>
      <c r="AK18" s="41">
        <f>[10]byGOVDetalhado!E18</f>
        <v>5.0711988909095433</v>
      </c>
      <c r="AL18" s="38">
        <f>[11]byGOVDetalhado!B18</f>
        <v>-5.5668720549999995E-2</v>
      </c>
      <c r="AM18" s="39">
        <f>[11]byGOVDetalhado!C18</f>
        <v>-1.6702090959631734E-3</v>
      </c>
      <c r="AN18" s="40">
        <f>[11]byGOVDetalhado!D18</f>
        <v>-5.0361883614658933E-3</v>
      </c>
      <c r="AO18" s="41">
        <f>[11]byGOVDetalhado!E18</f>
        <v>-0.28762828848466987</v>
      </c>
      <c r="AP18" s="38">
        <f>[12]byGOVDetalhado!B18</f>
        <v>-4.5253026639999999E-2</v>
      </c>
      <c r="AQ18" s="39">
        <f>[12]byGOVDetalhado!C18</f>
        <v>-1.1645601754263612E-3</v>
      </c>
      <c r="AR18" s="40">
        <f>[12]byGOVDetalhado!D18</f>
        <v>-3.5042864544222192E-3</v>
      </c>
      <c r="AS18" s="41">
        <f>[12]byGOVDetalhado!E18</f>
        <v>-0.23147589044187541</v>
      </c>
      <c r="AT18" s="38">
        <f>[13]byGOVDetalhado!B18</f>
        <v>-3.5526914399999984E-3</v>
      </c>
      <c r="AU18" s="39">
        <f>[13]byGOVDetalhado!C18</f>
        <v>-8.1178732569506021E-5</v>
      </c>
      <c r="AV18" s="40">
        <f>[13]byGOVDetalhado!D18</f>
        <v>-2.3817927432726626E-4</v>
      </c>
      <c r="AW18" s="41">
        <f>[13]byGOVDetalhado!E18</f>
        <v>-1.7997695588288971E-2</v>
      </c>
      <c r="AX18" s="38">
        <f>[14]byGOVDetalhado!B18</f>
        <v>-0.26159925335000001</v>
      </c>
      <c r="AY18" s="39">
        <f>[14]byGOVDetalhado!C18</f>
        <v>-5.4332771176548774E-3</v>
      </c>
      <c r="AZ18" s="40">
        <f>[14]byGOVDetalhado!D18</f>
        <v>-1.596956683609117E-2</v>
      </c>
      <c r="BA18" s="41">
        <f>[14]byGOVDetalhado!E18</f>
        <v>-1.3129693877703639</v>
      </c>
      <c r="BB18" s="38">
        <f>[15]byGOVDetalhado!B18</f>
        <v>-0.26783296962000008</v>
      </c>
      <c r="BC18" s="39">
        <f>[15]byGOVDetalhado!C18</f>
        <v>-5.0234829161648663E-3</v>
      </c>
      <c r="BD18" s="40">
        <f>[15]byGOVDetalhado!D18</f>
        <v>-1.4943984177434245E-2</v>
      </c>
      <c r="BE18" s="41">
        <f>[15]byGOVDetalhado!E18</f>
        <v>-1.3322854986676451</v>
      </c>
      <c r="BF18" s="38">
        <f>[16]byGOVDetalhado!B18</f>
        <v>0</v>
      </c>
      <c r="BG18" s="39">
        <f>[16]byGOVDetalhado!C18</f>
        <v>0</v>
      </c>
      <c r="BH18" s="40">
        <f>[16]byGOVDetalhado!D18</f>
        <v>0</v>
      </c>
      <c r="BI18" s="41">
        <f>[16]byGOVDetalhado!E18</f>
        <v>0</v>
      </c>
      <c r="BJ18" s="38">
        <f>[17]byGOVDetalhado!B18</f>
        <v>1.3952735999999999E-4</v>
      </c>
      <c r="BK18" s="39">
        <f>[17]byGOVDetalhado!C18</f>
        <v>2.3270900050318664E-6</v>
      </c>
      <c r="BL18" s="40">
        <f>[17]byGOVDetalhado!D18</f>
        <v>7.0860926164488912E-6</v>
      </c>
      <c r="BM18" s="41">
        <f>[17]byGOVDetalhado!E18</f>
        <v>6.8245007136172005E-4</v>
      </c>
      <c r="BN18" s="38">
        <f>[18]byGOVDetalhado!B18</f>
        <v>-2.8827680000000007E-4</v>
      </c>
      <c r="BO18" s="39">
        <f>[18]byGOVDetalhado!C18</f>
        <v>-4.5997665626064578E-6</v>
      </c>
      <c r="BP18" s="40">
        <f>[18]byGOVDetalhado!D18</f>
        <v>-1.3818560649254941E-5</v>
      </c>
      <c r="BQ18" s="41">
        <f>[18]byGOVDetalhado!E18</f>
        <v>-1.3988489753894958E-3</v>
      </c>
      <c r="BR18" s="38">
        <f>[19]byGOVDetalhado!B18</f>
        <v>9.8953080000000005E-5</v>
      </c>
      <c r="BS18" s="39">
        <f>[19]byGOVDetalhado!C18</f>
        <v>1.5098482626602519E-6</v>
      </c>
      <c r="BT18" s="40">
        <f>[19]byGOVDetalhado!D18</f>
        <v>4.4909176600453753E-6</v>
      </c>
      <c r="BU18" s="41">
        <f>[19]byGOVDetalhado!E18</f>
        <v>4.7651274833697773E-4</v>
      </c>
      <c r="BV18" s="38">
        <f>[20]byGOVDetalhado!B18</f>
        <v>8.2160000000000002E-8</v>
      </c>
      <c r="BW18" s="39">
        <f>[20]byGOVDetalhado!C18</f>
        <v>1.1925954396781934E-9</v>
      </c>
      <c r="BX18" s="40">
        <f>[20]byGOVDetalhado!D18</f>
        <v>3.4625765434658216E-9</v>
      </c>
      <c r="BY18" s="41">
        <f>[20]byGOVDetalhado!E18</f>
        <v>3.9406239673008785E-7</v>
      </c>
      <c r="BZ18" s="38">
        <f>[21]byGOVDetalhado!B18</f>
        <v>-3.6175415450000005E-2</v>
      </c>
      <c r="CA18" s="39">
        <f>[21]byGOVDetalhado!C18</f>
        <v>-4.8957604689915505E-4</v>
      </c>
      <c r="CB18" s="40">
        <f>[21]byGOVDetalhado!D18</f>
        <v>-1.4487990526871281E-3</v>
      </c>
      <c r="CC18" s="41">
        <f>[21]byGOVDetalhado!E18</f>
        <v>-0.17214328033276688</v>
      </c>
      <c r="CD18" s="38">
        <f>[22]byGOVDetalhado!B18</f>
        <v>-2.9404073600000002E-3</v>
      </c>
      <c r="CE18" s="39">
        <f>[22]byGOVDetalhado!C18</f>
        <v>-3.8640776377513815E-5</v>
      </c>
      <c r="CF18" s="40">
        <f>[22]byGOVDetalhado!D18</f>
        <v>-1.1994038693042526E-4</v>
      </c>
      <c r="CG18" s="41">
        <f>[22]byGOVDetalhado!E18</f>
        <v>-1.3885848036613817E-2</v>
      </c>
      <c r="CH18" s="38">
        <f>[23]byGOVDetalhado!B18</f>
        <v>-2.4904615810000003E-2</v>
      </c>
      <c r="CI18" s="39">
        <f>[23]byGOVDetalhado!C18</f>
        <v>-2.7986717437224445E-4</v>
      </c>
      <c r="CJ18" s="40">
        <f>[23]byGOVDetalhado!D18</f>
        <v>-8.1361958815187986E-4</v>
      </c>
      <c r="CK18" s="41">
        <f>[23]byGOVDetalhado!E18</f>
        <v>-0.11674897550314628</v>
      </c>
      <c r="CL18" s="38">
        <f>[24]byGOVDetalhado!B18</f>
        <v>3.7143759599999999E-3</v>
      </c>
      <c r="CM18" s="39">
        <f>[24]byGOVDetalhado!C18</f>
        <v>3.6850152326324773E-5</v>
      </c>
      <c r="CN18" s="40">
        <f>[24]byGOVDetalhado!D18</f>
        <v>1.0556713118829183E-4</v>
      </c>
      <c r="CO18" s="41">
        <f>[24]byGOVDetalhado!E18</f>
        <v>1.8290142469235243E-2</v>
      </c>
      <c r="CP18" s="38">
        <f>[25]byGOVDetalhado!B18</f>
        <v>3.9999699999999994E-6</v>
      </c>
      <c r="CQ18" s="39">
        <f>[25]byGOVDetalhado!C18</f>
        <v>3.6551624439476634E-8</v>
      </c>
      <c r="CR18" s="40">
        <f>[25]byGOVDetalhado!D18</f>
        <v>1.0570780115338905E-7</v>
      </c>
      <c r="CS18" s="41">
        <f>[25]byGOVDetalhado!E18</f>
        <v>1.9246146554548487E-5</v>
      </c>
      <c r="CT18" s="38">
        <f>[26]byGOVDetalhado!B18</f>
        <v>-2.244328521E-2</v>
      </c>
      <c r="CU18" s="39">
        <f>[26]byGOVDetalhado!C18</f>
        <v>-1.9109273128861687E-4</v>
      </c>
      <c r="CV18" s="40">
        <f>[26]byGOVDetalhado!D18</f>
        <v>-5.3155152106074079E-4</v>
      </c>
      <c r="CW18" s="41">
        <f>[26]byGOVDetalhado!E18</f>
        <v>-0.10557385129390182</v>
      </c>
    </row>
    <row r="19" spans="1:101" x14ac:dyDescent="0.25">
      <c r="A19" s="37" t="s">
        <v>61</v>
      </c>
      <c r="B19" s="38">
        <f>[2]byGOVDetalhado!B19</f>
        <v>8.6657558989200005</v>
      </c>
      <c r="C19" s="39">
        <f>[2]byGOVDetalhado!C19</f>
        <v>0.72071857194752931</v>
      </c>
      <c r="D19" s="40">
        <f>[2]byGOVDetalhado!D19</f>
        <v>2.3583808356905314</v>
      </c>
      <c r="E19" s="41">
        <f>[2]byGOVDetalhado!E19</f>
        <v>49.961594323418915</v>
      </c>
      <c r="F19" s="38">
        <f>[3]byGOVDetalhado!B19</f>
        <v>8.9678194372099984</v>
      </c>
      <c r="G19" s="39">
        <f>[3]byGOVDetalhado!C19</f>
        <v>0.68157213441788156</v>
      </c>
      <c r="H19" s="40">
        <f>[3]byGOVDetalhado!D19</f>
        <v>2.1268566384417156</v>
      </c>
      <c r="I19" s="41">
        <f>[3]byGOVDetalhado!E19</f>
        <v>51.703113024842558</v>
      </c>
      <c r="J19" s="38">
        <f>[4]byGOVDetalhado!B19</f>
        <v>12.374588637700001</v>
      </c>
      <c r="K19" s="39">
        <f>[4]byGOVDetalhado!C19</f>
        <v>0.83118596801960254</v>
      </c>
      <c r="L19" s="40">
        <f>[4]byGOVDetalhado!D19</f>
        <v>2.4977733009755303</v>
      </c>
      <c r="M19" s="41">
        <f>[4]byGOVDetalhado!E19</f>
        <v>69.412482627511409</v>
      </c>
      <c r="N19" s="38">
        <f>[5]byGOVDetalhado!B19</f>
        <v>15.66135307399</v>
      </c>
      <c r="O19" s="39">
        <f>[5]byGOVDetalhado!C19</f>
        <v>0.91163031950813456</v>
      </c>
      <c r="P19" s="40">
        <f>[5]byGOVDetalhado!D19</f>
        <v>2.7965959451532538</v>
      </c>
      <c r="Q19" s="41">
        <f>[5]byGOVDetalhado!E19</f>
        <v>86.709281467551037</v>
      </c>
      <c r="R19" s="38">
        <f>[6]byGOVDetalhado!B19</f>
        <v>19.309498564270001</v>
      </c>
      <c r="S19" s="39">
        <f>[6]byGOVDetalhado!C19</f>
        <v>0.98631023885417513</v>
      </c>
      <c r="T19" s="40">
        <f>[6]byGOVDetalhado!D19</f>
        <v>2.9334465357667496</v>
      </c>
      <c r="U19" s="41">
        <f>[6]byGOVDetalhado!E19</f>
        <v>105.56744620566121</v>
      </c>
      <c r="V19" s="38">
        <f>[7]byGOVDetalhado!B19</f>
        <v>24.948634396940001</v>
      </c>
      <c r="W19" s="39">
        <f>[7]byGOVDetalhado!C19</f>
        <v>1.1493967938108851</v>
      </c>
      <c r="X19" s="40">
        <f>[7]byGOVDetalhado!D19</f>
        <v>3.3080289115734995</v>
      </c>
      <c r="Y19" s="41">
        <f>[7]byGOVDetalhado!E19</f>
        <v>134.74764131969266</v>
      </c>
      <c r="Z19" s="38">
        <f>[8]byGOVDetalhado!B19</f>
        <v>26.547247109490002</v>
      </c>
      <c r="AA19" s="39">
        <f>[8]byGOVDetalhado!C19</f>
        <v>1.1017969706567889</v>
      </c>
      <c r="AB19" s="40">
        <f>[8]byGOVDetalhado!D19</f>
        <v>3.2002534642792528</v>
      </c>
      <c r="AC19" s="41">
        <f>[8]byGOVDetalhado!E19</f>
        <v>141.70991910337676</v>
      </c>
      <c r="AD19" s="38">
        <f>[9]byGOVDetalhado!B19</f>
        <v>33.18320064665</v>
      </c>
      <c r="AE19" s="39">
        <f>[9]byGOVDetalhado!C19</f>
        <v>1.219852663020083</v>
      </c>
      <c r="AF19" s="40">
        <f>[9]byGOVDetalhado!D19</f>
        <v>3.5270528942211645</v>
      </c>
      <c r="AG19" s="41">
        <f>[9]byGOVDetalhado!E19</f>
        <v>175.14366159538849</v>
      </c>
      <c r="AH19" s="38">
        <f>[10]byGOVDetalhado!B19</f>
        <v>41.663704322950011</v>
      </c>
      <c r="AI19" s="39">
        <f>[10]byGOVDetalhado!C19</f>
        <v>1.3397538147255634</v>
      </c>
      <c r="AJ19" s="40">
        <f>[10]byGOVDetalhado!D19</f>
        <v>3.8545886126229467</v>
      </c>
      <c r="AK19" s="41">
        <f>[10]byGOVDetalhado!E19</f>
        <v>217.52818760351093</v>
      </c>
      <c r="AL19" s="38">
        <f>[11]byGOVDetalhado!B19</f>
        <v>42.808449156000002</v>
      </c>
      <c r="AM19" s="39">
        <f>[11]byGOVDetalhado!C19</f>
        <v>1.2843668842758815</v>
      </c>
      <c r="AN19" s="40">
        <f>[11]byGOVDetalhado!D19</f>
        <v>3.8727567524785096</v>
      </c>
      <c r="AO19" s="41">
        <f>[11]byGOVDetalhado!E19</f>
        <v>221.18203619147647</v>
      </c>
      <c r="AP19" s="38">
        <f>[12]byGOVDetalhado!B19</f>
        <v>45.1996155227</v>
      </c>
      <c r="AQ19" s="39">
        <f>[12]byGOVDetalhado!C19</f>
        <v>1.1631856715588647</v>
      </c>
      <c r="AR19" s="40">
        <f>[12]byGOVDetalhado!D19</f>
        <v>3.5001504248841533</v>
      </c>
      <c r="AS19" s="41">
        <f>[12]byGOVDetalhado!E19</f>
        <v>231.20268471720937</v>
      </c>
      <c r="AT19" s="38">
        <f>[13]byGOVDetalhado!B19</f>
        <v>56.964314448210004</v>
      </c>
      <c r="AU19" s="39">
        <f>[13]byGOVDetalhado!C19</f>
        <v>1.3016303066827808</v>
      </c>
      <c r="AV19" s="40">
        <f>[13]byGOVDetalhado!D19</f>
        <v>3.8189973170945786</v>
      </c>
      <c r="AW19" s="41">
        <f>[13]byGOVDetalhado!E19</f>
        <v>288.57738088125529</v>
      </c>
      <c r="AX19" s="38">
        <f>[14]byGOVDetalhado!B19</f>
        <v>55.608133454889995</v>
      </c>
      <c r="AY19" s="39">
        <f>[14]byGOVDetalhado!C19</f>
        <v>1.154951305047188</v>
      </c>
      <c r="AZ19" s="40">
        <f>[14]byGOVDetalhado!D19</f>
        <v>3.3946496118244482</v>
      </c>
      <c r="BA19" s="41">
        <f>[14]byGOVDetalhado!E19</f>
        <v>279.0978032327767</v>
      </c>
      <c r="BB19" s="38">
        <f>[15]byGOVDetalhado!B19</f>
        <v>59.775636327709996</v>
      </c>
      <c r="BC19" s="39">
        <f>[15]byGOVDetalhado!C19</f>
        <v>1.1211535619426294</v>
      </c>
      <c r="BD19" s="40">
        <f>[15]byGOVDetalhado!D19</f>
        <v>3.3352360045320455</v>
      </c>
      <c r="BE19" s="41">
        <f>[15]byGOVDetalhado!E19</f>
        <v>297.34283111608391</v>
      </c>
      <c r="BF19" s="38">
        <f>[16]byGOVDetalhado!B19</f>
        <v>61.590539157700007</v>
      </c>
      <c r="BG19" s="39">
        <f>[16]byGOVDetalhado!C19</f>
        <v>1.0657733184142526</v>
      </c>
      <c r="BH19" s="40">
        <f>[16]byGOVDetalhado!D19</f>
        <v>3.2419805350277451</v>
      </c>
      <c r="BI19" s="41">
        <f>[16]byGOVDetalhado!E19</f>
        <v>303.74797034709951</v>
      </c>
      <c r="BJ19" s="38">
        <f>[17]byGOVDetalhado!B19</f>
        <v>58.696026286709987</v>
      </c>
      <c r="BK19" s="39">
        <f>[17]byGOVDetalhado!C19</f>
        <v>0.97895449399236467</v>
      </c>
      <c r="BL19" s="40">
        <f>[17]byGOVDetalhado!D19</f>
        <v>2.9809599958398532</v>
      </c>
      <c r="BM19" s="41">
        <f>[17]byGOVDetalhado!E19</f>
        <v>287.09141581991253</v>
      </c>
      <c r="BN19" s="38">
        <f>[18]byGOVDetalhado!B19</f>
        <v>66.329487429979977</v>
      </c>
      <c r="BO19" s="39">
        <f>[18]byGOVDetalhado!C19</f>
        <v>1.0583583500137617</v>
      </c>
      <c r="BP19" s="40">
        <f>[18]byGOVDetalhado!D19</f>
        <v>3.17950679654128</v>
      </c>
      <c r="BQ19" s="41">
        <f>[18]byGOVDetalhado!E19</f>
        <v>321.86057126184943</v>
      </c>
      <c r="BR19" s="38">
        <f>[19]byGOVDetalhado!B19</f>
        <v>67.348213325779994</v>
      </c>
      <c r="BS19" s="39">
        <f>[19]byGOVDetalhado!C19</f>
        <v>1.0276141266466992</v>
      </c>
      <c r="BT19" s="40">
        <f>[19]byGOVDetalhado!D19</f>
        <v>3.0565524650394775</v>
      </c>
      <c r="BU19" s="41">
        <f>[19]byGOVDetalhado!E19</f>
        <v>324.31817410284236</v>
      </c>
      <c r="BV19" s="38">
        <f>[20]byGOVDetalhado!B19</f>
        <v>74.914335688860007</v>
      </c>
      <c r="BW19" s="39">
        <f>[20]byGOVDetalhado!C19</f>
        <v>1.0874208265464429</v>
      </c>
      <c r="BX19" s="40">
        <f>[20]byGOVDetalhado!D19</f>
        <v>3.1572130175945836</v>
      </c>
      <c r="BY19" s="41">
        <f>[20]byGOVDetalhado!E19</f>
        <v>359.310159091949</v>
      </c>
      <c r="BZ19" s="38">
        <f>[21]byGOVDetalhado!B19</f>
        <v>79.552491322690003</v>
      </c>
      <c r="CA19" s="39">
        <f>[21]byGOVDetalhado!C19</f>
        <v>1.0766149811485275</v>
      </c>
      <c r="CB19" s="40">
        <f>[21]byGOVDetalhado!D19</f>
        <v>3.1860193624179711</v>
      </c>
      <c r="CC19" s="41">
        <f>[21]byGOVDetalhado!E19</f>
        <v>378.55617259903033</v>
      </c>
      <c r="CD19" s="38">
        <f>[22]byGOVDetalhado!B19</f>
        <v>76.66360747856001</v>
      </c>
      <c r="CE19" s="39">
        <f>[22]byGOVDetalhado!C19</f>
        <v>1.0074594946166007</v>
      </c>
      <c r="CF19" s="40">
        <f>[22]byGOVDetalhado!D19</f>
        <v>3.1271390724789683</v>
      </c>
      <c r="CG19" s="41">
        <f>[22]byGOVDetalhado!E19</f>
        <v>362.03800121963195</v>
      </c>
      <c r="CH19" s="38">
        <f>[23]byGOVDetalhado!B19</f>
        <v>111.00247203440001</v>
      </c>
      <c r="CI19" s="39">
        <f>[23]byGOVDetalhado!C19</f>
        <v>1.247397206751033</v>
      </c>
      <c r="CJ19" s="40">
        <f>[23]byGOVDetalhado!D19</f>
        <v>3.6263874243024956</v>
      </c>
      <c r="CK19" s="41">
        <f>[23]byGOVDetalhado!E19</f>
        <v>520.36236925723711</v>
      </c>
      <c r="CL19" s="38">
        <f>[24]byGOVDetalhado!B19</f>
        <v>154.59303085605998</v>
      </c>
      <c r="CM19" s="39">
        <f>[24]byGOVDetalhado!C19</f>
        <v>1.5337103182290779</v>
      </c>
      <c r="CN19" s="40">
        <f>[24]byGOVDetalhado!D19</f>
        <v>4.393723991573899</v>
      </c>
      <c r="CO19" s="41">
        <f>[24]byGOVDetalhado!E19</f>
        <v>761.23919322055315</v>
      </c>
      <c r="CP19" s="38">
        <f>[25]byGOVDetalhado!B19</f>
        <v>152.44527609270997</v>
      </c>
      <c r="CQ19" s="39">
        <f>[25]byGOVDetalhado!C19</f>
        <v>1.3930410676362728</v>
      </c>
      <c r="CR19" s="40">
        <f>[25]byGOVDetalhado!D19</f>
        <v>4.0286939482000319</v>
      </c>
      <c r="CS19" s="41">
        <f>[25]byGOVDetalhado!E19</f>
        <v>733.50153256871999</v>
      </c>
      <c r="CT19" s="38">
        <f>[26]byGOVDetalhado!B19</f>
        <v>160.60670028164003</v>
      </c>
      <c r="CU19" s="39">
        <f>[26]byGOVDetalhado!C19</f>
        <v>1.3674813082353938</v>
      </c>
      <c r="CV19" s="40">
        <f>[26]byGOVDetalhado!D19</f>
        <v>3.8038431106874597</v>
      </c>
      <c r="CW19" s="41">
        <f>[26]byGOVDetalhado!E19</f>
        <v>755.49848133566206</v>
      </c>
    </row>
    <row r="20" spans="1:101" x14ac:dyDescent="0.25">
      <c r="A20" s="37" t="s">
        <v>62</v>
      </c>
      <c r="B20" s="38">
        <f>[2]byGOVDetalhado!B20</f>
        <v>9.4840235188800008</v>
      </c>
      <c r="C20" s="39">
        <f>[2]byGOVDetalhado!C20</f>
        <v>0.7887727241077549</v>
      </c>
      <c r="D20" s="40">
        <f>[2]byGOVDetalhado!D20</f>
        <v>2.5810719310651744</v>
      </c>
      <c r="E20" s="41">
        <f>[2]byGOVDetalhado!E20</f>
        <v>54.679238733588157</v>
      </c>
      <c r="F20" s="38">
        <f>[3]byGOVDetalhado!B20</f>
        <v>11.18600073815</v>
      </c>
      <c r="G20" s="39">
        <f>[3]byGOVDetalhado!C20</f>
        <v>0.85015833024765253</v>
      </c>
      <c r="H20" s="40">
        <f>[3]byGOVDetalhado!D20</f>
        <v>2.6529325321641339</v>
      </c>
      <c r="I20" s="41">
        <f>[3]byGOVDetalhado!E20</f>
        <v>64.491827083493774</v>
      </c>
      <c r="J20" s="38">
        <f>[4]byGOVDetalhado!B20</f>
        <v>12.472114273009998</v>
      </c>
      <c r="K20" s="39">
        <f>[4]byGOVDetalhado!C20</f>
        <v>0.83773664553828031</v>
      </c>
      <c r="L20" s="40">
        <f>[4]byGOVDetalhado!D20</f>
        <v>2.5174585555864071</v>
      </c>
      <c r="M20" s="41">
        <f>[4]byGOVDetalhado!E20</f>
        <v>69.959530829668893</v>
      </c>
      <c r="N20" s="38">
        <f>[5]byGOVDetalhado!B20</f>
        <v>16.506661782369999</v>
      </c>
      <c r="O20" s="39">
        <f>[5]byGOVDetalhado!C20</f>
        <v>0.96083481954480632</v>
      </c>
      <c r="P20" s="40">
        <f>[5]byGOVDetalhado!D20</f>
        <v>2.9475399213914439</v>
      </c>
      <c r="Q20" s="41">
        <f>[5]byGOVDetalhado!E20</f>
        <v>91.389343935692551</v>
      </c>
      <c r="R20" s="38">
        <f>[6]byGOVDetalhado!B20</f>
        <v>19.27806162253</v>
      </c>
      <c r="S20" s="39">
        <f>[6]byGOVDetalhado!C20</f>
        <v>0.98470447071818623</v>
      </c>
      <c r="T20" s="40">
        <f>[6]byGOVDetalhado!D20</f>
        <v>2.9286707210279372</v>
      </c>
      <c r="U20" s="41">
        <f>[6]byGOVDetalhado!E20</f>
        <v>105.39557650925444</v>
      </c>
      <c r="V20" s="38">
        <f>[7]byGOVDetalhado!B20</f>
        <v>21.296733059440001</v>
      </c>
      <c r="W20" s="39">
        <f>[7]byGOVDetalhado!C20</f>
        <v>0.98115176597276776</v>
      </c>
      <c r="X20" s="40">
        <f>[7]byGOVDetalhado!D20</f>
        <v>2.8238102158942833</v>
      </c>
      <c r="Y20" s="41">
        <f>[7]byGOVDetalhado!E20</f>
        <v>115.02371239712564</v>
      </c>
      <c r="Z20" s="38">
        <f>[8]byGOVDetalhado!B20</f>
        <v>23.387889583129997</v>
      </c>
      <c r="AA20" s="39">
        <f>[8]byGOVDetalhado!C20</f>
        <v>0.97067337289132372</v>
      </c>
      <c r="AB20" s="40">
        <f>[8]byGOVDetalhado!D20</f>
        <v>2.8193949584262681</v>
      </c>
      <c r="AC20" s="41">
        <f>[8]byGOVDetalhado!E20</f>
        <v>124.84518365142571</v>
      </c>
      <c r="AD20" s="38">
        <f>[9]byGOVDetalhado!B20</f>
        <v>25.779152216560004</v>
      </c>
      <c r="AE20" s="39">
        <f>[9]byGOVDetalhado!C20</f>
        <v>0.94767131768362123</v>
      </c>
      <c r="AF20" s="40">
        <f>[9]byGOVDetalhado!D20</f>
        <v>2.7400742443199242</v>
      </c>
      <c r="AG20" s="41">
        <f>[9]byGOVDetalhado!E20</f>
        <v>136.06448516258516</v>
      </c>
      <c r="AH20" s="38">
        <f>[10]byGOVDetalhado!B20</f>
        <v>30.326771021260004</v>
      </c>
      <c r="AI20" s="39">
        <f>[10]byGOVDetalhado!C20</f>
        <v>0.97519910493558615</v>
      </c>
      <c r="AJ20" s="40">
        <f>[10]byGOVDetalhado!D20</f>
        <v>2.8057329067540637</v>
      </c>
      <c r="AK20" s="41">
        <f>[10]byGOVDetalhado!E20</f>
        <v>158.33751807055518</v>
      </c>
      <c r="AL20" s="38">
        <f>[11]byGOVDetalhado!B20</f>
        <v>30.439081343480002</v>
      </c>
      <c r="AM20" s="39">
        <f>[11]byGOVDetalhado!C20</f>
        <v>0.91325308055141274</v>
      </c>
      <c r="AN20" s="40">
        <f>[11]byGOVDetalhado!D20</f>
        <v>2.753735772642032</v>
      </c>
      <c r="AO20" s="41">
        <f>[11]byGOVDetalhado!E20</f>
        <v>157.27217696708496</v>
      </c>
      <c r="AP20" s="38">
        <f>[12]byGOVDetalhado!B20</f>
        <v>40.007507456120003</v>
      </c>
      <c r="AQ20" s="39">
        <f>[12]byGOVDetalhado!C20</f>
        <v>1.029569806946079</v>
      </c>
      <c r="AR20" s="40">
        <f>[12]byGOVDetalhado!D20</f>
        <v>3.0980859593986549</v>
      </c>
      <c r="AS20" s="41">
        <f>[12]byGOVDetalhado!E20</f>
        <v>204.64428791553084</v>
      </c>
      <c r="AT20" s="38">
        <f>[13]byGOVDetalhado!B20</f>
        <v>41.153665609030007</v>
      </c>
      <c r="AU20" s="39">
        <f>[13]byGOVDetalhado!C20</f>
        <v>0.94035816820903684</v>
      </c>
      <c r="AV20" s="40">
        <f>[13]byGOVDetalhado!D20</f>
        <v>2.759020977815553</v>
      </c>
      <c r="AW20" s="41">
        <f>[13]byGOVDetalhado!E20</f>
        <v>208.48169858893212</v>
      </c>
      <c r="AX20" s="38">
        <f>[14]byGOVDetalhado!B20</f>
        <v>46.352208561249995</v>
      </c>
      <c r="AY20" s="39">
        <f>[14]byGOVDetalhado!C20</f>
        <v>0.9627106763628922</v>
      </c>
      <c r="AZ20" s="40">
        <f>[14]byGOVDetalhado!D20</f>
        <v>2.8296131702981371</v>
      </c>
      <c r="BA20" s="41">
        <f>[14]byGOVDetalhado!E20</f>
        <v>232.64221941430333</v>
      </c>
      <c r="BB20" s="38">
        <f>[15]byGOVDetalhado!B20</f>
        <v>49.724601599550006</v>
      </c>
      <c r="BC20" s="39">
        <f>[15]byGOVDetalhado!C20</f>
        <v>0.93263606419644784</v>
      </c>
      <c r="BD20" s="40">
        <f>[15]byGOVDetalhado!D20</f>
        <v>2.7744293788295735</v>
      </c>
      <c r="BE20" s="41">
        <f>[15]byGOVDetalhado!E20</f>
        <v>247.34582053918848</v>
      </c>
      <c r="BF20" s="38">
        <f>[16]byGOVDetalhado!B20</f>
        <v>50.830252342889999</v>
      </c>
      <c r="BG20" s="39">
        <f>[16]byGOVDetalhado!C20</f>
        <v>0.87957545844186635</v>
      </c>
      <c r="BH20" s="40">
        <f>[16]byGOVDetalhado!D20</f>
        <v>2.6755844475440962</v>
      </c>
      <c r="BI20" s="41">
        <f>[16]byGOVDetalhado!E20</f>
        <v>250.68113045497654</v>
      </c>
      <c r="BJ20" s="38">
        <f>[17]byGOVDetalhado!B20</f>
        <v>52.442132156099994</v>
      </c>
      <c r="BK20" s="39">
        <f>[17]byGOVDetalhado!C20</f>
        <v>0.87464968578937152</v>
      </c>
      <c r="BL20" s="40">
        <f>[17]byGOVDetalhado!D20</f>
        <v>2.663347213494021</v>
      </c>
      <c r="BM20" s="41">
        <f>[17]byGOVDetalhado!E20</f>
        <v>256.50264458734972</v>
      </c>
      <c r="BN20" s="38">
        <f>[18]byGOVDetalhado!B20</f>
        <v>52.680544936609991</v>
      </c>
      <c r="BO20" s="39">
        <f>[18]byGOVDetalhado!C20</f>
        <v>0.8405747847183872</v>
      </c>
      <c r="BP20" s="40">
        <f>[18]byGOVDetalhado!D20</f>
        <v>2.5252441585391034</v>
      </c>
      <c r="BQ20" s="41">
        <f>[18]byGOVDetalhado!E20</f>
        <v>255.62974997480603</v>
      </c>
      <c r="BR20" s="38">
        <f>[19]byGOVDetalhado!B20</f>
        <v>57.142050989510004</v>
      </c>
      <c r="BS20" s="39">
        <f>[19]byGOVDetalhado!C20</f>
        <v>0.87188621527854626</v>
      </c>
      <c r="BT20" s="40">
        <f>[19]byGOVDetalhado!D20</f>
        <v>2.5933527882103697</v>
      </c>
      <c r="BU20" s="41">
        <f>[19]byGOVDetalhado!E20</f>
        <v>275.16996704522114</v>
      </c>
      <c r="BV20" s="38">
        <f>[20]byGOVDetalhado!B20</f>
        <v>63.690798612759998</v>
      </c>
      <c r="BW20" s="39">
        <f>[20]byGOVDetalhado!C20</f>
        <v>0.92450530641479767</v>
      </c>
      <c r="BX20" s="40">
        <f>[20]byGOVDetalhado!D20</f>
        <v>2.6842047871366628</v>
      </c>
      <c r="BY20" s="41">
        <f>[20]byGOVDetalhado!E20</f>
        <v>305.47892832275511</v>
      </c>
      <c r="BZ20" s="38">
        <f>[21]byGOVDetalhado!B20</f>
        <v>63.740820517509995</v>
      </c>
      <c r="CA20" s="39">
        <f>[21]byGOVDetalhado!C20</f>
        <v>0.86262945558158322</v>
      </c>
      <c r="CB20" s="40">
        <f>[21]byGOVDetalhado!D20</f>
        <v>2.552773457734228</v>
      </c>
      <c r="CC20" s="41">
        <f>[21]byGOVDetalhado!E20</f>
        <v>303.31521555438837</v>
      </c>
      <c r="CD20" s="38">
        <f>[22]byGOVDetalhado!B20</f>
        <v>61.010338544389995</v>
      </c>
      <c r="CE20" s="39">
        <f>[22]byGOVDetalhado!C20</f>
        <v>0.80175518551626312</v>
      </c>
      <c r="CF20" s="40">
        <f>[22]byGOVDetalhado!D20</f>
        <v>2.4886360003432908</v>
      </c>
      <c r="CG20" s="41">
        <f>[22]byGOVDetalhado!E20</f>
        <v>288.11664030447878</v>
      </c>
      <c r="CH20" s="38">
        <f>[23]byGOVDetalhado!B20</f>
        <v>74.069402776950028</v>
      </c>
      <c r="CI20" s="39">
        <f>[23]byGOVDetalhado!C20</f>
        <v>0.83235953611061464</v>
      </c>
      <c r="CJ20" s="40">
        <f>[23]byGOVDetalhado!D20</f>
        <v>2.4198051253551052</v>
      </c>
      <c r="CK20" s="41">
        <f>[23]byGOVDetalhado!E20</f>
        <v>347.22586994763253</v>
      </c>
      <c r="CL20" s="38">
        <f>[24]byGOVDetalhado!B20</f>
        <v>77.836053241339997</v>
      </c>
      <c r="CM20" s="39">
        <f>[24]byGOVDetalhado!C20</f>
        <v>0.77220788883829206</v>
      </c>
      <c r="CN20" s="40">
        <f>[24]byGOVDetalhado!D20</f>
        <v>2.2121963237419315</v>
      </c>
      <c r="CO20" s="41">
        <f>[24]byGOVDetalhado!E20</f>
        <v>383.27636145563685</v>
      </c>
      <c r="CP20" s="38">
        <f>[25]byGOVDetalhado!B20</f>
        <v>90.271788571729999</v>
      </c>
      <c r="CQ20" s="39">
        <f>[25]byGOVDetalhado!C20</f>
        <v>0.82490131509829179</v>
      </c>
      <c r="CR20" s="40">
        <f>[25]byGOVDetalhado!D20</f>
        <v>2.385625961220013</v>
      </c>
      <c r="CS20" s="41">
        <f>[25]byGOVDetalhado!E20</f>
        <v>434.34927576775101</v>
      </c>
      <c r="CT20" s="38">
        <f>[26]byGOVDetalhado!B20</f>
        <v>99.843386388089996</v>
      </c>
      <c r="CU20" s="39">
        <f>[26]byGOVDetalhado!C20</f>
        <v>0.85011375239769671</v>
      </c>
      <c r="CV20" s="40">
        <f>[26]byGOVDetalhado!D20</f>
        <v>2.3647119129777567</v>
      </c>
      <c r="CW20" s="41">
        <f>[26]byGOVDetalhado!E20</f>
        <v>469.66612635297849</v>
      </c>
    </row>
    <row r="21" spans="1:101" x14ac:dyDescent="0.25">
      <c r="A21" s="37" t="s">
        <v>92</v>
      </c>
      <c r="B21" s="38">
        <f>[2]byGOVDetalhado!B21</f>
        <v>3.5156900520500005</v>
      </c>
      <c r="C21" s="39">
        <f>[2]byGOVDetalhado!C21</f>
        <v>0.29239493279973394</v>
      </c>
      <c r="D21" s="40">
        <f>[2]byGOVDetalhado!D21</f>
        <v>0.95679316838544992</v>
      </c>
      <c r="E21" s="41">
        <f>[2]byGOVDetalhado!E21</f>
        <v>20.269377789569702</v>
      </c>
      <c r="F21" s="38">
        <f>[3]byGOVDetalhado!B21</f>
        <v>4.1246361909700004</v>
      </c>
      <c r="G21" s="39">
        <f>[3]byGOVDetalhado!C21</f>
        <v>0.31348056370448907</v>
      </c>
      <c r="H21" s="40">
        <f>[3]byGOVDetalhado!D21</f>
        <v>0.978221063140711</v>
      </c>
      <c r="I21" s="41">
        <f>[3]byGOVDetalhado!E21</f>
        <v>23.780199039603414</v>
      </c>
      <c r="J21" s="38">
        <f>[4]byGOVDetalhado!B21</f>
        <v>5.3641840375999994</v>
      </c>
      <c r="K21" s="39">
        <f>[4]byGOVDetalhado!C21</f>
        <v>0.36030567418979342</v>
      </c>
      <c r="L21" s="40">
        <f>[4]byGOVDetalhado!D21</f>
        <v>1.0827443289562726</v>
      </c>
      <c r="M21" s="41">
        <f>[4]byGOVDetalhado!E21</f>
        <v>30.089188596243236</v>
      </c>
      <c r="N21" s="38">
        <f>[5]byGOVDetalhado!B21</f>
        <v>5.4663563993300013</v>
      </c>
      <c r="O21" s="39">
        <f>[5]byGOVDetalhado!C21</f>
        <v>0.31819065743065872</v>
      </c>
      <c r="P21" s="40">
        <f>[5]byGOVDetalhado!D21</f>
        <v>0.97610915665501619</v>
      </c>
      <c r="Q21" s="41">
        <f>[5]byGOVDetalhado!E21</f>
        <v>30.264552072364353</v>
      </c>
      <c r="R21" s="38">
        <f>[6]byGOVDetalhado!B21</f>
        <v>8.3545699018700024</v>
      </c>
      <c r="S21" s="39">
        <f>[6]byGOVDetalhado!C21</f>
        <v>0.42674323250862867</v>
      </c>
      <c r="T21" s="40">
        <f>[6]byGOVDetalhado!D21</f>
        <v>1.2692035505163428</v>
      </c>
      <c r="U21" s="41">
        <f>[6]byGOVDetalhado!E21</f>
        <v>45.675479648087943</v>
      </c>
      <c r="V21" s="38">
        <f>[7]byGOVDetalhado!B21</f>
        <v>5.8239793374800009</v>
      </c>
      <c r="W21" s="39">
        <f>[7]byGOVDetalhado!C21</f>
        <v>0.26831381113755048</v>
      </c>
      <c r="X21" s="40">
        <f>[7]byGOVDetalhado!D21</f>
        <v>0.77222230773294431</v>
      </c>
      <c r="Y21" s="41">
        <f>[7]byGOVDetalhado!E21</f>
        <v>31.455328028547715</v>
      </c>
      <c r="Z21" s="38">
        <f>[8]byGOVDetalhado!B21</f>
        <v>6.7455806857700003</v>
      </c>
      <c r="AA21" s="39">
        <f>[8]byGOVDetalhado!C21</f>
        <v>0.27996350560376854</v>
      </c>
      <c r="AB21" s="40">
        <f>[8]byGOVDetalhado!D21</f>
        <v>0.81317538760897079</v>
      </c>
      <c r="AC21" s="41">
        <f>[8]byGOVDetalhado!E21</f>
        <v>36.008091134393013</v>
      </c>
      <c r="AD21" s="38">
        <f>[9]byGOVDetalhado!B21</f>
        <v>7.7937150012000016</v>
      </c>
      <c r="AE21" s="39">
        <f>[9]byGOVDetalhado!C21</f>
        <v>0.28650593715387085</v>
      </c>
      <c r="AF21" s="40">
        <f>[9]byGOVDetalhado!D21</f>
        <v>0.82839643301534582</v>
      </c>
      <c r="AG21" s="41">
        <f>[9]byGOVDetalhado!E21</f>
        <v>41.13586863655604</v>
      </c>
      <c r="AH21" s="38">
        <f>[10]byGOVDetalhado!B21</f>
        <v>8.9044344127100015</v>
      </c>
      <c r="AI21" s="39">
        <f>[10]byGOVDetalhado!C21</f>
        <v>0.28633435663641721</v>
      </c>
      <c r="AJ21" s="40">
        <f>[10]byGOVDetalhado!D21</f>
        <v>0.82380892546257434</v>
      </c>
      <c r="AK21" s="41">
        <f>[10]byGOVDetalhado!E21</f>
        <v>46.490476804871683</v>
      </c>
      <c r="AL21" s="38">
        <f>[11]byGOVDetalhado!B21</f>
        <v>10.114748539000001</v>
      </c>
      <c r="AM21" s="39">
        <f>[11]byGOVDetalhado!C21</f>
        <v>0.30346925250499623</v>
      </c>
      <c r="AN21" s="40">
        <f>[11]byGOVDetalhado!D21</f>
        <v>0.91505208612641564</v>
      </c>
      <c r="AO21" s="41">
        <f>[11]byGOVDetalhado!E21</f>
        <v>52.260727065073262</v>
      </c>
      <c r="AP21" s="38">
        <f>[12]byGOVDetalhado!B21</f>
        <v>11.338062279309998</v>
      </c>
      <c r="AQ21" s="39">
        <f>[12]byGOVDetalhado!C21</f>
        <v>0.29177840196255789</v>
      </c>
      <c r="AR21" s="40">
        <f>[12]byGOVDetalhado!D21</f>
        <v>0.87799250160345821</v>
      </c>
      <c r="AS21" s="41">
        <f>[12]byGOVDetalhado!E21</f>
        <v>57.995857003493484</v>
      </c>
      <c r="AT21" s="38">
        <f>[13]byGOVDetalhado!B21</f>
        <v>12.27438691201</v>
      </c>
      <c r="AU21" s="39">
        <f>[13]byGOVDetalhado!C21</f>
        <v>0.2804688190384203</v>
      </c>
      <c r="AV21" s="40">
        <f>[13]byGOVDetalhado!D21</f>
        <v>0.82289853112451472</v>
      </c>
      <c r="AW21" s="41">
        <f>[13]byGOVDetalhado!E21</f>
        <v>62.18121750962824</v>
      </c>
      <c r="AX21" s="38">
        <f>[14]byGOVDetalhado!B21</f>
        <v>12.509357820749999</v>
      </c>
      <c r="AY21" s="39">
        <f>[14]byGOVDetalhado!C21</f>
        <v>0.25981269722166833</v>
      </c>
      <c r="AZ21" s="40">
        <f>[14]byGOVDetalhado!D21</f>
        <v>0.76364524453657767</v>
      </c>
      <c r="BA21" s="41">
        <f>[14]byGOVDetalhado!E21</f>
        <v>62.784597696599434</v>
      </c>
      <c r="BB21" s="38">
        <f>[15]byGOVDetalhado!B21</f>
        <v>13.38015028105</v>
      </c>
      <c r="BC21" s="39">
        <f>[15]byGOVDetalhado!C21</f>
        <v>0.25095848523778613</v>
      </c>
      <c r="BD21" s="40">
        <f>[15]byGOVDetalhado!D21</f>
        <v>0.74655765634602578</v>
      </c>
      <c r="BE21" s="41">
        <f>[15]byGOVDetalhado!E21</f>
        <v>66.557079267456928</v>
      </c>
      <c r="BF21" s="38">
        <f>[16]byGOVDetalhado!B21</f>
        <v>14.317351566989998</v>
      </c>
      <c r="BG21" s="39">
        <f>[16]byGOVDetalhado!C21</f>
        <v>0.24774992229543999</v>
      </c>
      <c r="BH21" s="40">
        <f>[16]byGOVDetalhado!D21</f>
        <v>0.7536315760198633</v>
      </c>
      <c r="BI21" s="41">
        <f>[16]byGOVDetalhado!E21</f>
        <v>70.609326346112752</v>
      </c>
      <c r="BJ21" s="38">
        <f>[17]byGOVDetalhado!B21</f>
        <v>19.467390204969998</v>
      </c>
      <c r="BK21" s="39">
        <f>[17]byGOVDetalhado!C21</f>
        <v>0.32468448603944733</v>
      </c>
      <c r="BL21" s="40">
        <f>[17]byGOVDetalhado!D21</f>
        <v>0.98867870783885947</v>
      </c>
      <c r="BM21" s="41">
        <f>[17]byGOVDetalhado!E21</f>
        <v>95.218040638110168</v>
      </c>
      <c r="BN21" s="38">
        <f>[18]byGOVDetalhado!B21</f>
        <v>15.370795990720001</v>
      </c>
      <c r="BO21" s="39">
        <f>[18]byGOVDetalhado!C21</f>
        <v>0.24525759075568776</v>
      </c>
      <c r="BP21" s="40">
        <f>[18]byGOVDetalhado!D21</f>
        <v>0.7367997585136542</v>
      </c>
      <c r="BQ21" s="41">
        <f>[18]byGOVDetalhado!E21</f>
        <v>74.586030587753299</v>
      </c>
      <c r="BR21" s="38">
        <f>[19]byGOVDetalhado!B21</f>
        <v>17.133172159530002</v>
      </c>
      <c r="BS21" s="39">
        <f>[19]byGOVDetalhado!C21</f>
        <v>0.26142177907878528</v>
      </c>
      <c r="BT21" s="40">
        <f>[19]byGOVDetalhado!D21</f>
        <v>0.77757726615312062</v>
      </c>
      <c r="BU21" s="41">
        <f>[19]byGOVDetalhado!E21</f>
        <v>82.505516285781439</v>
      </c>
      <c r="BV21" s="38">
        <f>[20]byGOVDetalhado!B21</f>
        <v>17.415899348989999</v>
      </c>
      <c r="BW21" s="39">
        <f>[20]byGOVDetalhado!C21</f>
        <v>0.25280090240384478</v>
      </c>
      <c r="BX21" s="40">
        <f>[20]byGOVDetalhado!D21</f>
        <v>0.7339810682713539</v>
      </c>
      <c r="BY21" s="41">
        <f>[20]byGOVDetalhado!E21</f>
        <v>83.531536497967082</v>
      </c>
      <c r="BZ21" s="38">
        <f>[21]byGOVDetalhado!B21</f>
        <v>17.74305029289</v>
      </c>
      <c r="CA21" s="39">
        <f>[21]byGOVDetalhado!C21</f>
        <v>0.24012363961188396</v>
      </c>
      <c r="CB21" s="40">
        <f>[21]byGOVDetalhado!D21</f>
        <v>0.71059624710181712</v>
      </c>
      <c r="CC21" s="41">
        <f>[21]byGOVDetalhado!E21</f>
        <v>84.43156332921518</v>
      </c>
      <c r="CD21" s="38">
        <f>[22]byGOVDetalhado!B21</f>
        <v>24.408299055279997</v>
      </c>
      <c r="CE21" s="39">
        <f>[22]byGOVDetalhado!C21</f>
        <v>0.32075678981791017</v>
      </c>
      <c r="CF21" s="40">
        <f>[22]byGOVDetalhado!D21</f>
        <v>0.99562423656966226</v>
      </c>
      <c r="CG21" s="41">
        <f>[22]byGOVDetalhado!E21</f>
        <v>115.26631858037609</v>
      </c>
      <c r="CH21" s="38">
        <f>[23]byGOVDetalhado!B21</f>
        <v>26.809734822509995</v>
      </c>
      <c r="CI21" s="39">
        <f>[23]byGOVDetalhado!C21</f>
        <v>0.30127606816694114</v>
      </c>
      <c r="CJ21" s="40">
        <f>[23]byGOVDetalhado!D21</f>
        <v>0.87585873924596391</v>
      </c>
      <c r="CK21" s="41">
        <f>[23]byGOVDetalhado!E21</f>
        <v>125.67987789565773</v>
      </c>
      <c r="CL21" s="38">
        <f>[24]byGOVDetalhado!B21</f>
        <v>26.533166977649994</v>
      </c>
      <c r="CM21" s="39">
        <f>[24]byGOVDetalhado!C21</f>
        <v>0.26323432397678254</v>
      </c>
      <c r="CN21" s="40">
        <f>[24]byGOVDetalhado!D21</f>
        <v>0.75410522503231736</v>
      </c>
      <c r="CO21" s="41">
        <f>[24]byGOVDetalhado!E21</f>
        <v>130.65328049916258</v>
      </c>
      <c r="CP21" s="38">
        <f>[25]byGOVDetalhado!B21</f>
        <v>26.980036469029997</v>
      </c>
      <c r="CQ21" s="39">
        <f>[25]byGOVDetalhado!C21</f>
        <v>0.24654288916651071</v>
      </c>
      <c r="CR21" s="40">
        <f>[25]byGOVDetalhado!D21</f>
        <v>0.7130054300855776</v>
      </c>
      <c r="CS21" s="41">
        <f>[25]byGOVDetalhado!E21</f>
        <v>129.81640760556061</v>
      </c>
      <c r="CT21" s="38">
        <f>[26]byGOVDetalhado!B21</f>
        <v>28.419424528750003</v>
      </c>
      <c r="CU21" s="39">
        <f>[26]byGOVDetalhado!C21</f>
        <v>0.24197640425786623</v>
      </c>
      <c r="CV21" s="40">
        <f>[26]byGOVDetalhado!D21</f>
        <v>0.67309167060787822</v>
      </c>
      <c r="CW21" s="41">
        <f>[26]byGOVDetalhado!E21</f>
        <v>133.68578044535391</v>
      </c>
    </row>
    <row r="22" spans="1:101" x14ac:dyDescent="0.25">
      <c r="A22" s="37" t="s">
        <v>93</v>
      </c>
      <c r="B22" s="38">
        <f>[2]byGOVDetalhado!B22</f>
        <v>1.9865571365900001</v>
      </c>
      <c r="C22" s="39">
        <f>[2]byGOVDetalhado!C22</f>
        <v>0.16521912678774558</v>
      </c>
      <c r="D22" s="40">
        <f>[2]byGOVDetalhado!D22</f>
        <v>0.54064046282702305</v>
      </c>
      <c r="E22" s="41">
        <f>[2]byGOVDetalhado!E22</f>
        <v>11.453306891666756</v>
      </c>
      <c r="F22" s="38">
        <f>[3]byGOVDetalhado!B22</f>
        <v>2.1839293103499995</v>
      </c>
      <c r="G22" s="39">
        <f>[3]byGOVDetalhado!C22</f>
        <v>0.16598297634058007</v>
      </c>
      <c r="H22" s="40">
        <f>[3]byGOVDetalhado!D22</f>
        <v>0.51795250608328736</v>
      </c>
      <c r="I22" s="41">
        <f>[3]byGOVDetalhado!E22</f>
        <v>12.591237453195427</v>
      </c>
      <c r="J22" s="38">
        <f>[4]byGOVDetalhado!B22</f>
        <v>3.5482971444400007</v>
      </c>
      <c r="K22" s="39">
        <f>[4]byGOVDetalhado!C22</f>
        <v>0.23833477484959237</v>
      </c>
      <c r="L22" s="40">
        <f>[4]byGOVDetalhado!D22</f>
        <v>0.71621305004909153</v>
      </c>
      <c r="M22" s="41">
        <f>[4]byGOVDetalhado!E22</f>
        <v>19.903377890504782</v>
      </c>
      <c r="N22" s="38">
        <f>[5]byGOVDetalhado!B22</f>
        <v>4.32303249906</v>
      </c>
      <c r="O22" s="39">
        <f>[5]byGOVDetalhado!C22</f>
        <v>0.25163901737885269</v>
      </c>
      <c r="P22" s="40">
        <f>[5]byGOVDetalhado!D22</f>
        <v>0.77194959468191449</v>
      </c>
      <c r="Q22" s="41">
        <f>[5]byGOVDetalhado!E22</f>
        <v>23.934524685284131</v>
      </c>
      <c r="R22" s="38">
        <f>[6]byGOVDetalhado!B22</f>
        <v>4.1312495653500001</v>
      </c>
      <c r="S22" s="39">
        <f>[6]byGOVDetalhado!C22</f>
        <v>0.21102017393172062</v>
      </c>
      <c r="T22" s="40">
        <f>[6]byGOVDetalhado!D22</f>
        <v>0.62760820461118993</v>
      </c>
      <c r="U22" s="41">
        <f>[6]byGOVDetalhado!E22</f>
        <v>22.5860586074072</v>
      </c>
      <c r="V22" s="38">
        <f>[7]byGOVDetalhado!B22</f>
        <v>5.7858874770300002</v>
      </c>
      <c r="W22" s="39">
        <f>[7]byGOVDetalhado!C22</f>
        <v>0.26655889896180063</v>
      </c>
      <c r="X22" s="40">
        <f>[7]byGOVDetalhado!D22</f>
        <v>0.76717157134154967</v>
      </c>
      <c r="Y22" s="41">
        <f>[7]byGOVDetalhado!E22</f>
        <v>31.249593788049726</v>
      </c>
      <c r="Z22" s="38">
        <f>[8]byGOVDetalhado!B22</f>
        <v>6.1767139358199987</v>
      </c>
      <c r="AA22" s="39">
        <f>[8]byGOVDetalhado!C22</f>
        <v>0.25635368801261693</v>
      </c>
      <c r="AB22" s="40">
        <f>[8]byGOVDetalhado!D22</f>
        <v>0.74459886893144733</v>
      </c>
      <c r="AC22" s="41">
        <f>[8]byGOVDetalhado!E22</f>
        <v>32.971465122530638</v>
      </c>
      <c r="AD22" s="38">
        <f>[9]byGOVDetalhado!B22</f>
        <v>6.1967214007500004</v>
      </c>
      <c r="AE22" s="39">
        <f>[9]byGOVDetalhado!C22</f>
        <v>0.22779861361750686</v>
      </c>
      <c r="AF22" s="40">
        <f>[9]byGOVDetalhado!D22</f>
        <v>0.65865147801539758</v>
      </c>
      <c r="AG22" s="41">
        <f>[9]byGOVDetalhado!E22</f>
        <v>32.706805096072841</v>
      </c>
      <c r="AH22" s="38">
        <f>[10]byGOVDetalhado!B22</f>
        <v>6.6254466228600002</v>
      </c>
      <c r="AI22" s="39">
        <f>[10]byGOVDetalhado!C22</f>
        <v>0.21305036437549263</v>
      </c>
      <c r="AJ22" s="40">
        <f>[10]byGOVDetalhado!D22</f>
        <v>0.61296448602026432</v>
      </c>
      <c r="AK22" s="41">
        <f>[10]byGOVDetalhado!E22</f>
        <v>34.591772847731555</v>
      </c>
      <c r="AL22" s="38">
        <f>[11]byGOVDetalhado!B22</f>
        <v>8.04942390169</v>
      </c>
      <c r="AM22" s="39">
        <f>[11]byGOVDetalhado!C22</f>
        <v>0.24150404185759602</v>
      </c>
      <c r="AN22" s="40">
        <f>[11]byGOVDetalhado!D22</f>
        <v>0.72820813141890262</v>
      </c>
      <c r="AO22" s="41">
        <f>[11]byGOVDetalhado!E22</f>
        <v>41.589639518501343</v>
      </c>
      <c r="AP22" s="38">
        <f>[12]byGOVDetalhado!B22</f>
        <v>9.0119378484200006</v>
      </c>
      <c r="AQ22" s="39">
        <f>[12]byGOVDetalhado!C22</f>
        <v>0.23191695011203478</v>
      </c>
      <c r="AR22" s="40">
        <f>[12]byGOVDetalhado!D22</f>
        <v>0.69786297348780235</v>
      </c>
      <c r="AS22" s="41">
        <f>[12]byGOVDetalhado!E22</f>
        <v>46.097388240236796</v>
      </c>
      <c r="AT22" s="38">
        <f>[13]byGOVDetalhado!B22</f>
        <v>10.065186438809999</v>
      </c>
      <c r="AU22" s="39">
        <f>[13]byGOVDetalhado!C22</f>
        <v>0.22998875415377357</v>
      </c>
      <c r="AV22" s="40">
        <f>[13]byGOVDetalhado!D22</f>
        <v>0.67478947790760224</v>
      </c>
      <c r="AW22" s="41">
        <f>[13]byGOVDetalhado!E22</f>
        <v>50.989556685248402</v>
      </c>
      <c r="AX22" s="38">
        <f>[14]byGOVDetalhado!B22</f>
        <v>7.9935478644200009</v>
      </c>
      <c r="AY22" s="39">
        <f>[14]byGOVDetalhado!C22</f>
        <v>0.16602173035457635</v>
      </c>
      <c r="AZ22" s="40">
        <f>[14]byGOVDetalhado!D22</f>
        <v>0.48797347562593507</v>
      </c>
      <c r="BA22" s="41">
        <f>[14]byGOVDetalhado!E22</f>
        <v>40.119700309766301</v>
      </c>
      <c r="BB22" s="38">
        <f>[15]byGOVDetalhado!B22</f>
        <v>12.488857401049998</v>
      </c>
      <c r="BC22" s="39">
        <f>[15]byGOVDetalhado!C22</f>
        <v>0.23424137023013081</v>
      </c>
      <c r="BD22" s="40">
        <f>[15]byGOVDetalhado!D22</f>
        <v>0.69682715933112338</v>
      </c>
      <c r="BE22" s="41">
        <f>[15]byGOVDetalhado!E22</f>
        <v>62.123507923441743</v>
      </c>
      <c r="BF22" s="38">
        <f>[16]byGOVDetalhado!B22</f>
        <v>14.505988595640003</v>
      </c>
      <c r="BG22" s="39">
        <f>[16]byGOVDetalhado!C22</f>
        <v>0.25101412999275136</v>
      </c>
      <c r="BH22" s="40">
        <f>[16]byGOVDetalhado!D22</f>
        <v>0.76356098374111936</v>
      </c>
      <c r="BI22" s="41">
        <f>[16]byGOVDetalhado!E22</f>
        <v>71.539633425224977</v>
      </c>
      <c r="BJ22" s="38">
        <f>[17]byGOVDetalhado!B22</f>
        <v>15.432746904079998</v>
      </c>
      <c r="BK22" s="39">
        <f>[17]byGOVDetalhado!C22</f>
        <v>0.25739318131347888</v>
      </c>
      <c r="BL22" s="40">
        <f>[17]byGOVDetalhado!D22</f>
        <v>0.78377369061183244</v>
      </c>
      <c r="BM22" s="41">
        <f>[17]byGOVDetalhado!E22</f>
        <v>75.483971215371383</v>
      </c>
      <c r="BN22" s="38">
        <f>[18]byGOVDetalhado!B22</f>
        <v>15.340308320610003</v>
      </c>
      <c r="BO22" s="39">
        <f>[18]byGOVDetalhado!C22</f>
        <v>0.24477112717088403</v>
      </c>
      <c r="BP22" s="40">
        <f>[18]byGOVDetalhado!D22</f>
        <v>0.7353383307523168</v>
      </c>
      <c r="BQ22" s="41">
        <f>[18]byGOVDetalhado!E22</f>
        <v>74.438090669954207</v>
      </c>
      <c r="BR22" s="38">
        <f>[19]byGOVDetalhado!B22</f>
        <v>14.342964326560002</v>
      </c>
      <c r="BS22" s="39">
        <f>[19]byGOVDetalhado!C22</f>
        <v>0.218848162885426</v>
      </c>
      <c r="BT22" s="40">
        <f>[19]byGOVDetalhado!D22</f>
        <v>0.65094559756552428</v>
      </c>
      <c r="BU22" s="41">
        <f>[19]byGOVDetalhado!E22</f>
        <v>69.0691522744753</v>
      </c>
      <c r="BV22" s="38">
        <f>[20]byGOVDetalhado!B22</f>
        <v>12.741866038170002</v>
      </c>
      <c r="BW22" s="39">
        <f>[20]byGOVDetalhado!C22</f>
        <v>0.18495486039571557</v>
      </c>
      <c r="BX22" s="40">
        <f>[20]byGOVDetalhado!D22</f>
        <v>0.53699715754322319</v>
      </c>
      <c r="BY22" s="41">
        <f>[20]byGOVDetalhado!E22</f>
        <v>61.113562193463736</v>
      </c>
      <c r="BZ22" s="38">
        <f>[21]byGOVDetalhado!B22</f>
        <v>9.5587720438399959</v>
      </c>
      <c r="CA22" s="39">
        <f>[21]byGOVDetalhado!C22</f>
        <v>0.12936260087742382</v>
      </c>
      <c r="CB22" s="40">
        <f>[21]byGOVDetalhado!D22</f>
        <v>0.38282186146856223</v>
      </c>
      <c r="CC22" s="41">
        <f>[21]byGOVDetalhado!E22</f>
        <v>45.48609477212689</v>
      </c>
      <c r="CD22" s="38">
        <f>[22]byGOVDetalhado!B22</f>
        <v>3.5439453406299992</v>
      </c>
      <c r="CE22" s="39">
        <f>[22]byGOVDetalhado!C22</f>
        <v>4.6572050275855599E-2</v>
      </c>
      <c r="CF22" s="40">
        <f>[22]byGOVDetalhado!D22</f>
        <v>0.14455894145749923</v>
      </c>
      <c r="CG22" s="41">
        <f>[22]byGOVDetalhado!E22</f>
        <v>16.736009819419632</v>
      </c>
      <c r="CH22" s="38">
        <f>[23]byGOVDetalhado!B22</f>
        <v>3.6661581654499993</v>
      </c>
      <c r="CI22" s="39">
        <f>[23]byGOVDetalhado!C22</f>
        <v>4.119868117597044E-2</v>
      </c>
      <c r="CJ22" s="40">
        <f>[23]byGOVDetalhado!D22</f>
        <v>0.11977129538675185</v>
      </c>
      <c r="CK22" s="41">
        <f>[23]byGOVDetalhado!E22</f>
        <v>17.186380754242265</v>
      </c>
      <c r="CL22" s="38">
        <f>[24]byGOVDetalhado!B22</f>
        <v>6.5676301235500008</v>
      </c>
      <c r="CM22" s="39">
        <f>[24]byGOVDetalhado!C22</f>
        <v>6.5157155086631766E-2</v>
      </c>
      <c r="CN22" s="40">
        <f>[24]byGOVDetalhado!D22</f>
        <v>0.18666012226963161</v>
      </c>
      <c r="CO22" s="41">
        <f>[24]byGOVDetalhado!E22</f>
        <v>32.339992488259206</v>
      </c>
      <c r="CP22" s="38">
        <f>[25]byGOVDetalhado!B22</f>
        <v>6.6783866368600009</v>
      </c>
      <c r="CQ22" s="39">
        <f>[25]byGOVDetalhado!C22</f>
        <v>6.1026927754989711E-2</v>
      </c>
      <c r="CR22" s="40">
        <f>[25]byGOVDetalhado!D22</f>
        <v>0.17649071533902697</v>
      </c>
      <c r="CS22" s="41">
        <f>[25]byGOVDetalhado!E22</f>
        <v>32.133542991808881</v>
      </c>
      <c r="CT22" s="38">
        <f>[26]byGOVDetalhado!B22</f>
        <v>6.7841339568700016</v>
      </c>
      <c r="CU22" s="39">
        <f>[26]byGOVDetalhado!C22</f>
        <v>5.7763320971766959E-2</v>
      </c>
      <c r="CV22" s="40">
        <f>[26]byGOVDetalhado!D22</f>
        <v>0.16067686571337167</v>
      </c>
      <c r="CW22" s="41">
        <f>[26]byGOVDetalhado!E22</f>
        <v>31.912758886180161</v>
      </c>
    </row>
    <row r="23" spans="1:101" x14ac:dyDescent="0.25">
      <c r="A23" s="37" t="s">
        <v>94</v>
      </c>
      <c r="B23" s="38">
        <f>[2]byGOVDetalhado!B23</f>
        <v>18.708530527099995</v>
      </c>
      <c r="C23" s="39">
        <f>[2]byGOVDetalhado!C23</f>
        <v>1.5559618297589832</v>
      </c>
      <c r="D23" s="40">
        <f>[2]byGOVDetalhado!D23</f>
        <v>5.0915165824764053</v>
      </c>
      <c r="E23" s="41">
        <f>[2]byGOVDetalhado!E23</f>
        <v>107.86225962108624</v>
      </c>
      <c r="F23" s="38">
        <f>[3]byGOVDetalhado!B23</f>
        <v>21.074052206149997</v>
      </c>
      <c r="G23" s="39">
        <f>[3]byGOVDetalhado!C23</f>
        <v>1.601669931419603</v>
      </c>
      <c r="H23" s="40">
        <f>[3]byGOVDetalhado!D23</f>
        <v>4.9980363841337487</v>
      </c>
      <c r="I23" s="41">
        <f>[3]byGOVDetalhado!E23</f>
        <v>121.50045066529489</v>
      </c>
      <c r="J23" s="38">
        <f>[4]byGOVDetalhado!B23</f>
        <v>22.421996700430004</v>
      </c>
      <c r="K23" s="39">
        <f>[4]byGOVDetalhado!C23</f>
        <v>1.5060580660920604</v>
      </c>
      <c r="L23" s="40">
        <f>[4]byGOVDetalhado!D23</f>
        <v>4.5258122393072826</v>
      </c>
      <c r="M23" s="41">
        <f>[4]byGOVDetalhado!E23</f>
        <v>125.77116718863226</v>
      </c>
      <c r="N23" s="38">
        <f>[5]byGOVDetalhado!B23</f>
        <v>24.956352242580003</v>
      </c>
      <c r="O23" s="39">
        <f>[5]byGOVDetalhado!C23</f>
        <v>1.4526821061486075</v>
      </c>
      <c r="P23" s="40">
        <f>[5]byGOVDetalhado!D23</f>
        <v>4.4563731599491128</v>
      </c>
      <c r="Q23" s="41">
        <f>[5]byGOVDetalhado!E23</f>
        <v>138.17116316718827</v>
      </c>
      <c r="R23" s="38">
        <f>[6]byGOVDetalhado!B23</f>
        <v>28.269333316919997</v>
      </c>
      <c r="S23" s="39">
        <f>[6]byGOVDetalhado!C23</f>
        <v>1.4439698060131241</v>
      </c>
      <c r="T23" s="40">
        <f>[6]byGOVDetalhado!D23</f>
        <v>4.2946002772128216</v>
      </c>
      <c r="U23" s="41">
        <f>[6]byGOVDetalhado!E23</f>
        <v>154.55198457229753</v>
      </c>
      <c r="V23" s="38">
        <f>[7]byGOVDetalhado!B23</f>
        <v>32.24787701727</v>
      </c>
      <c r="W23" s="39">
        <f>[7]byGOVDetalhado!C23</f>
        <v>1.4856767653545011</v>
      </c>
      <c r="X23" s="40">
        <f>[7]byGOVDetalhado!D23</f>
        <v>4.2758616689288571</v>
      </c>
      <c r="Y23" s="41">
        <f>[7]byGOVDetalhado!E23</f>
        <v>174.1708702973186</v>
      </c>
      <c r="Z23" s="38">
        <f>[8]byGOVDetalhado!B23</f>
        <v>36.505404629329995</v>
      </c>
      <c r="AA23" s="39">
        <f>[8]byGOVDetalhado!C23</f>
        <v>1.5150928481325612</v>
      </c>
      <c r="AB23" s="40">
        <f>[8]byGOVDetalhado!D23</f>
        <v>4.4007029108553599</v>
      </c>
      <c r="AC23" s="41">
        <f>[8]byGOVDetalhado!E23</f>
        <v>194.86683178569962</v>
      </c>
      <c r="AD23" s="38">
        <f>[9]byGOVDetalhado!B23</f>
        <v>41.630508849160002</v>
      </c>
      <c r="AE23" s="39">
        <f>[9]byGOVDetalhado!C23</f>
        <v>1.5303854388035276</v>
      </c>
      <c r="AF23" s="40">
        <f>[9]byGOVDetalhado!D23</f>
        <v>4.4249199553676295</v>
      </c>
      <c r="AG23" s="41">
        <f>[9]byGOVDetalhado!E23</f>
        <v>219.72924889200522</v>
      </c>
      <c r="AH23" s="38">
        <f>[10]byGOVDetalhado!B23</f>
        <v>48.714379836640006</v>
      </c>
      <c r="AI23" s="39">
        <f>[10]byGOVDetalhado!C23</f>
        <v>1.5664779999453344</v>
      </c>
      <c r="AJ23" s="40">
        <f>[10]byGOVDetalhado!D23</f>
        <v>4.5068938741932305</v>
      </c>
      <c r="AK23" s="41">
        <f>[10]byGOVDetalhado!E23</f>
        <v>254.34010077342569</v>
      </c>
      <c r="AL23" s="38">
        <f>[11]byGOVDetalhado!B23</f>
        <v>54.725947860410002</v>
      </c>
      <c r="AM23" s="39">
        <f>[11]byGOVDetalhado!C23</f>
        <v>1.6419234176500783</v>
      </c>
      <c r="AN23" s="40">
        <f>[11]byGOVDetalhado!D23</f>
        <v>4.9508984392274868</v>
      </c>
      <c r="AO23" s="41">
        <f>[11]byGOVDetalhado!E23</f>
        <v>282.75718506325558</v>
      </c>
      <c r="AP23" s="38">
        <f>[12]byGOVDetalhado!B23</f>
        <v>61.797213442769994</v>
      </c>
      <c r="AQ23" s="39">
        <f>[12]byGOVDetalhado!C23</f>
        <v>1.5903151473223212</v>
      </c>
      <c r="AR23" s="40">
        <f>[12]byGOVDetalhado!D23</f>
        <v>4.7854288225026798</v>
      </c>
      <c r="AS23" s="41">
        <f>[12]byGOVDetalhado!E23</f>
        <v>316.10184048657078</v>
      </c>
      <c r="AT23" s="38">
        <f>[13]byGOVDetalhado!B23</f>
        <v>72.26093929261998</v>
      </c>
      <c r="AU23" s="39">
        <f>[13]byGOVDetalhado!C23</f>
        <v>1.651157035483191</v>
      </c>
      <c r="AV23" s="40">
        <f>[13]byGOVDetalhado!D23</f>
        <v>4.8445124980859235</v>
      </c>
      <c r="AW23" s="41">
        <f>[13]byGOVDetalhado!E23</f>
        <v>366.06905223168053</v>
      </c>
      <c r="AX23" s="38">
        <f>[14]byGOVDetalhado!B23</f>
        <v>83.033513518829992</v>
      </c>
      <c r="AY23" s="39">
        <f>[14]byGOVDetalhado!C23</f>
        <v>1.7245618373258478</v>
      </c>
      <c r="AZ23" s="40">
        <f>[14]byGOVDetalhado!D23</f>
        <v>5.0688571423418214</v>
      </c>
      <c r="BA23" s="41">
        <f>[14]byGOVDetalhado!E23</f>
        <v>416.7460725255944</v>
      </c>
      <c r="BB23" s="38">
        <f>[15]byGOVDetalhado!B23</f>
        <v>94.415141165540021</v>
      </c>
      <c r="BC23" s="39">
        <f>[15]byGOVDetalhado!C23</f>
        <v>1.7708531154521736</v>
      </c>
      <c r="BD23" s="40">
        <f>[15]byGOVDetalhado!D23</f>
        <v>5.2679786872015129</v>
      </c>
      <c r="BE23" s="41">
        <f>[15]byGOVDetalhado!E23</f>
        <v>469.65063191426657</v>
      </c>
      <c r="BF23" s="38">
        <f>[16]byGOVDetalhado!B23</f>
        <v>104.74419295153999</v>
      </c>
      <c r="BG23" s="39">
        <f>[16]byGOVDetalhado!C23</f>
        <v>1.8125115907940414</v>
      </c>
      <c r="BH23" s="40">
        <f>[16]byGOVDetalhado!D23</f>
        <v>5.5134869632591794</v>
      </c>
      <c r="BI23" s="41">
        <f>[16]byGOVDetalhado!E23</f>
        <v>516.57018187829328</v>
      </c>
      <c r="BJ23" s="38">
        <f>[17]byGOVDetalhado!B23</f>
        <v>113.52938475098</v>
      </c>
      <c r="BK23" s="39">
        <f>[17]byGOVDetalhado!C23</f>
        <v>1.8934859552379031</v>
      </c>
      <c r="BL23" s="40">
        <f>[17]byGOVDetalhado!D23</f>
        <v>5.7657489902618737</v>
      </c>
      <c r="BM23" s="41">
        <f>[17]byGOVDetalhado!E23</f>
        <v>555.28992109474791</v>
      </c>
      <c r="BN23" s="38">
        <f>[18]byGOVDetalhado!B23</f>
        <v>119.08933892390002</v>
      </c>
      <c r="BO23" s="39">
        <f>[18]byGOVDetalhado!C23</f>
        <v>1.9001985561969015</v>
      </c>
      <c r="BP23" s="40">
        <f>[18]byGOVDetalhado!D23</f>
        <v>5.7085525182726782</v>
      </c>
      <c r="BQ23" s="41">
        <f>[18]byGOVDetalhado!E23</f>
        <v>577.87515240043558</v>
      </c>
      <c r="BR23" s="38">
        <f>[19]byGOVDetalhado!B23</f>
        <v>123.53500958701999</v>
      </c>
      <c r="BS23" s="39">
        <f>[19]byGOVDetalhado!C23</f>
        <v>1.8849248512798153</v>
      </c>
      <c r="BT23" s="40">
        <f>[19]byGOVDetalhado!D23</f>
        <v>5.6065516726535725</v>
      </c>
      <c r="BU23" s="41">
        <f>[19]byGOVDetalhado!E23</f>
        <v>594.88807154002473</v>
      </c>
      <c r="BV23" s="38">
        <f>[20]byGOVDetalhado!B23</f>
        <v>120.65828096146998</v>
      </c>
      <c r="BW23" s="39">
        <f>[20]byGOVDetalhado!C23</f>
        <v>1.7514181552344119</v>
      </c>
      <c r="BX23" s="40">
        <f>[20]byGOVDetalhado!D23</f>
        <v>5.0850600466418534</v>
      </c>
      <c r="BY23" s="41">
        <f>[20]byGOVDetalhado!E23</f>
        <v>578.71094670166985</v>
      </c>
      <c r="BZ23" s="38">
        <f>[21]byGOVDetalhado!B23</f>
        <v>128.70962267991001</v>
      </c>
      <c r="CA23" s="39">
        <f>[21]byGOVDetalhado!C23</f>
        <v>1.7418776670749241</v>
      </c>
      <c r="CB23" s="40">
        <f>[21]byGOVDetalhado!D23</f>
        <v>5.1547266863626655</v>
      </c>
      <c r="CC23" s="41">
        <f>[21]byGOVDetalhado!E23</f>
        <v>612.47386886644301</v>
      </c>
      <c r="CD23" s="38">
        <f>[22]byGOVDetalhado!B23</f>
        <v>127.27413977588</v>
      </c>
      <c r="CE23" s="39">
        <f>[22]byGOVDetalhado!C23</f>
        <v>1.6725477022749038</v>
      </c>
      <c r="CF23" s="40">
        <f>[22]byGOVDetalhado!D23</f>
        <v>5.1915628353467591</v>
      </c>
      <c r="CG23" s="41">
        <f>[22]byGOVDetalhado!E23</f>
        <v>601.04235486562504</v>
      </c>
      <c r="CH23" s="38">
        <f>[23]byGOVDetalhado!B23</f>
        <v>137.16133031404999</v>
      </c>
      <c r="CI23" s="39">
        <f>[23]byGOVDetalhado!C23</f>
        <v>1.5413590091487241</v>
      </c>
      <c r="CJ23" s="40">
        <f>[23]byGOVDetalhado!D23</f>
        <v>4.4809823982778125</v>
      </c>
      <c r="CK23" s="41">
        <f>[23]byGOVDetalhado!E23</f>
        <v>642.99103888942807</v>
      </c>
      <c r="CL23" s="38">
        <f>[24]byGOVDetalhado!B23</f>
        <v>156.29750849627999</v>
      </c>
      <c r="CM23" s="39">
        <f>[24]byGOVDetalhado!C23</f>
        <v>1.5506203621652124</v>
      </c>
      <c r="CN23" s="40">
        <f>[24]byGOVDetalhado!D23</f>
        <v>4.442167341571408</v>
      </c>
      <c r="CO23" s="41">
        <f>[24]byGOVDetalhado!E23</f>
        <v>769.63229591424215</v>
      </c>
      <c r="CP23" s="38">
        <f>[25]byGOVDetalhado!B23</f>
        <v>175.43329096683996</v>
      </c>
      <c r="CQ23" s="39">
        <f>[25]byGOVDetalhado!C23</f>
        <v>1.6031049646875759</v>
      </c>
      <c r="CR23" s="40">
        <f>[25]byGOVDetalhado!D23</f>
        <v>4.636201630814071</v>
      </c>
      <c r="CS23" s="41">
        <f>[25]byGOVDetalhado!E23</f>
        <v>844.11003794892201</v>
      </c>
      <c r="CT23" s="38">
        <f>[26]byGOVDetalhado!B23</f>
        <v>191.995</v>
      </c>
      <c r="CU23" s="39">
        <f>[26]byGOVDetalhado!C23</f>
        <v>1.6347361181958615</v>
      </c>
      <c r="CV23" s="40">
        <f>[26]byGOVDetalhado!D23</f>
        <v>4.5472502501810386</v>
      </c>
      <c r="CW23" s="41">
        <f>[26]byGOVDetalhado!E23</f>
        <v>903.14993502560753</v>
      </c>
    </row>
    <row r="24" spans="1:101" x14ac:dyDescent="0.25">
      <c r="A24" s="37" t="s">
        <v>95</v>
      </c>
      <c r="B24" s="38">
        <f>[2]byGOVDetalhado!B24</f>
        <v>5.0225552739000001</v>
      </c>
      <c r="C24" s="39">
        <f>[2]byGOVDetalhado!C24</f>
        <v>0.41771876645912404</v>
      </c>
      <c r="D24" s="40">
        <f>[2]byGOVDetalhado!D24</f>
        <v>1.3668857330309068</v>
      </c>
      <c r="E24" s="41">
        <f>[2]byGOVDetalhado!E24</f>
        <v>28.957066410422851</v>
      </c>
      <c r="F24" s="38">
        <f>[3]byGOVDetalhado!B24</f>
        <v>6.7406803256499987</v>
      </c>
      <c r="G24" s="39">
        <f>[3]byGOVDetalhado!C24</f>
        <v>0.512305127143731</v>
      </c>
      <c r="H24" s="40">
        <f>[3]byGOVDetalhado!D24</f>
        <v>1.5986562618261657</v>
      </c>
      <c r="I24" s="41">
        <f>[3]byGOVDetalhado!E24</f>
        <v>38.862753558053527</v>
      </c>
      <c r="J24" s="38">
        <f>[4]byGOVDetalhado!B24</f>
        <v>17.146006455689999</v>
      </c>
      <c r="K24" s="39">
        <f>[4]byGOVDetalhado!C24</f>
        <v>1.1516762609889795</v>
      </c>
      <c r="L24" s="40">
        <f>[4]byGOVDetalhado!D24</f>
        <v>3.4608695607789155</v>
      </c>
      <c r="M24" s="41">
        <f>[4]byGOVDetalhado!E24</f>
        <v>96.176681914978531</v>
      </c>
      <c r="N24" s="38">
        <f>[5]byGOVDetalhado!B24</f>
        <v>21.707805412799999</v>
      </c>
      <c r="O24" s="39">
        <f>[5]byGOVDetalhado!C24</f>
        <v>1.2635877303064698</v>
      </c>
      <c r="P24" s="40">
        <f>[5]byGOVDetalhado!D24</f>
        <v>3.87629091233724</v>
      </c>
      <c r="Q24" s="41">
        <f>[5]byGOVDetalhado!E24</f>
        <v>120.18554212326195</v>
      </c>
      <c r="R24" s="38">
        <f>[6]byGOVDetalhado!B24</f>
        <v>22.904585273780004</v>
      </c>
      <c r="S24" s="39">
        <f>[6]byGOVDetalhado!C24</f>
        <v>1.1699437402294777</v>
      </c>
      <c r="T24" s="40">
        <f>[6]byGOVDetalhado!D24</f>
        <v>3.4796023366898936</v>
      </c>
      <c r="U24" s="41">
        <f>[6]byGOVDetalhado!E24</f>
        <v>125.22223535244675</v>
      </c>
      <c r="V24" s="38">
        <f>[7]byGOVDetalhado!B24</f>
        <v>25.980349672019997</v>
      </c>
      <c r="W24" s="39">
        <f>[7]byGOVDetalhado!C24</f>
        <v>1.196928462696462</v>
      </c>
      <c r="X24" s="40">
        <f>[7]byGOVDetalhado!D24</f>
        <v>3.4448277400855423</v>
      </c>
      <c r="Y24" s="41">
        <f>[7]byGOVDetalhado!E24</f>
        <v>140.31993828868343</v>
      </c>
      <c r="Z24" s="38">
        <f>[8]byGOVDetalhado!B24</f>
        <v>29.472667532069998</v>
      </c>
      <c r="AA24" s="39">
        <f>[8]byGOVDetalhado!C24</f>
        <v>1.2232114188744319</v>
      </c>
      <c r="AB24" s="40">
        <f>[8]byGOVDetalhado!D24</f>
        <v>3.5529110036174156</v>
      </c>
      <c r="AC24" s="41">
        <f>[8]byGOVDetalhado!E24</f>
        <v>157.32589200321775</v>
      </c>
      <c r="AD24" s="38">
        <f>[9]byGOVDetalhado!B24</f>
        <v>29.270849660760003</v>
      </c>
      <c r="AE24" s="39">
        <f>[9]byGOVDetalhado!C24</f>
        <v>1.076030136084636</v>
      </c>
      <c r="AF24" s="40">
        <f>[9]byGOVDetalhado!D24</f>
        <v>3.111207870260662</v>
      </c>
      <c r="AG24" s="41">
        <f>[9]byGOVDetalhado!E24</f>
        <v>154.49395138775429</v>
      </c>
      <c r="AH24" s="38">
        <f>[10]byGOVDetalhado!B24</f>
        <v>36.100370902220007</v>
      </c>
      <c r="AI24" s="39">
        <f>[10]byGOVDetalhado!C24</f>
        <v>1.1608571636923628</v>
      </c>
      <c r="AJ24" s="40">
        <f>[10]byGOVDetalhado!D24</f>
        <v>3.3398873396504865</v>
      </c>
      <c r="AK24" s="41">
        <f>[10]byGOVDetalhado!E24</f>
        <v>188.48175844625467</v>
      </c>
      <c r="AL24" s="38">
        <f>[11]byGOVDetalhado!B24</f>
        <v>29.404674214619998</v>
      </c>
      <c r="AM24" s="39">
        <f>[11]byGOVDetalhado!C24</f>
        <v>0.88221812629915208</v>
      </c>
      <c r="AN24" s="40">
        <f>[11]byGOVDetalhado!D24</f>
        <v>2.6601559473485241</v>
      </c>
      <c r="AO24" s="41">
        <f>[11]byGOVDetalhado!E24</f>
        <v>151.9276181352879</v>
      </c>
      <c r="AP24" s="38">
        <f>[12]byGOVDetalhado!B24</f>
        <v>37.948963505630005</v>
      </c>
      <c r="AQ24" s="39">
        <f>[12]byGOVDetalhado!C24</f>
        <v>0.97659438227058348</v>
      </c>
      <c r="AR24" s="40">
        <f>[12]byGOVDetalhado!D24</f>
        <v>2.938677225505073</v>
      </c>
      <c r="AS24" s="41">
        <f>[12]byGOVDetalhado!E24</f>
        <v>194.11453268514327</v>
      </c>
      <c r="AT24" s="38">
        <f>[13]byGOVDetalhado!B24</f>
        <v>45.265742123690003</v>
      </c>
      <c r="AU24" s="39">
        <f>[13]byGOVDetalhado!C24</f>
        <v>1.0343188077203957</v>
      </c>
      <c r="AV24" s="40">
        <f>[13]byGOVDetalhado!D24</f>
        <v>3.0347025045624729</v>
      </c>
      <c r="AW24" s="41">
        <f>[13]byGOVDetalhado!E24</f>
        <v>229.31320129511786</v>
      </c>
      <c r="AX24" s="38">
        <f>[14]byGOVDetalhado!B24</f>
        <v>47.28406906507</v>
      </c>
      <c r="AY24" s="39">
        <f>[14]byGOVDetalhado!C24</f>
        <v>0.98206492255211064</v>
      </c>
      <c r="AZ24" s="40">
        <f>[14]byGOVDetalhado!D24</f>
        <v>2.8864994511536755</v>
      </c>
      <c r="BA24" s="41">
        <f>[14]byGOVDetalhado!E24</f>
        <v>237.31923702624192</v>
      </c>
      <c r="BB24" s="38">
        <f>[15]byGOVDetalhado!B24</f>
        <v>46.586910855570004</v>
      </c>
      <c r="BC24" s="39">
        <f>[15]byGOVDetalhado!C24</f>
        <v>0.87378544595122054</v>
      </c>
      <c r="BD24" s="40">
        <f>[15]byGOVDetalhado!D24</f>
        <v>2.5993590695310367</v>
      </c>
      <c r="BE24" s="41">
        <f>[15]byGOVDetalhado!E24</f>
        <v>231.73795910435754</v>
      </c>
      <c r="BF24" s="38">
        <f>[16]byGOVDetalhado!B24</f>
        <v>51.370396584289992</v>
      </c>
      <c r="BG24" s="39">
        <f>[16]byGOVDetalhado!C24</f>
        <v>0.88892220760905982</v>
      </c>
      <c r="BH24" s="40">
        <f>[16]byGOVDetalhado!D24</f>
        <v>2.7040163648592284</v>
      </c>
      <c r="BI24" s="41">
        <f>[16]byGOVDetalhado!E24</f>
        <v>253.34497654666009</v>
      </c>
      <c r="BJ24" s="38">
        <f>[17]byGOVDetalhado!B24</f>
        <v>42.3253117334</v>
      </c>
      <c r="BK24" s="39">
        <f>[17]byGOVDetalhado!C24</f>
        <v>0.70591753398511314</v>
      </c>
      <c r="BL24" s="40">
        <f>[17]byGOVDetalhado!D24</f>
        <v>2.1495503029867646</v>
      </c>
      <c r="BM24" s="41">
        <f>[17]byGOVDetalhado!E24</f>
        <v>207.01969859435371</v>
      </c>
      <c r="BN24" s="38">
        <f>[18]byGOVDetalhado!B24</f>
        <v>39.06126773127</v>
      </c>
      <c r="BO24" s="39">
        <f>[18]byGOVDetalhado!C24</f>
        <v>0.62326456101675309</v>
      </c>
      <c r="BP24" s="40">
        <f>[18]byGOVDetalhado!D24</f>
        <v>1.8724035273783368</v>
      </c>
      <c r="BQ24" s="41">
        <f>[18]byGOVDetalhado!E24</f>
        <v>189.54287803701789</v>
      </c>
      <c r="BR24" s="38">
        <f>[19]byGOVDetalhado!B24</f>
        <v>51.731544939350002</v>
      </c>
      <c r="BS24" s="39">
        <f>[19]byGOVDetalhado!C24</f>
        <v>0.78933150187349754</v>
      </c>
      <c r="BT24" s="40">
        <f>[19]byGOVDetalhado!D24</f>
        <v>2.3478006823997584</v>
      </c>
      <c r="BU24" s="41">
        <f>[19]byGOVDetalhado!E24</f>
        <v>249.11544597467343</v>
      </c>
      <c r="BV24" s="38">
        <f>[20]byGOVDetalhado!B24</f>
        <v>76.378795549439999</v>
      </c>
      <c r="BW24" s="39">
        <f>[20]byGOVDetalhado!C24</f>
        <v>1.1086782285829506</v>
      </c>
      <c r="BX24" s="40">
        <f>[20]byGOVDetalhado!D24</f>
        <v>3.2189316685450655</v>
      </c>
      <c r="BY24" s="41">
        <f>[20]byGOVDetalhado!E24</f>
        <v>366.33411920118908</v>
      </c>
      <c r="BZ24" s="38">
        <f>[21]byGOVDetalhado!B24</f>
        <v>79.082841236640036</v>
      </c>
      <c r="CA24" s="39">
        <f>[21]byGOVDetalhado!C24</f>
        <v>1.070259022835568</v>
      </c>
      <c r="CB24" s="40">
        <f>[21]byGOVDetalhado!D24</f>
        <v>3.1672102183819035</v>
      </c>
      <c r="CC24" s="41">
        <f>[21]byGOVDetalhado!E24</f>
        <v>376.32130935238837</v>
      </c>
      <c r="CD24" s="38">
        <f>[22]byGOVDetalhado!B24</f>
        <v>72.774795833329989</v>
      </c>
      <c r="CE24" s="39">
        <f>[22]byGOVDetalhado!C24</f>
        <v>0.95635545263868749</v>
      </c>
      <c r="CF24" s="40">
        <f>[22]byGOVDetalhado!D24</f>
        <v>2.968512897149155</v>
      </c>
      <c r="CG24" s="41">
        <f>[22]byGOVDetalhado!E24</f>
        <v>343.67338675047273</v>
      </c>
      <c r="CH24" s="38">
        <f>[23]byGOVDetalhado!B24</f>
        <v>119.77646268618</v>
      </c>
      <c r="CI24" s="39">
        <f>[23]byGOVDetalhado!C24</f>
        <v>1.3459954742535645</v>
      </c>
      <c r="CJ24" s="40">
        <f>[23]byGOVDetalhado!D24</f>
        <v>3.9130286925321092</v>
      </c>
      <c r="CK24" s="41">
        <f>[23]byGOVDetalhado!E24</f>
        <v>561.49347633732248</v>
      </c>
      <c r="CL24" s="38">
        <f>[24]byGOVDetalhado!B24</f>
        <v>149.85074511317998</v>
      </c>
      <c r="CM24" s="39">
        <f>[24]byGOVDetalhado!C24</f>
        <v>1.4866623204275613</v>
      </c>
      <c r="CN24" s="40">
        <f>[24]byGOVDetalhado!D24</f>
        <v>4.2589424006573511</v>
      </c>
      <c r="CO24" s="41">
        <f>[24]byGOVDetalhado!E24</f>
        <v>737.88746932368122</v>
      </c>
      <c r="CP24" s="38">
        <f>[25]byGOVDetalhado!B24</f>
        <v>126.71884615022</v>
      </c>
      <c r="CQ24" s="39">
        <f>[25]byGOVDetalhado!C24</f>
        <v>1.1579536031236888</v>
      </c>
      <c r="CR24" s="40">
        <f>[25]byGOVDetalhado!D24</f>
        <v>3.3488177639418186</v>
      </c>
      <c r="CS24" s="41">
        <f>[25]byGOVDetalhado!E24</f>
        <v>609.71694393468374</v>
      </c>
      <c r="CT24" s="38">
        <f>[26]byGOVDetalhado!B24</f>
        <v>138.96568597385999</v>
      </c>
      <c r="CU24" s="39">
        <f>[26]byGOVDetalhado!C24</f>
        <v>1.183219490358254</v>
      </c>
      <c r="CV24" s="40">
        <f>[26]byGOVDetalhado!D24</f>
        <v>3.291292743619441</v>
      </c>
      <c r="CW24" s="41">
        <f>[26]byGOVDetalhado!E24</f>
        <v>653.69853516018975</v>
      </c>
    </row>
    <row r="25" spans="1:101" x14ac:dyDescent="0.25">
      <c r="A25" s="37" t="s">
        <v>63</v>
      </c>
      <c r="B25" s="38">
        <f>[2]byGOVDetalhado!B25</f>
        <v>2.72882601366</v>
      </c>
      <c r="C25" s="39">
        <f>[2]byGOVDetalhado!C25</f>
        <v>0.22695257177777337</v>
      </c>
      <c r="D25" s="40">
        <f>[2]byGOVDetalhado!D25</f>
        <v>0.74264854094858512</v>
      </c>
      <c r="E25" s="41">
        <f>[2]byGOVDetalhado!E25</f>
        <v>15.732787752614255</v>
      </c>
      <c r="F25" s="38">
        <f>[3]byGOVDetalhado!B25</f>
        <v>3.0683863636399997</v>
      </c>
      <c r="G25" s="39">
        <f>[3]byGOVDetalhado!C25</f>
        <v>0.23320347356764742</v>
      </c>
      <c r="H25" s="40">
        <f>[3]byGOVDetalhado!D25</f>
        <v>0.72771513214611461</v>
      </c>
      <c r="I25" s="41">
        <f>[3]byGOVDetalhado!E25</f>
        <v>17.690490768012282</v>
      </c>
      <c r="J25" s="38">
        <f>[4]byGOVDetalhado!B25</f>
        <v>3.6076755282699997</v>
      </c>
      <c r="K25" s="39">
        <f>[4]byGOVDetalhado!C25</f>
        <v>0.24232314819178294</v>
      </c>
      <c r="L25" s="40">
        <f>[4]byGOVDetalhado!D25</f>
        <v>0.7281983972899525</v>
      </c>
      <c r="M25" s="41">
        <f>[4]byGOVDetalhado!E25</f>
        <v>20.236447631788366</v>
      </c>
      <c r="N25" s="38">
        <f>[5]byGOVDetalhado!B25</f>
        <v>3.9836310193399997</v>
      </c>
      <c r="O25" s="39">
        <f>[5]byGOVDetalhado!C25</f>
        <v>0.23188282658633835</v>
      </c>
      <c r="P25" s="40">
        <f>[5]byGOVDetalhado!D25</f>
        <v>0.71134379660816294</v>
      </c>
      <c r="Q25" s="41">
        <f>[5]byGOVDetalhado!E25</f>
        <v>22.055424054801552</v>
      </c>
      <c r="R25" s="38">
        <f>[6]byGOVDetalhado!B25</f>
        <v>4.8023867706000001</v>
      </c>
      <c r="S25" s="39">
        <f>[6]byGOVDetalhado!C25</f>
        <v>0.24530120380988185</v>
      </c>
      <c r="T25" s="40">
        <f>[6]byGOVDetalhado!D25</f>
        <v>0.7295655445810495</v>
      </c>
      <c r="U25" s="41">
        <f>[6]byGOVDetalhado!E25</f>
        <v>26.255249735080884</v>
      </c>
      <c r="V25" s="38">
        <f>[7]byGOVDetalhado!B25</f>
        <v>5.7616498074200004</v>
      </c>
      <c r="W25" s="39">
        <f>[7]byGOVDetalhado!C25</f>
        <v>0.26544225669208993</v>
      </c>
      <c r="X25" s="40">
        <f>[7]byGOVDetalhado!D25</f>
        <v>0.76395781180091205</v>
      </c>
      <c r="Y25" s="41">
        <f>[7]byGOVDetalhado!E25</f>
        <v>31.118686069451947</v>
      </c>
      <c r="Z25" s="38">
        <f>[8]byGOVDetalhado!B25</f>
        <v>6.92595746776</v>
      </c>
      <c r="AA25" s="39">
        <f>[8]byGOVDetalhado!C25</f>
        <v>0.28744972785324457</v>
      </c>
      <c r="AB25" s="40">
        <f>[8]byGOVDetalhado!D25</f>
        <v>0.83491969198291427</v>
      </c>
      <c r="AC25" s="41">
        <f>[8]byGOVDetalhado!E25</f>
        <v>36.970947248192957</v>
      </c>
      <c r="AD25" s="38">
        <f>[9]byGOVDetalhado!B25</f>
        <v>7.0885505478500006</v>
      </c>
      <c r="AE25" s="39">
        <f>[9]byGOVDetalhado!C25</f>
        <v>0.26058327991999303</v>
      </c>
      <c r="AF25" s="40">
        <f>[9]byGOVDetalhado!D25</f>
        <v>0.75344428019035603</v>
      </c>
      <c r="AG25" s="41">
        <f>[9]byGOVDetalhado!E25</f>
        <v>37.413952667636444</v>
      </c>
      <c r="AH25" s="38">
        <f>[10]byGOVDetalhado!B25</f>
        <v>8.7763622793400007</v>
      </c>
      <c r="AI25" s="39">
        <f>[10]byGOVDetalhado!C25</f>
        <v>0.28221602073636176</v>
      </c>
      <c r="AJ25" s="40">
        <f>[10]byGOVDetalhado!D25</f>
        <v>0.81196011377132959</v>
      </c>
      <c r="AK25" s="41">
        <f>[10]byGOVDetalhado!E25</f>
        <v>45.821806087583944</v>
      </c>
      <c r="AL25" s="38">
        <f>[11]byGOVDetalhado!B25</f>
        <v>9.5889328645200003</v>
      </c>
      <c r="AM25" s="39">
        <f>[11]byGOVDetalhado!C25</f>
        <v>0.28769338926187182</v>
      </c>
      <c r="AN25" s="40">
        <f>[11]byGOVDetalhado!D25</f>
        <v>0.86748306075759873</v>
      </c>
      <c r="AO25" s="41">
        <f>[11]byGOVDetalhado!E25</f>
        <v>49.543950731526024</v>
      </c>
      <c r="AP25" s="38">
        <f>[12]byGOVDetalhado!B25</f>
        <v>11.049199077039999</v>
      </c>
      <c r="AQ25" s="39">
        <f>[12]byGOVDetalhado!C25</f>
        <v>0.28434467638689837</v>
      </c>
      <c r="AR25" s="40">
        <f>[12]byGOVDetalhado!D25</f>
        <v>0.85562362415911464</v>
      </c>
      <c r="AS25" s="41">
        <f>[12]byGOVDetalhado!E25</f>
        <v>56.518279216414896</v>
      </c>
      <c r="AT25" s="38">
        <f>[13]byGOVDetalhado!B25</f>
        <v>13.115381982620001</v>
      </c>
      <c r="AU25" s="39">
        <f>[13]byGOVDetalhado!C25</f>
        <v>0.29968549323665078</v>
      </c>
      <c r="AV25" s="40">
        <f>[13]byGOVDetalhado!D25</f>
        <v>0.87928045987166725</v>
      </c>
      <c r="AW25" s="41">
        <f>[13]byGOVDetalhado!E25</f>
        <v>66.441641902716086</v>
      </c>
      <c r="AX25" s="38">
        <f>[14]byGOVDetalhado!B25</f>
        <v>14.77450896004</v>
      </c>
      <c r="AY25" s="39">
        <f>[14]byGOVDetalhado!C25</f>
        <v>0.30685867956118268</v>
      </c>
      <c r="AZ25" s="40">
        <f>[14]byGOVDetalhado!D25</f>
        <v>0.90192347755715263</v>
      </c>
      <c r="BA25" s="41">
        <f>[14]byGOVDetalhado!E25</f>
        <v>74.153414948466164</v>
      </c>
      <c r="BB25" s="38">
        <f>[15]byGOVDetalhado!B25</f>
        <v>16.560529686530003</v>
      </c>
      <c r="BC25" s="39">
        <f>[15]byGOVDetalhado!C25</f>
        <v>0.31060977325142708</v>
      </c>
      <c r="BD25" s="40">
        <f>[15]byGOVDetalhado!D25</f>
        <v>0.92400981834521012</v>
      </c>
      <c r="BE25" s="41">
        <f>[15]byGOVDetalhado!E25</f>
        <v>82.377287542016688</v>
      </c>
      <c r="BF25" s="38">
        <f>[16]byGOVDetalhado!B25</f>
        <v>18.27502034302</v>
      </c>
      <c r="BG25" s="39">
        <f>[16]byGOVDetalhado!C25</f>
        <v>0.31623410578040689</v>
      </c>
      <c r="BH25" s="40">
        <f>[16]byGOVDetalhado!D25</f>
        <v>0.96195391434399957</v>
      </c>
      <c r="BI25" s="41">
        <f>[16]byGOVDetalhado!E25</f>
        <v>90.127484077240737</v>
      </c>
      <c r="BJ25" s="38">
        <f>[17]byGOVDetalhado!B25</f>
        <v>19.038636237430001</v>
      </c>
      <c r="BK25" s="39">
        <f>[17]byGOVDetalhado!C25</f>
        <v>0.3175335654423681</v>
      </c>
      <c r="BL25" s="40">
        <f>[17]byGOVDetalhado!D25</f>
        <v>0.96690383641824118</v>
      </c>
      <c r="BM25" s="41">
        <f>[17]byGOVDetalhado!E25</f>
        <v>93.120938136175837</v>
      </c>
      <c r="BN25" s="38">
        <f>[18]byGOVDetalhado!B25</f>
        <v>19.469833709560003</v>
      </c>
      <c r="BO25" s="39">
        <f>[18]byGOVDetalhado!C25</f>
        <v>0.3106621485903206</v>
      </c>
      <c r="BP25" s="40">
        <f>[18]byGOVDetalhado!D25</f>
        <v>0.93328730562592321</v>
      </c>
      <c r="BQ25" s="41">
        <f>[18]byGOVDetalhado!E25</f>
        <v>94.476409255347178</v>
      </c>
      <c r="BR25" s="38">
        <f>[19]byGOVDetalhado!B25</f>
        <v>20.076972003449999</v>
      </c>
      <c r="BS25" s="39">
        <f>[19]byGOVDetalhado!C25</f>
        <v>0.30633893658375766</v>
      </c>
      <c r="BT25" s="40">
        <f>[19]byGOVDetalhado!D25</f>
        <v>0.9111796028029665</v>
      </c>
      <c r="BU25" s="41">
        <f>[19]byGOVDetalhado!E25</f>
        <v>96.681509131888745</v>
      </c>
      <c r="BV25" s="38">
        <f>[20]byGOVDetalhado!B25</f>
        <v>21.898636786800001</v>
      </c>
      <c r="BW25" s="39">
        <f>[20]byGOVDetalhado!C25</f>
        <v>0.31787018460451316</v>
      </c>
      <c r="BX25" s="40">
        <f>[20]byGOVDetalhado!D25</f>
        <v>0.9229029463467795</v>
      </c>
      <c r="BY25" s="41">
        <f>[20]byGOVDetalhado!E25</f>
        <v>105.03200215832616</v>
      </c>
      <c r="BZ25" s="38">
        <f>[21]byGOVDetalhado!B25</f>
        <v>21.896450521729996</v>
      </c>
      <c r="CA25" s="39">
        <f>[21]byGOVDetalhado!C25</f>
        <v>0.29633322946541341</v>
      </c>
      <c r="CB25" s="40">
        <f>[21]byGOVDetalhado!D25</f>
        <v>0.87693690254752787</v>
      </c>
      <c r="CC25" s="41">
        <f>[21]byGOVDetalhado!E25</f>
        <v>104.19581291787834</v>
      </c>
      <c r="CD25" s="38">
        <f>[22]byGOVDetalhado!B25</f>
        <v>20.984450906750002</v>
      </c>
      <c r="CE25" s="39">
        <f>[22]byGOVDetalhado!C25</f>
        <v>0.27576297281905998</v>
      </c>
      <c r="CF25" s="40">
        <f>[22]byGOVDetalhado!D25</f>
        <v>0.8559641073943266</v>
      </c>
      <c r="CG25" s="41">
        <f>[22]byGOVDetalhado!E25</f>
        <v>99.097458531362662</v>
      </c>
      <c r="CH25" s="38">
        <f>[23]byGOVDetalhado!B25</f>
        <v>23.669202275669999</v>
      </c>
      <c r="CI25" s="39">
        <f>[23]byGOVDetalhado!C25</f>
        <v>0.26598413768250218</v>
      </c>
      <c r="CJ25" s="40">
        <f>[23]byGOVDetalhado!D25</f>
        <v>0.77325933290171733</v>
      </c>
      <c r="CK25" s="41">
        <f>[23]byGOVDetalhado!E25</f>
        <v>110.95754850197831</v>
      </c>
      <c r="CL25" s="38">
        <f>[24]byGOVDetalhado!B25</f>
        <v>26.681446026359996</v>
      </c>
      <c r="CM25" s="39">
        <f>[24]byGOVDetalhado!C25</f>
        <v>0.26470539356979333</v>
      </c>
      <c r="CN25" s="40">
        <f>[24]byGOVDetalhado!D25</f>
        <v>0.75831949788897357</v>
      </c>
      <c r="CO25" s="41">
        <f>[24]byGOVDetalhado!E25</f>
        <v>131.38342870045253</v>
      </c>
      <c r="CP25" s="38">
        <f>[25]byGOVDetalhado!B25</f>
        <v>26.572652397450003</v>
      </c>
      <c r="CQ25" s="39">
        <f>[25]byGOVDetalhado!C25</f>
        <v>0.24282022384976665</v>
      </c>
      <c r="CR25" s="40">
        <f>[25]byGOVDetalhado!D25</f>
        <v>0.70223943073267359</v>
      </c>
      <c r="CS25" s="41">
        <f>[25]byGOVDetalhado!E25</f>
        <v>127.85624951797065</v>
      </c>
      <c r="CT25" s="38">
        <f>[26]byGOVDetalhado!B25</f>
        <v>32.120721502510001</v>
      </c>
      <c r="CU25" s="39">
        <f>[26]byGOVDetalhado!C25</f>
        <v>0.27349099498770041</v>
      </c>
      <c r="CV25" s="40">
        <f>[26]byGOVDetalhado!D25</f>
        <v>0.76075397217783836</v>
      </c>
      <c r="CW25" s="41">
        <f>[26]byGOVDetalhado!E25</f>
        <v>151.09678657239795</v>
      </c>
    </row>
    <row r="26" spans="1:101" x14ac:dyDescent="0.25">
      <c r="A26" s="37" t="s">
        <v>96</v>
      </c>
      <c r="B26" s="38">
        <f>[2]byGOVDetalhado!B26</f>
        <v>2.6</v>
      </c>
      <c r="C26" s="39">
        <f>[2]byGOVDetalhado!C26</f>
        <v>0.21623829576103262</v>
      </c>
      <c r="D26" s="40">
        <f>[2]byGOVDetalhado!D26</f>
        <v>0.70758861019378327</v>
      </c>
      <c r="E26" s="41">
        <f>[2]byGOVDetalhado!E26</f>
        <v>14.990053580562826</v>
      </c>
      <c r="F26" s="38">
        <f>[3]byGOVDetalhado!B26</f>
        <v>3.2349999999999999</v>
      </c>
      <c r="G26" s="39">
        <f>[3]byGOVDetalhado!C26</f>
        <v>0.24586644170077254</v>
      </c>
      <c r="H26" s="40">
        <f>[3]byGOVDetalhado!D26</f>
        <v>0.76723012472913066</v>
      </c>
      <c r="I26" s="41">
        <f>[3]byGOVDetalhado!E26</f>
        <v>18.651085897354132</v>
      </c>
      <c r="J26" s="38">
        <f>[4]byGOVDetalhado!B26</f>
        <v>3.3456999999999999</v>
      </c>
      <c r="K26" s="39">
        <f>[4]byGOVDetalhado!C26</f>
        <v>0.22472657270650537</v>
      </c>
      <c r="L26" s="40">
        <f>[4]byGOVDetalhado!D26</f>
        <v>0.67531942901231401</v>
      </c>
      <c r="M26" s="41">
        <f>[4]byGOVDetalhado!E26</f>
        <v>18.766954597533104</v>
      </c>
      <c r="N26" s="38">
        <f>[5]byGOVDetalhado!B26</f>
        <v>3.9026000000000001</v>
      </c>
      <c r="O26" s="39">
        <f>[5]byGOVDetalhado!C26</f>
        <v>0.22716609912977678</v>
      </c>
      <c r="P26" s="40">
        <f>[5]byGOVDetalhado!D26</f>
        <v>0.69687435587419277</v>
      </c>
      <c r="Q26" s="41">
        <f>[5]byGOVDetalhado!E26</f>
        <v>21.606794780538944</v>
      </c>
      <c r="R26" s="38">
        <f>[6]byGOVDetalhado!B26</f>
        <v>4.9419799999999992</v>
      </c>
      <c r="S26" s="39">
        <f>[6]byGOVDetalhado!C26</f>
        <v>0.2524314889891513</v>
      </c>
      <c r="T26" s="40">
        <f>[6]byGOVDetalhado!D26</f>
        <v>0.75077216855613471</v>
      </c>
      <c r="U26" s="41">
        <f>[6]byGOVDetalhado!E26</f>
        <v>27.018423397323314</v>
      </c>
      <c r="V26" s="38">
        <f>[7]byGOVDetalhado!B26</f>
        <v>4.9419799999999992</v>
      </c>
      <c r="W26" s="39">
        <f>[7]byGOVDetalhado!C26</f>
        <v>0.22767963475284309</v>
      </c>
      <c r="X26" s="40">
        <f>[7]byGOVDetalhado!D26</f>
        <v>0.65527485233512994</v>
      </c>
      <c r="Y26" s="41">
        <f>[7]byGOVDetalhado!E26</f>
        <v>26.691647240250195</v>
      </c>
      <c r="Z26" s="38">
        <f>[8]byGOVDetalhado!B26</f>
        <v>5.6062899999999996</v>
      </c>
      <c r="AA26" s="39">
        <f>[8]byGOVDetalhado!C26</f>
        <v>0.23267924215069827</v>
      </c>
      <c r="AB26" s="40">
        <f>[8]byGOVDetalhado!D26</f>
        <v>0.67583463250471865</v>
      </c>
      <c r="AC26" s="41">
        <f>[8]byGOVDetalhado!E26</f>
        <v>29.926526810611083</v>
      </c>
      <c r="AD26" s="38">
        <f>[9]byGOVDetalhado!B26</f>
        <v>6.5915499999999998</v>
      </c>
      <c r="AE26" s="39">
        <f>[9]byGOVDetalhado!C26</f>
        <v>0.2423129675329187</v>
      </c>
      <c r="AF26" s="40">
        <f>[9]byGOVDetalhado!D26</f>
        <v>0.70061793473350764</v>
      </c>
      <c r="AG26" s="41">
        <f>[9]byGOVDetalhado!E26</f>
        <v>34.790742908810756</v>
      </c>
      <c r="AH26" s="38">
        <f>[10]byGOVDetalhado!B26</f>
        <v>7.8263800000000003</v>
      </c>
      <c r="AI26" s="39">
        <f>[10]byGOVDetalhado!C26</f>
        <v>0.25166803170490221</v>
      </c>
      <c r="AJ26" s="40">
        <f>[10]byGOVDetalhado!D26</f>
        <v>0.72407088414945708</v>
      </c>
      <c r="AK26" s="41">
        <f>[10]byGOVDetalhado!E26</f>
        <v>40.861903293572112</v>
      </c>
      <c r="AL26" s="38">
        <f>[11]byGOVDetalhado!B26</f>
        <v>8.5235200000000013</v>
      </c>
      <c r="AM26" s="39">
        <f>[11]byGOVDetalhado!C26</f>
        <v>0.25572818079836451</v>
      </c>
      <c r="AN26" s="40">
        <f>[11]byGOVDetalhado!D26</f>
        <v>0.77109823611208861</v>
      </c>
      <c r="AO26" s="41">
        <f>[11]byGOVDetalhado!E26</f>
        <v>44.039191941961263</v>
      </c>
      <c r="AP26" s="38">
        <f>[12]byGOVDetalhado!B26</f>
        <v>9.8872</v>
      </c>
      <c r="AQ26" s="39">
        <f>[12]byGOVDetalhado!C26</f>
        <v>0.25444130970673828</v>
      </c>
      <c r="AR26" s="40">
        <f>[12]byGOVDetalhado!D26</f>
        <v>0.76564118700378192</v>
      </c>
      <c r="AS26" s="41">
        <f>[12]byGOVDetalhado!E26</f>
        <v>50.574482944173532</v>
      </c>
      <c r="AT26" s="38">
        <f>[13]byGOVDetalhado!B26</f>
        <v>11.662700000000001</v>
      </c>
      <c r="AU26" s="39">
        <f>[13]byGOVDetalhado!C26</f>
        <v>0.26649181904139085</v>
      </c>
      <c r="AV26" s="40">
        <f>[13]byGOVDetalhado!D26</f>
        <v>0.78188986282935102</v>
      </c>
      <c r="AW26" s="41">
        <f>[13]byGOVDetalhado!E26</f>
        <v>59.08245280584736</v>
      </c>
      <c r="AX26" s="38">
        <f>[14]byGOVDetalhado!B26</f>
        <v>13.51892</v>
      </c>
      <c r="AY26" s="39">
        <f>[14]byGOVDetalhado!C26</f>
        <v>0.28078076581179534</v>
      </c>
      <c r="AZ26" s="40">
        <f>[14]byGOVDetalhado!D26</f>
        <v>0.82527489557825062</v>
      </c>
      <c r="BA26" s="41">
        <f>[14]byGOVDetalhado!E26</f>
        <v>67.851600829947586</v>
      </c>
      <c r="BB26" s="38">
        <f>[15]byGOVDetalhado!B26</f>
        <v>15.33159</v>
      </c>
      <c r="BC26" s="39">
        <f>[15]byGOVDetalhado!C26</f>
        <v>0.28755974498552883</v>
      </c>
      <c r="BD26" s="40">
        <f>[15]byGOVDetalhado!D26</f>
        <v>0.85544001061548269</v>
      </c>
      <c r="BE26" s="41">
        <f>[15]byGOVDetalhado!E26</f>
        <v>76.264154698722322</v>
      </c>
      <c r="BF26" s="38">
        <f>[16]byGOVDetalhado!B26</f>
        <v>16.884</v>
      </c>
      <c r="BG26" s="39">
        <f>[16]byGOVDetalhado!C26</f>
        <v>0.29216364971301895</v>
      </c>
      <c r="BH26" s="40">
        <f>[16]byGOVDetalhado!D26</f>
        <v>0.88873388838592737</v>
      </c>
      <c r="BI26" s="41">
        <f>[16]byGOVDetalhado!E26</f>
        <v>83.267345950798827</v>
      </c>
      <c r="BJ26" s="38">
        <f>[17]byGOVDetalhado!B26</f>
        <v>15.695490916030002</v>
      </c>
      <c r="BK26" s="39">
        <f>[17]byGOVDetalhado!C26</f>
        <v>0.26177532517466012</v>
      </c>
      <c r="BL26" s="40">
        <f>[17]byGOVDetalhado!D26</f>
        <v>0.79711751366628625</v>
      </c>
      <c r="BM26" s="41">
        <f>[17]byGOVDetalhado!E26</f>
        <v>76.769093142032531</v>
      </c>
      <c r="BN26" s="38">
        <f>[18]byGOVDetalhado!B26</f>
        <v>15.895638885439999</v>
      </c>
      <c r="BO26" s="39">
        <f>[18]byGOVDetalhado!C26</f>
        <v>0.2536320239315612</v>
      </c>
      <c r="BP26" s="40">
        <f>[18]byGOVDetalhado!D26</f>
        <v>0.76195812495874737</v>
      </c>
      <c r="BQ26" s="41">
        <f>[18]byGOVDetalhado!E26</f>
        <v>77.132804887730003</v>
      </c>
      <c r="BR26" s="38">
        <f>[19]byGOVDetalhado!B26</f>
        <v>16.471161694499997</v>
      </c>
      <c r="BS26" s="39">
        <f>[19]byGOVDetalhado!C26</f>
        <v>0.25132067509608502</v>
      </c>
      <c r="BT26" s="40">
        <f>[19]byGOVDetalhado!D26</f>
        <v>0.74753237529638228</v>
      </c>
      <c r="BU26" s="41">
        <f>[19]byGOVDetalhado!E26</f>
        <v>79.317576849037394</v>
      </c>
      <c r="BV26" s="38">
        <f>[20]byGOVDetalhado!B26</f>
        <v>17.082723697430001</v>
      </c>
      <c r="BW26" s="39">
        <f>[20]byGOVDetalhado!C26</f>
        <v>0.24796468328672863</v>
      </c>
      <c r="BX26" s="40">
        <f>[20]byGOVDetalhado!D26</f>
        <v>0.71993961019022445</v>
      </c>
      <c r="BY26" s="41">
        <f>[20]byGOVDetalhado!E26</f>
        <v>81.933532654419849</v>
      </c>
      <c r="BZ26" s="38">
        <f>[21]byGOVDetalhado!B26</f>
        <v>17.791306115000001</v>
      </c>
      <c r="CA26" s="39">
        <f>[21]byGOVDetalhado!C26</f>
        <v>0.24077670452723063</v>
      </c>
      <c r="CB26" s="40">
        <f>[21]byGOVDetalhado!D26</f>
        <v>0.71252885764657348</v>
      </c>
      <c r="CC26" s="41">
        <f>[21]byGOVDetalhado!E26</f>
        <v>84.661192081500047</v>
      </c>
      <c r="CD26" s="38">
        <f>[22]byGOVDetalhado!B26</f>
        <v>15.93536187932</v>
      </c>
      <c r="CE26" s="39">
        <f>[22]byGOVDetalhado!C26</f>
        <v>0.20941137722956948</v>
      </c>
      <c r="CF26" s="40">
        <f>[22]byGOVDetalhado!D26</f>
        <v>0.65000975568296426</v>
      </c>
      <c r="CG26" s="41">
        <f>[22]byGOVDetalhado!E26</f>
        <v>75.253523193700033</v>
      </c>
      <c r="CH26" s="38">
        <f>[23]byGOVDetalhado!B26</f>
        <v>20.106946531209996</v>
      </c>
      <c r="CI26" s="39">
        <f>[23]byGOVDetalhado!C26</f>
        <v>0.2259530664465827</v>
      </c>
      <c r="CJ26" s="40">
        <f>[23]byGOVDetalhado!D26</f>
        <v>0.65688247032287583</v>
      </c>
      <c r="CK26" s="41">
        <f>[23]byGOVDetalhado!E26</f>
        <v>94.258246179116938</v>
      </c>
      <c r="CL26" s="38">
        <f>[24]byGOVDetalhado!B26</f>
        <v>23.814896661999999</v>
      </c>
      <c r="CM26" s="39">
        <f>[24]byGOVDetalhado!C26</f>
        <v>0.23626648973637646</v>
      </c>
      <c r="CN26" s="40">
        <f>[24]byGOVDetalhado!D26</f>
        <v>0.67684864085566809</v>
      </c>
      <c r="CO26" s="41">
        <f>[24]byGOVDetalhado!E26</f>
        <v>117.26811112521169</v>
      </c>
      <c r="CP26" s="38">
        <f>[25]byGOVDetalhado!B26</f>
        <v>26.918934551</v>
      </c>
      <c r="CQ26" s="39">
        <f>[25]byGOVDetalhado!C26</f>
        <v>0.24598454138881135</v>
      </c>
      <c r="CR26" s="40">
        <f>[25]byGOVDetalhado!D26</f>
        <v>0.71139068062465538</v>
      </c>
      <c r="CS26" s="41">
        <f>[25]byGOVDetalhado!E26</f>
        <v>129.52241128329587</v>
      </c>
      <c r="CT26" s="38">
        <f>[26]byGOVDetalhado!B26</f>
        <v>29.319758713620001</v>
      </c>
      <c r="CU26" s="39">
        <f>[26]byGOVDetalhado!C26</f>
        <v>0.24964227477768924</v>
      </c>
      <c r="CV26" s="40">
        <f>[26]byGOVDetalhado!D26</f>
        <v>0.69441537615956783</v>
      </c>
      <c r="CW26" s="41">
        <f>[26]byGOVDetalhado!E26</f>
        <v>137.9209780315758</v>
      </c>
    </row>
    <row r="27" spans="1:101" x14ac:dyDescent="0.25">
      <c r="A27" s="37" t="s">
        <v>75</v>
      </c>
      <c r="B27" s="38">
        <f>[2]byGOVDetalhado!B27</f>
        <v>4.8908670706799988</v>
      </c>
      <c r="C27" s="39">
        <f>[2]byGOVDetalhado!C27</f>
        <v>0.40676644621446034</v>
      </c>
      <c r="D27" s="40">
        <f>[2]byGOVDetalhado!D27</f>
        <v>1.3310468589173079</v>
      </c>
      <c r="E27" s="41">
        <f>[2]byGOVDetalhado!E27</f>
        <v>28.197830555732128</v>
      </c>
      <c r="F27" s="38">
        <f>[3]byGOVDetalhado!B27</f>
        <v>4.5093597696299996</v>
      </c>
      <c r="G27" s="39">
        <f>[3]byGOVDetalhado!C27</f>
        <v>0.34272032176431017</v>
      </c>
      <c r="H27" s="40">
        <f>[3]byGOVDetalhado!D27</f>
        <v>1.0694641911906488</v>
      </c>
      <c r="I27" s="41">
        <f>[3]byGOVDetalhado!E27</f>
        <v>25.998286369533897</v>
      </c>
      <c r="J27" s="38">
        <f>[4]byGOVDetalhado!B27</f>
        <v>8.575365349460002</v>
      </c>
      <c r="K27" s="39">
        <f>[4]byGOVDetalhado!C27</f>
        <v>0.57599679131131598</v>
      </c>
      <c r="L27" s="40">
        <f>[4]byGOVDetalhado!D27</f>
        <v>1.7309115674953852</v>
      </c>
      <c r="M27" s="41">
        <f>[4]byGOVDetalhado!E27</f>
        <v>48.10159074949172</v>
      </c>
      <c r="N27" s="38">
        <f>[5]byGOVDetalhado!B27</f>
        <v>5.4215329988300001</v>
      </c>
      <c r="O27" s="39">
        <f>[5]byGOVDetalhado!C27</f>
        <v>0.31558153606507755</v>
      </c>
      <c r="P27" s="40">
        <f>[5]byGOVDetalhado!D27</f>
        <v>0.96810519049104116</v>
      </c>
      <c r="Q27" s="41">
        <f>[5]byGOVDetalhado!E27</f>
        <v>30.01638674259204</v>
      </c>
      <c r="R27" s="38">
        <f>[6]byGOVDetalhado!B27</f>
        <v>5.7666841529199999</v>
      </c>
      <c r="S27" s="39">
        <f>[6]byGOVDetalhado!C27</f>
        <v>0.29455656786383966</v>
      </c>
      <c r="T27" s="40">
        <f>[6]byGOVDetalhado!D27</f>
        <v>0.87605898179799291</v>
      </c>
      <c r="U27" s="41">
        <f>[6]byGOVDetalhado!E27</f>
        <v>31.52718425453509</v>
      </c>
      <c r="V27" s="38">
        <f>[7]byGOVDetalhado!B27</f>
        <v>11.75962971977</v>
      </c>
      <c r="W27" s="39">
        <f>[7]byGOVDetalhado!C27</f>
        <v>0.54177236642518034</v>
      </c>
      <c r="X27" s="40">
        <f>[7]byGOVDetalhado!D27</f>
        <v>1.559251479799209</v>
      </c>
      <c r="Y27" s="41">
        <f>[7]byGOVDetalhado!E27</f>
        <v>63.513791669748393</v>
      </c>
      <c r="Z27" s="38">
        <f>[8]byGOVDetalhado!B27</f>
        <v>11.635175267960005</v>
      </c>
      <c r="AA27" s="39">
        <f>[8]byGOVDetalhado!C27</f>
        <v>0.48289756035443793</v>
      </c>
      <c r="AB27" s="40">
        <f>[8]byGOVDetalhado!D27</f>
        <v>1.4026128511635576</v>
      </c>
      <c r="AC27" s="41">
        <f>[8]byGOVDetalhado!E27</f>
        <v>62.108878528004091</v>
      </c>
      <c r="AD27" s="38">
        <f>[9]byGOVDetalhado!B27</f>
        <v>14.46759795663</v>
      </c>
      <c r="AE27" s="39">
        <f>[9]byGOVDetalhado!C27</f>
        <v>0.53184555892683905</v>
      </c>
      <c r="AF27" s="40">
        <f>[9]byGOVDetalhado!D27</f>
        <v>1.5377655636274967</v>
      </c>
      <c r="AG27" s="41">
        <f>[9]byGOVDetalhado!E27</f>
        <v>76.361171654186066</v>
      </c>
      <c r="AH27" s="38">
        <f>[10]byGOVDetalhado!B27</f>
        <v>18.682403732309993</v>
      </c>
      <c r="AI27" s="39">
        <f>[10]byGOVDetalhado!C27</f>
        <v>0.60075843171770027</v>
      </c>
      <c r="AJ27" s="40">
        <f>[10]byGOVDetalhado!D27</f>
        <v>1.7284344215960399</v>
      </c>
      <c r="AK27" s="41">
        <f>[10]byGOVDetalhado!E27</f>
        <v>97.541721025700483</v>
      </c>
      <c r="AL27" s="38">
        <f>[11]byGOVDetalhado!B27</f>
        <v>18.672510571470006</v>
      </c>
      <c r="AM27" s="39">
        <f>[11]byGOVDetalhado!C27</f>
        <v>0.56022478499261497</v>
      </c>
      <c r="AN27" s="40">
        <f>[11]byGOVDetalhado!D27</f>
        <v>1.6892481000155859</v>
      </c>
      <c r="AO27" s="41">
        <f>[11]byGOVDetalhado!E27</f>
        <v>96.476840213347103</v>
      </c>
      <c r="AP27" s="38">
        <f>[12]byGOVDetalhado!B27</f>
        <v>11.687715905249993</v>
      </c>
      <c r="AQ27" s="39">
        <f>[12]byGOVDetalhado!C27</f>
        <v>0.30077653353953443</v>
      </c>
      <c r="AR27" s="40">
        <f>[12]byGOVDetalhado!D27</f>
        <v>0.90506884447149727</v>
      </c>
      <c r="AS27" s="41">
        <f>[12]byGOVDetalhado!E27</f>
        <v>59.78438675321744</v>
      </c>
      <c r="AT27" s="38">
        <f>[13]byGOVDetalhado!B27</f>
        <v>15.198599560580007</v>
      </c>
      <c r="AU27" s="39">
        <f>[13]byGOVDetalhado!C27</f>
        <v>0.34728685842734958</v>
      </c>
      <c r="AV27" s="40">
        <f>[13]byGOVDetalhado!D27</f>
        <v>1.0189433772299841</v>
      </c>
      <c r="AW27" s="41">
        <f>[13]byGOVDetalhado!E27</f>
        <v>76.995081863800024</v>
      </c>
      <c r="AX27" s="38">
        <f>[14]byGOVDetalhado!B27</f>
        <v>38.95886546869</v>
      </c>
      <c r="AY27" s="39">
        <f>[14]byGOVDetalhado!C27</f>
        <v>0.80915487934372621</v>
      </c>
      <c r="AZ27" s="40">
        <f>[14]byGOVDetalhado!D27</f>
        <v>2.3782797465714904</v>
      </c>
      <c r="BA27" s="41">
        <f>[14]byGOVDetalhado!E27</f>
        <v>195.53495313007124</v>
      </c>
      <c r="BB27" s="38">
        <f>[15]byGOVDetalhado!B27</f>
        <v>38.188028814300004</v>
      </c>
      <c r="BC27" s="39">
        <f>[15]byGOVDetalhado!C27</f>
        <v>0.71625577173275146</v>
      </c>
      <c r="BD27" s="40">
        <f>[15]byGOVDetalhado!D27</f>
        <v>2.1307358058941799</v>
      </c>
      <c r="BE27" s="41">
        <f>[15]byGOVDetalhado!E27</f>
        <v>189.95927605245384</v>
      </c>
      <c r="BF27" s="38">
        <f>[16]byGOVDetalhado!B27</f>
        <v>26.764985139230006</v>
      </c>
      <c r="BG27" s="39">
        <f>[16]byGOVDetalhado!C27</f>
        <v>0.46314592174793612</v>
      </c>
      <c r="BH27" s="40">
        <f>[16]byGOVDetalhado!D27</f>
        <v>1.4088456121404553</v>
      </c>
      <c r="BI27" s="41">
        <f>[16]byGOVDetalhado!E27</f>
        <v>131.99770652429842</v>
      </c>
      <c r="BJ27" s="38">
        <f>[17]byGOVDetalhado!B27</f>
        <v>22.530260816650003</v>
      </c>
      <c r="BK27" s="39">
        <f>[17]byGOVDetalhado!C27</f>
        <v>0.375768198847791</v>
      </c>
      <c r="BL27" s="40">
        <f>[17]byGOVDetalhado!D27</f>
        <v>1.1442308864693733</v>
      </c>
      <c r="BM27" s="41">
        <f>[17]byGOVDetalhado!E27</f>
        <v>110.19901832960188</v>
      </c>
      <c r="BN27" s="38">
        <f>[18]byGOVDetalhado!B27</f>
        <v>46.357378120349921</v>
      </c>
      <c r="BO27" s="39">
        <f>[18]byGOVDetalhado!C27</f>
        <v>0.739681853718682</v>
      </c>
      <c r="BP27" s="40">
        <f>[18]byGOVDetalhado!D27</f>
        <v>2.2221428886975967</v>
      </c>
      <c r="BQ27" s="41">
        <f>[18]byGOVDetalhado!E27</f>
        <v>224.94689439245514</v>
      </c>
      <c r="BR27" s="38">
        <f>[19]byGOVDetalhado!B27</f>
        <v>29.200653185840014</v>
      </c>
      <c r="BS27" s="39">
        <f>[19]byGOVDetalhado!C27</f>
        <v>0.44555010800255129</v>
      </c>
      <c r="BT27" s="40">
        <f>[19]byGOVDetalhado!D27</f>
        <v>1.3252516149790303</v>
      </c>
      <c r="BU27" s="41">
        <f>[19]byGOVDetalhado!E27</f>
        <v>140.61698233970637</v>
      </c>
      <c r="BV27" s="38">
        <f>[20]byGOVDetalhado!B27</f>
        <v>38.256325499110012</v>
      </c>
      <c r="BW27" s="39">
        <f>[20]byGOVDetalhado!C27</f>
        <v>0.55531060527121689</v>
      </c>
      <c r="BX27" s="40">
        <f>[20]byGOVDetalhado!D27</f>
        <v>1.6122864570644071</v>
      </c>
      <c r="BY27" s="41">
        <f>[20]byGOVDetalhado!E27</f>
        <v>183.4880637325422</v>
      </c>
      <c r="BZ27" s="38">
        <f>[21]byGOVDetalhado!B27</f>
        <v>26.903796061339992</v>
      </c>
      <c r="CA27" s="39">
        <f>[21]byGOVDetalhado!C27</f>
        <v>0.36409959522087226</v>
      </c>
      <c r="CB27" s="40">
        <f>[21]byGOVDetalhado!D27</f>
        <v>1.0774774460083514</v>
      </c>
      <c r="CC27" s="41">
        <f>[21]byGOVDetalhado!E27</f>
        <v>128.0236218379861</v>
      </c>
      <c r="CD27" s="38">
        <f>[22]byGOVDetalhado!B27</f>
        <v>28.824852573819999</v>
      </c>
      <c r="CE27" s="39">
        <f>[22]byGOVDetalhado!C27</f>
        <v>0.37879604627971758</v>
      </c>
      <c r="CF27" s="40">
        <f>[22]byGOVDetalhado!D27</f>
        <v>1.1757772130309303</v>
      </c>
      <c r="CG27" s="41">
        <f>[22]byGOVDetalhado!E27</f>
        <v>136.12315353402636</v>
      </c>
      <c r="CH27" s="38">
        <f>[23]byGOVDetalhado!B27</f>
        <v>38.326582534489994</v>
      </c>
      <c r="CI27" s="39">
        <f>[23]byGOVDetalhado!C27</f>
        <v>0.43069736305529982</v>
      </c>
      <c r="CJ27" s="40">
        <f>[23]byGOVDetalhado!D27</f>
        <v>1.2521075825815271</v>
      </c>
      <c r="CK27" s="41">
        <f>[23]byGOVDetalhado!E27</f>
        <v>179.66907337883103</v>
      </c>
      <c r="CL27" s="38">
        <f>[24]byGOVDetalhado!B27</f>
        <v>46.504541657840008</v>
      </c>
      <c r="CM27" s="39">
        <f>[24]byGOVDetalhado!C27</f>
        <v>0.46136940966991408</v>
      </c>
      <c r="CN27" s="40">
        <f>[24]byGOVDetalhado!D27</f>
        <v>1.3217162459894283</v>
      </c>
      <c r="CO27" s="41">
        <f>[24]byGOVDetalhado!E27</f>
        <v>228.99531483839863</v>
      </c>
      <c r="CP27" s="38">
        <f>[25]byGOVDetalhado!B27</f>
        <v>53.584087587019994</v>
      </c>
      <c r="CQ27" s="39">
        <f>[25]byGOVDetalhado!C27</f>
        <v>0.48965003372844718</v>
      </c>
      <c r="CR27" s="40">
        <f>[25]byGOVDetalhado!D27</f>
        <v>1.4160746394684192</v>
      </c>
      <c r="CS27" s="41">
        <f>[25]byGOVDetalhado!E27</f>
        <v>257.82373435089499</v>
      </c>
      <c r="CT27" s="38">
        <f>[26]byGOVDetalhado!B27</f>
        <v>77.423705816309948</v>
      </c>
      <c r="CU27" s="39">
        <f>[26]byGOVDetalhado!C27</f>
        <v>0.65922200214845639</v>
      </c>
      <c r="CV27" s="40">
        <f>[26]byGOVDetalhado!D27</f>
        <v>1.8337194491687729</v>
      </c>
      <c r="CW27" s="41">
        <f>[26]byGOVDetalhado!E27</f>
        <v>364.20331194792618</v>
      </c>
    </row>
    <row r="28" spans="1:101" x14ac:dyDescent="0.25">
      <c r="A28" s="42"/>
      <c r="B28" s="38">
        <f>[2]byGOVDetalhado!B28</f>
        <v>0</v>
      </c>
      <c r="C28" s="39">
        <f>[2]byGOVDetalhado!C28</f>
        <v>0</v>
      </c>
      <c r="D28" s="40">
        <f>[2]byGOVDetalhado!D28</f>
        <v>0</v>
      </c>
      <c r="E28" s="41">
        <f>[2]byGOVDetalhado!E28</f>
        <v>0</v>
      </c>
      <c r="F28" s="38">
        <f>[3]byGOVDetalhado!B28</f>
        <v>0</v>
      </c>
      <c r="G28" s="39">
        <f>[3]byGOVDetalhado!C28</f>
        <v>0</v>
      </c>
      <c r="H28" s="40">
        <f>[3]byGOVDetalhado!D28</f>
        <v>0</v>
      </c>
      <c r="I28" s="41">
        <f>[3]byGOVDetalhado!E28</f>
        <v>0</v>
      </c>
      <c r="J28" s="38">
        <f>[4]byGOVDetalhado!B28</f>
        <v>0</v>
      </c>
      <c r="K28" s="39">
        <f>[4]byGOVDetalhado!C28</f>
        <v>0</v>
      </c>
      <c r="L28" s="40">
        <f>[4]byGOVDetalhado!D28</f>
        <v>0</v>
      </c>
      <c r="M28" s="41">
        <f>[4]byGOVDetalhado!E28</f>
        <v>0</v>
      </c>
      <c r="N28" s="38">
        <f>[5]byGOVDetalhado!B28</f>
        <v>0</v>
      </c>
      <c r="O28" s="39">
        <f>[5]byGOVDetalhado!C28</f>
        <v>0</v>
      </c>
      <c r="P28" s="40">
        <f>[5]byGOVDetalhado!D28</f>
        <v>0</v>
      </c>
      <c r="Q28" s="41">
        <f>[5]byGOVDetalhado!E28</f>
        <v>0</v>
      </c>
      <c r="R28" s="38">
        <f>[6]byGOVDetalhado!B28</f>
        <v>0</v>
      </c>
      <c r="S28" s="39">
        <f>[6]byGOVDetalhado!C28</f>
        <v>0</v>
      </c>
      <c r="T28" s="40">
        <f>[6]byGOVDetalhado!D28</f>
        <v>0</v>
      </c>
      <c r="U28" s="41">
        <f>[6]byGOVDetalhado!E28</f>
        <v>0</v>
      </c>
      <c r="V28" s="38">
        <f>[7]byGOVDetalhado!B28</f>
        <v>0</v>
      </c>
      <c r="W28" s="39">
        <f>[7]byGOVDetalhado!C28</f>
        <v>0</v>
      </c>
      <c r="X28" s="40">
        <f>[7]byGOVDetalhado!D28</f>
        <v>0</v>
      </c>
      <c r="Y28" s="41">
        <f>[7]byGOVDetalhado!E28</f>
        <v>0</v>
      </c>
      <c r="Z28" s="38">
        <f>[8]byGOVDetalhado!B28</f>
        <v>0</v>
      </c>
      <c r="AA28" s="39">
        <f>[8]byGOVDetalhado!C28</f>
        <v>0</v>
      </c>
      <c r="AB28" s="40">
        <f>[8]byGOVDetalhado!D28</f>
        <v>0</v>
      </c>
      <c r="AC28" s="41">
        <f>[8]byGOVDetalhado!E28</f>
        <v>0</v>
      </c>
      <c r="AD28" s="38">
        <f>[9]byGOVDetalhado!B28</f>
        <v>0</v>
      </c>
      <c r="AE28" s="39">
        <f>[9]byGOVDetalhado!C28</f>
        <v>0</v>
      </c>
      <c r="AF28" s="40">
        <f>[9]byGOVDetalhado!D28</f>
        <v>0</v>
      </c>
      <c r="AG28" s="41">
        <f>[9]byGOVDetalhado!E28</f>
        <v>0</v>
      </c>
      <c r="AH28" s="38">
        <f>[10]byGOVDetalhado!B28</f>
        <v>0</v>
      </c>
      <c r="AI28" s="39">
        <f>[10]byGOVDetalhado!C28</f>
        <v>0</v>
      </c>
      <c r="AJ28" s="40">
        <f>[10]byGOVDetalhado!D28</f>
        <v>0</v>
      </c>
      <c r="AK28" s="41">
        <f>[10]byGOVDetalhado!E28</f>
        <v>0</v>
      </c>
      <c r="AL28" s="38">
        <f>[11]byGOVDetalhado!B28</f>
        <v>0</v>
      </c>
      <c r="AM28" s="39">
        <f>[11]byGOVDetalhado!C28</f>
        <v>0</v>
      </c>
      <c r="AN28" s="40">
        <f>[11]byGOVDetalhado!D28</f>
        <v>0</v>
      </c>
      <c r="AO28" s="41">
        <f>[11]byGOVDetalhado!E28</f>
        <v>0</v>
      </c>
      <c r="AP28" s="38">
        <f>[12]byGOVDetalhado!B28</f>
        <v>0</v>
      </c>
      <c r="AQ28" s="39">
        <f>[12]byGOVDetalhado!C28</f>
        <v>0</v>
      </c>
      <c r="AR28" s="40">
        <f>[12]byGOVDetalhado!D28</f>
        <v>0</v>
      </c>
      <c r="AS28" s="41">
        <f>[12]byGOVDetalhado!E28</f>
        <v>0</v>
      </c>
      <c r="AT28" s="38">
        <f>[13]byGOVDetalhado!B28</f>
        <v>0</v>
      </c>
      <c r="AU28" s="39">
        <f>[13]byGOVDetalhado!C28</f>
        <v>0</v>
      </c>
      <c r="AV28" s="40">
        <f>[13]byGOVDetalhado!D28</f>
        <v>0</v>
      </c>
      <c r="AW28" s="41">
        <f>[13]byGOVDetalhado!E28</f>
        <v>0</v>
      </c>
      <c r="AX28" s="38">
        <f>[14]byGOVDetalhado!B28</f>
        <v>0</v>
      </c>
      <c r="AY28" s="39">
        <f>[14]byGOVDetalhado!C28</f>
        <v>0</v>
      </c>
      <c r="AZ28" s="40">
        <f>[14]byGOVDetalhado!D28</f>
        <v>0</v>
      </c>
      <c r="BA28" s="41">
        <f>[14]byGOVDetalhado!E28</f>
        <v>0</v>
      </c>
      <c r="BB28" s="38">
        <f>[15]byGOVDetalhado!B28</f>
        <v>0</v>
      </c>
      <c r="BC28" s="39">
        <f>[15]byGOVDetalhado!C28</f>
        <v>0</v>
      </c>
      <c r="BD28" s="40">
        <f>[15]byGOVDetalhado!D28</f>
        <v>0</v>
      </c>
      <c r="BE28" s="41">
        <f>[15]byGOVDetalhado!E28</f>
        <v>0</v>
      </c>
      <c r="BF28" s="38">
        <f>[16]byGOVDetalhado!B28</f>
        <v>0</v>
      </c>
      <c r="BG28" s="39">
        <f>[16]byGOVDetalhado!C28</f>
        <v>0</v>
      </c>
      <c r="BH28" s="40">
        <f>[16]byGOVDetalhado!D28</f>
        <v>0</v>
      </c>
      <c r="BI28" s="41">
        <f>[16]byGOVDetalhado!E28</f>
        <v>0</v>
      </c>
      <c r="BJ28" s="38">
        <f>[17]byGOVDetalhado!B28</f>
        <v>0</v>
      </c>
      <c r="BK28" s="39">
        <f>[17]byGOVDetalhado!C28</f>
        <v>0</v>
      </c>
      <c r="BL28" s="40">
        <f>[17]byGOVDetalhado!D28</f>
        <v>0</v>
      </c>
      <c r="BM28" s="41">
        <f>[17]byGOVDetalhado!E28</f>
        <v>0</v>
      </c>
      <c r="BN28" s="38">
        <f>[18]byGOVDetalhado!B28</f>
        <v>0</v>
      </c>
      <c r="BO28" s="39">
        <f>[18]byGOVDetalhado!C28</f>
        <v>0</v>
      </c>
      <c r="BP28" s="40">
        <f>[18]byGOVDetalhado!D28</f>
        <v>0</v>
      </c>
      <c r="BQ28" s="41">
        <f>[18]byGOVDetalhado!E28</f>
        <v>0</v>
      </c>
      <c r="BR28" s="38">
        <f>[19]byGOVDetalhado!B28</f>
        <v>0</v>
      </c>
      <c r="BS28" s="39">
        <f>[19]byGOVDetalhado!C28</f>
        <v>0</v>
      </c>
      <c r="BT28" s="40">
        <f>[19]byGOVDetalhado!D28</f>
        <v>0</v>
      </c>
      <c r="BU28" s="41">
        <f>[19]byGOVDetalhado!E28</f>
        <v>0</v>
      </c>
      <c r="BV28" s="38">
        <f>[20]byGOVDetalhado!B28</f>
        <v>0</v>
      </c>
      <c r="BW28" s="39">
        <f>[20]byGOVDetalhado!C28</f>
        <v>0</v>
      </c>
      <c r="BX28" s="40">
        <f>[20]byGOVDetalhado!D28</f>
        <v>0</v>
      </c>
      <c r="BY28" s="41">
        <f>[20]byGOVDetalhado!E28</f>
        <v>0</v>
      </c>
      <c r="BZ28" s="38">
        <f>[21]byGOVDetalhado!B28</f>
        <v>0</v>
      </c>
      <c r="CA28" s="39">
        <f>[21]byGOVDetalhado!C28</f>
        <v>0</v>
      </c>
      <c r="CB28" s="40">
        <f>[21]byGOVDetalhado!D28</f>
        <v>0</v>
      </c>
      <c r="CC28" s="41">
        <f>[21]byGOVDetalhado!E28</f>
        <v>0</v>
      </c>
      <c r="CD28" s="38">
        <f>[22]byGOVDetalhado!B28</f>
        <v>0</v>
      </c>
      <c r="CE28" s="39">
        <f>[22]byGOVDetalhado!C28</f>
        <v>0</v>
      </c>
      <c r="CF28" s="40">
        <f>[22]byGOVDetalhado!D28</f>
        <v>0</v>
      </c>
      <c r="CG28" s="41">
        <f>[22]byGOVDetalhado!E28</f>
        <v>0</v>
      </c>
      <c r="CH28" s="38">
        <f>[23]byGOVDetalhado!B28</f>
        <v>0</v>
      </c>
      <c r="CI28" s="39">
        <f>[23]byGOVDetalhado!C28</f>
        <v>0</v>
      </c>
      <c r="CJ28" s="40">
        <f>[23]byGOVDetalhado!D28</f>
        <v>0</v>
      </c>
      <c r="CK28" s="41">
        <f>[23]byGOVDetalhado!E28</f>
        <v>0</v>
      </c>
      <c r="CL28" s="38">
        <f>[24]byGOVDetalhado!B28</f>
        <v>0</v>
      </c>
      <c r="CM28" s="39">
        <f>[24]byGOVDetalhado!C28</f>
        <v>0</v>
      </c>
      <c r="CN28" s="40">
        <f>[24]byGOVDetalhado!D28</f>
        <v>0</v>
      </c>
      <c r="CO28" s="41">
        <f>[24]byGOVDetalhado!E28</f>
        <v>0</v>
      </c>
      <c r="CP28" s="38">
        <f>[25]byGOVDetalhado!B28</f>
        <v>0</v>
      </c>
      <c r="CQ28" s="39">
        <f>[25]byGOVDetalhado!C28</f>
        <v>0</v>
      </c>
      <c r="CR28" s="40">
        <f>[25]byGOVDetalhado!D28</f>
        <v>0</v>
      </c>
      <c r="CS28" s="41">
        <f>[25]byGOVDetalhado!E28</f>
        <v>0</v>
      </c>
      <c r="CT28" s="38">
        <f>[26]byGOVDetalhado!B28</f>
        <v>0</v>
      </c>
      <c r="CU28" s="39">
        <f>[26]byGOVDetalhado!C28</f>
        <v>0</v>
      </c>
      <c r="CV28" s="40">
        <f>[26]byGOVDetalhado!D28</f>
        <v>0</v>
      </c>
      <c r="CW28" s="41">
        <f>[26]byGOVDetalhado!E28</f>
        <v>0</v>
      </c>
    </row>
    <row r="29" spans="1:101" s="9" customFormat="1" ht="11.4" x14ac:dyDescent="0.25">
      <c r="A29" s="32" t="s">
        <v>8</v>
      </c>
      <c r="B29" s="33">
        <f>[2]byGOVDetalhado!B29</f>
        <v>101.55271394799999</v>
      </c>
      <c r="C29" s="34">
        <f>[2]byGOVDetalhado!C29</f>
        <v>8.4459945361627575</v>
      </c>
      <c r="D29" s="35">
        <f>[2]byGOVDetalhado!D29</f>
        <v>27.637516816873905</v>
      </c>
      <c r="E29" s="36">
        <f>[2]byGOVDetalhado!E29</f>
        <v>585.49254743541906</v>
      </c>
      <c r="F29" s="33">
        <f>[3]byGOVDetalhado!B29</f>
        <v>116.59915859715318</v>
      </c>
      <c r="G29" s="34">
        <f>[3]byGOVDetalhado!C29</f>
        <v>8.8617682317113111</v>
      </c>
      <c r="H29" s="35">
        <f>[3]byGOVDetalhado!D29</f>
        <v>27.653288097003252</v>
      </c>
      <c r="I29" s="36">
        <f>[3]byGOVDetalhado!E29</f>
        <v>672.24139800764192</v>
      </c>
      <c r="J29" s="33">
        <f>[4]byGOVDetalhado!B29</f>
        <v>131.2089591895936</v>
      </c>
      <c r="K29" s="34">
        <f>[4]byGOVDetalhado!C29</f>
        <v>8.8131451436366373</v>
      </c>
      <c r="L29" s="35">
        <f>[4]byGOVDetalhado!D29</f>
        <v>26.484131691788367</v>
      </c>
      <c r="M29" s="36">
        <f>[4]byGOVDetalhado!E29</f>
        <v>735.98726123103597</v>
      </c>
      <c r="N29" s="33">
        <f>[5]byGOVDetalhado!B29</f>
        <v>150.58469448876272</v>
      </c>
      <c r="O29" s="34">
        <f>[5]byGOVDetalhado!C29</f>
        <v>8.7653711975763375</v>
      </c>
      <c r="P29" s="35">
        <f>[5]byGOVDetalhado!D29</f>
        <v>26.889410130776565</v>
      </c>
      <c r="Q29" s="36">
        <f>[5]byGOVDetalhado!E29</f>
        <v>833.71408571435711</v>
      </c>
      <c r="R29" s="33">
        <f>[6]byGOVDetalhado!B29</f>
        <v>176.27545444093036</v>
      </c>
      <c r="S29" s="34">
        <f>[6]byGOVDetalhado!C29</f>
        <v>9.0039772392367716</v>
      </c>
      <c r="T29" s="35">
        <f>[6]byGOVDetalhado!D29</f>
        <v>26.779287895506538</v>
      </c>
      <c r="U29" s="36">
        <f>[6]byGOVDetalhado!E29</f>
        <v>963.71997916637326</v>
      </c>
      <c r="V29" s="33">
        <f>[7]byGOVDetalhado!B29</f>
        <v>196.79825842423548</v>
      </c>
      <c r="W29" s="34">
        <f>[7]byGOVDetalhado!C29</f>
        <v>9.0665999453712018</v>
      </c>
      <c r="X29" s="35">
        <f>[7]byGOVDetalhado!D29</f>
        <v>26.094186890426847</v>
      </c>
      <c r="Y29" s="36">
        <f>[7]byGOVDetalhado!E29</f>
        <v>1062.9079217955739</v>
      </c>
      <c r="Z29" s="33">
        <f>[8]byGOVDetalhado!B29</f>
        <v>217.05425168865546</v>
      </c>
      <c r="AA29" s="34">
        <f>[8]byGOVDetalhado!C29</f>
        <v>9.0084563567891198</v>
      </c>
      <c r="AB29" s="35">
        <f>[8]byGOVDetalhado!D29</f>
        <v>26.165749617588315</v>
      </c>
      <c r="AC29" s="36">
        <f>[8]byGOVDetalhado!E29</f>
        <v>1158.6414335536822</v>
      </c>
      <c r="AD29" s="33">
        <f>[9]byGOVDetalhado!B29</f>
        <v>238.87843811845846</v>
      </c>
      <c r="AE29" s="34">
        <f>[9]byGOVDetalhado!C29</f>
        <v>8.7814464306744782</v>
      </c>
      <c r="AF29" s="35">
        <f>[9]byGOVDetalhado!D29</f>
        <v>25.390464756683997</v>
      </c>
      <c r="AG29" s="36">
        <f>[9]byGOVDetalhado!E29</f>
        <v>1260.820038843299</v>
      </c>
      <c r="AH29" s="33">
        <f>[10]byGOVDetalhado!B29</f>
        <v>278.976772997647</v>
      </c>
      <c r="AI29" s="34">
        <f>[10]byGOVDetalhado!C29</f>
        <v>8.9708824963397049</v>
      </c>
      <c r="AJ29" s="35">
        <f>[10]byGOVDetalhado!D29</f>
        <v>25.810011612210076</v>
      </c>
      <c r="AK29" s="36">
        <f>[10]byGOVDetalhado!E29</f>
        <v>1456.5510388433315</v>
      </c>
      <c r="AL29" s="33">
        <f>[11]byGOVDetalhado!B29</f>
        <v>291.37989606752097</v>
      </c>
      <c r="AM29" s="34">
        <f>[11]byGOVDetalhado!C29</f>
        <v>8.7421688155320396</v>
      </c>
      <c r="AN29" s="35">
        <f>[11]byGOVDetalhado!D29</f>
        <v>26.360297611337696</v>
      </c>
      <c r="AO29" s="36">
        <f>[11]byGOVDetalhado!E29</f>
        <v>1505.4971620816611</v>
      </c>
      <c r="AP29" s="33">
        <f>[12]byGOVDetalhado!B29</f>
        <v>342.2934883801783</v>
      </c>
      <c r="AQ29" s="34">
        <f>[12]byGOVDetalhado!C29</f>
        <v>8.8087227412756661</v>
      </c>
      <c r="AR29" s="35">
        <f>[12]byGOVDetalhado!D29</f>
        <v>26.506391369352794</v>
      </c>
      <c r="AS29" s="36">
        <f>[12]byGOVDetalhado!E29</f>
        <v>1750.8815630294712</v>
      </c>
      <c r="AT29" s="33">
        <f>[13]byGOVDetalhado!B29</f>
        <v>381.20877272706548</v>
      </c>
      <c r="AU29" s="34">
        <f>[13]byGOVDetalhado!C29</f>
        <v>8.7105918250981151</v>
      </c>
      <c r="AV29" s="35">
        <f>[13]byGOVDetalhado!D29</f>
        <v>25.556970085564274</v>
      </c>
      <c r="AW29" s="36">
        <f>[13]byGOVDetalhado!E29</f>
        <v>1931.1779711234822</v>
      </c>
      <c r="AX29" s="33">
        <f>[14]byGOVDetalhado!B29</f>
        <v>421.75593081329015</v>
      </c>
      <c r="AY29" s="34">
        <f>[14]byGOVDetalhado!C29</f>
        <v>8.7596459805533442</v>
      </c>
      <c r="AZ29" s="35">
        <f>[14]byGOVDetalhado!D29</f>
        <v>25.746478399269026</v>
      </c>
      <c r="BA29" s="36">
        <f>[14]byGOVDetalhado!E29</f>
        <v>2116.7974265108719</v>
      </c>
      <c r="BB29" s="33">
        <f>[15]byGOVDetalhado!B29</f>
        <v>467.13275870090774</v>
      </c>
      <c r="BC29" s="34">
        <f>[15]byGOVDetalhado!C29</f>
        <v>8.7615555181438829</v>
      </c>
      <c r="BD29" s="35">
        <f>[15]byGOVDetalhado!D29</f>
        <v>26.064097204656804</v>
      </c>
      <c r="BE29" s="36">
        <f>[15]byGOVDetalhado!E29</f>
        <v>2323.665384634402</v>
      </c>
      <c r="BF29" s="33">
        <f>[16]byGOVDetalhado!B29</f>
        <v>503.87861612930863</v>
      </c>
      <c r="BG29" s="34">
        <f>[16]byGOVDetalhado!C29</f>
        <v>8.7192025290620734</v>
      </c>
      <c r="BH29" s="35">
        <f>[16]byGOVDetalhado!D29</f>
        <v>26.52298044226016</v>
      </c>
      <c r="BI29" s="36">
        <f>[16]byGOVDetalhado!E29</f>
        <v>2484.9937838455876</v>
      </c>
      <c r="BJ29" s="33">
        <f>[17]byGOVDetalhado!B29</f>
        <v>527.86464452284918</v>
      </c>
      <c r="BK29" s="34">
        <f>[17]byGOVDetalhado!C29</f>
        <v>8.8039258986826816</v>
      </c>
      <c r="BL29" s="35">
        <f>[17]byGOVDetalhado!D29</f>
        <v>26.808346119626865</v>
      </c>
      <c r="BM29" s="36">
        <f>[17]byGOVDetalhado!E29</f>
        <v>2581.8682753256958</v>
      </c>
      <c r="BN29" s="33">
        <f>[18]byGOVDetalhado!B29</f>
        <v>560.81875335838015</v>
      </c>
      <c r="BO29" s="34">
        <f>[18]byGOVDetalhado!C29</f>
        <v>8.9484667145622332</v>
      </c>
      <c r="BP29" s="35">
        <f>[18]byGOVDetalhado!D29</f>
        <v>26.882870756586449</v>
      </c>
      <c r="BQ29" s="36">
        <f>[18]byGOVDetalhado!E29</f>
        <v>2721.34538233595</v>
      </c>
      <c r="BR29" s="33">
        <f>[19]byGOVDetalhado!B29</f>
        <v>599.89914551422009</v>
      </c>
      <c r="BS29" s="34">
        <f>[19]byGOVDetalhado!C29</f>
        <v>9.1533955550046002</v>
      </c>
      <c r="BT29" s="35">
        <f>[19]byGOVDetalhado!D29</f>
        <v>27.226011225076981</v>
      </c>
      <c r="BU29" s="36">
        <f>[19]byGOVDetalhado!E29</f>
        <v>2888.8397466151182</v>
      </c>
      <c r="BV29" s="33">
        <f>[20]byGOVDetalhado!B29</f>
        <v>650.27291626083013</v>
      </c>
      <c r="BW29" s="34">
        <f>[20]byGOVDetalhado!C29</f>
        <v>9.4390520262768458</v>
      </c>
      <c r="BX29" s="35">
        <f>[20]byGOVDetalhado!D29</f>
        <v>27.405303635538754</v>
      </c>
      <c r="BY29" s="36">
        <f>[20]byGOVDetalhado!E29</f>
        <v>3118.8912355210132</v>
      </c>
      <c r="BZ29" s="33">
        <f>[21]byGOVDetalhado!B29</f>
        <v>694.77879676619898</v>
      </c>
      <c r="CA29" s="34">
        <f>[21]byGOVDetalhado!C29</f>
        <v>9.4027132116915926</v>
      </c>
      <c r="CB29" s="35">
        <f>[21]byGOVDetalhado!D29</f>
        <v>27.825385004167838</v>
      </c>
      <c r="CC29" s="36">
        <f>[21]byGOVDetalhado!E29</f>
        <v>3306.1541849130649</v>
      </c>
      <c r="CD29" s="33">
        <f>[22]byGOVDetalhado!B29</f>
        <v>712.17638438832</v>
      </c>
      <c r="CE29" s="34">
        <f>[22]byGOVDetalhado!C29</f>
        <v>9.3589237956795888</v>
      </c>
      <c r="CF29" s="35">
        <f>[22]byGOVDetalhado!D29</f>
        <v>29.049958270491604</v>
      </c>
      <c r="CG29" s="36">
        <f>[22]byGOVDetalhado!E29</f>
        <v>3363.1983049046917</v>
      </c>
      <c r="CH29" s="33">
        <f>[23]byGOVDetalhado!B29</f>
        <v>858.14660776840003</v>
      </c>
      <c r="CI29" s="34">
        <f>[23]byGOVDetalhado!C29</f>
        <v>9.6434760586362529</v>
      </c>
      <c r="CJ29" s="35">
        <f>[23]byGOVDetalhado!D29</f>
        <v>28.03516002467731</v>
      </c>
      <c r="CK29" s="36">
        <f>[23]byGOVDetalhado!E29</f>
        <v>4022.8581742759679</v>
      </c>
      <c r="CL29" s="33">
        <f>[24]byGOVDetalhado!B29</f>
        <v>950.18729783647007</v>
      </c>
      <c r="CM29" s="34">
        <f>[24]byGOVDetalhado!C29</f>
        <v>9.4267642911981486</v>
      </c>
      <c r="CN29" s="35">
        <f>[24]byGOVDetalhado!D29</f>
        <v>27.005491152314899</v>
      </c>
      <c r="CO29" s="36">
        <f>[24]byGOVDetalhado!E29</f>
        <v>4678.8642929636826</v>
      </c>
      <c r="CP29" s="33">
        <f>[25]byGOVDetalhado!B29</f>
        <v>995.58126685782497</v>
      </c>
      <c r="CQ29" s="34">
        <f>[25]byGOVDetalhado!C29</f>
        <v>9.0975963732641958</v>
      </c>
      <c r="CR29" s="35">
        <f>[25]byGOVDetalhado!D29</f>
        <v>26.310373975066348</v>
      </c>
      <c r="CS29" s="36">
        <f>[25]byGOVDetalhado!E29</f>
        <v>4790.3116695647086</v>
      </c>
      <c r="CT29" s="33">
        <f>[26]byGOVDetalhado!B29</f>
        <v>1127.2113864583</v>
      </c>
      <c r="CU29" s="34">
        <f>[26]byGOVDetalhado!C29</f>
        <v>9.597610178832868</v>
      </c>
      <c r="CV29" s="35">
        <f>[26]byGOVDetalhado!D29</f>
        <v>26.69711325336295</v>
      </c>
      <c r="CW29" s="36">
        <f>[26]byGOVDetalhado!E29</f>
        <v>5302.4343886035504</v>
      </c>
    </row>
    <row r="30" spans="1:101" x14ac:dyDescent="0.25">
      <c r="A30" s="37" t="s">
        <v>9</v>
      </c>
      <c r="B30" s="38">
        <f>[2]byGOVDetalhado!B30</f>
        <v>82.274923999999999</v>
      </c>
      <c r="C30" s="39">
        <f>[2]byGOVDetalhado!C30</f>
        <v>6.8426882113955703</v>
      </c>
      <c r="D30" s="40">
        <f>[2]byGOVDetalhado!D30</f>
        <v>22.39107658729198</v>
      </c>
      <c r="E30" s="41">
        <f>[2]byGOVDetalhado!E30</f>
        <v>474.34827657566711</v>
      </c>
      <c r="F30" s="38">
        <f>[3]byGOVDetalhado!B30</f>
        <v>92.126565580019985</v>
      </c>
      <c r="G30" s="39">
        <f>[3]byGOVDetalhado!C30</f>
        <v>7.0018024313052178</v>
      </c>
      <c r="H30" s="40">
        <f>[3]byGOVDetalhado!D30</f>
        <v>21.849235363469912</v>
      </c>
      <c r="I30" s="41">
        <f>[3]byGOVDetalhado!E30</f>
        <v>531.14698239912877</v>
      </c>
      <c r="J30" s="38">
        <f>[4]byGOVDetalhado!B30</f>
        <v>102.95167753705</v>
      </c>
      <c r="K30" s="39">
        <f>[4]byGOVDetalhado!C30</f>
        <v>6.9151381317172982</v>
      </c>
      <c r="L30" s="40">
        <f>[4]byGOVDetalhado!D30</f>
        <v>20.780484828340999</v>
      </c>
      <c r="M30" s="41">
        <f>[4]byGOVDetalhado!E30</f>
        <v>577.48437040908811</v>
      </c>
      <c r="N30" s="38">
        <f>[5]byGOVDetalhado!B30</f>
        <v>117.13526413602999</v>
      </c>
      <c r="O30" s="39">
        <f>[5]byGOVDetalhado!C30</f>
        <v>6.8183162569358817</v>
      </c>
      <c r="P30" s="40">
        <f>[5]byGOVDetalhado!D30</f>
        <v>20.916456143327352</v>
      </c>
      <c r="Q30" s="41">
        <f>[5]byGOVDetalhado!E30</f>
        <v>648.52088703721199</v>
      </c>
      <c r="R30" s="38">
        <f>[6]byGOVDetalhado!B30</f>
        <v>136.58038502532997</v>
      </c>
      <c r="S30" s="39">
        <f>[6]byGOVDetalhado!C30</f>
        <v>6.9763920450215569</v>
      </c>
      <c r="T30" s="40">
        <f>[6]byGOVDetalhado!D30</f>
        <v>20.748920847048922</v>
      </c>
      <c r="U30" s="41">
        <f>[6]byGOVDetalhado!E30</f>
        <v>746.70206483713059</v>
      </c>
      <c r="V30" s="38">
        <f>[7]byGOVDetalhado!B30</f>
        <v>152.3675467411</v>
      </c>
      <c r="W30" s="39">
        <f>[7]byGOVDetalhado!C30</f>
        <v>7.0196535376914522</v>
      </c>
      <c r="X30" s="40">
        <f>[7]byGOVDetalhado!D30</f>
        <v>20.202959480095089</v>
      </c>
      <c r="Y30" s="41">
        <f>[7]byGOVDetalhado!E30</f>
        <v>822.93752877910777</v>
      </c>
      <c r="Z30" s="38">
        <f>[8]byGOVDetalhado!B30</f>
        <v>165.66635759885997</v>
      </c>
      <c r="AA30" s="39">
        <f>[8]byGOVDetalhado!C30</f>
        <v>6.8756918632409878</v>
      </c>
      <c r="AB30" s="40">
        <f>[8]byGOVDetalhado!D30</f>
        <v>19.970972230516232</v>
      </c>
      <c r="AC30" s="41">
        <f>[8]byGOVDetalhado!E30</f>
        <v>884.33147273840029</v>
      </c>
      <c r="AD30" s="38">
        <f>[9]byGOVDetalhado!B30</f>
        <v>183.53723294322998</v>
      </c>
      <c r="AE30" s="39">
        <f>[9]byGOVDetalhado!C30</f>
        <v>6.7470400083826449</v>
      </c>
      <c r="AF30" s="40">
        <f>[9]byGOVDetalhado!D30</f>
        <v>19.508230551446701</v>
      </c>
      <c r="AG30" s="41">
        <f>[9]byGOVDetalhado!E30</f>
        <v>968.72460734158528</v>
      </c>
      <c r="AH30" s="38">
        <f>[10]byGOVDetalhado!B30</f>
        <v>217.29792170537999</v>
      </c>
      <c r="AI30" s="39">
        <f>[10]byGOVDetalhado!C30</f>
        <v>6.9875140549218075</v>
      </c>
      <c r="AJ30" s="40">
        <f>[10]byGOVDetalhado!D30</f>
        <v>20.103687566033596</v>
      </c>
      <c r="AK30" s="41">
        <f>[10]byGOVDetalhado!E30</f>
        <v>1134.5228142026635</v>
      </c>
      <c r="AL30" s="38">
        <f>[11]byGOVDetalhado!B30</f>
        <v>225.33715246026</v>
      </c>
      <c r="AM30" s="39">
        <f>[11]byGOVDetalhado!C30</f>
        <v>6.760711544637191</v>
      </c>
      <c r="AN30" s="40">
        <f>[11]byGOVDetalhado!D30</f>
        <v>20.38560134693498</v>
      </c>
      <c r="AO30" s="41">
        <f>[11]byGOVDetalhado!E30</f>
        <v>1164.2685309417211</v>
      </c>
      <c r="AP30" s="38">
        <f>[12]byGOVDetalhado!B30</f>
        <v>264.74599347458002</v>
      </c>
      <c r="AQ30" s="39">
        <f>[12]byGOVDetalhado!C30</f>
        <v>6.8130833116841707</v>
      </c>
      <c r="AR30" s="40">
        <f>[12]byGOVDetalhado!D30</f>
        <v>20.501298314828563</v>
      </c>
      <c r="AS30" s="41">
        <f>[12]byGOVDetalhado!E30</f>
        <v>1354.2147151386059</v>
      </c>
      <c r="AT30" s="38">
        <f>[13]byGOVDetalhado!B30</f>
        <v>294.37887302168997</v>
      </c>
      <c r="AU30" s="39">
        <f>[13]byGOVDetalhado!C30</f>
        <v>6.7265351384246159</v>
      </c>
      <c r="AV30" s="40">
        <f>[13]byGOVDetalhado!D30</f>
        <v>19.735726430996948</v>
      </c>
      <c r="AW30" s="41">
        <f>[13]byGOVDetalhado!E30</f>
        <v>1491.303546549472</v>
      </c>
      <c r="AX30" s="38">
        <f>[14]byGOVDetalhado!B30</f>
        <v>323.41528234080005</v>
      </c>
      <c r="AY30" s="39">
        <f>[14]byGOVDetalhado!C30</f>
        <v>6.7171631055504335</v>
      </c>
      <c r="AZ30" s="40">
        <f>[14]byGOVDetalhado!D30</f>
        <v>19.743183136094768</v>
      </c>
      <c r="BA30" s="41">
        <f>[14]byGOVDetalhado!E30</f>
        <v>1623.2246836058473</v>
      </c>
      <c r="BB30" s="38">
        <f>[15]byGOVDetalhado!B30</f>
        <v>357.38315919538002</v>
      </c>
      <c r="BC30" s="39">
        <f>[15]byGOVDetalhado!C30</f>
        <v>6.7030888590385027</v>
      </c>
      <c r="BD30" s="40">
        <f>[15]byGOVDetalhado!D30</f>
        <v>19.940518465200974</v>
      </c>
      <c r="BE30" s="41">
        <f>[15]byGOVDetalhado!E30</f>
        <v>1777.7363299954256</v>
      </c>
      <c r="BF30" s="38">
        <f>[16]byGOVDetalhado!B30</f>
        <v>381.24976108563999</v>
      </c>
      <c r="BG30" s="39">
        <f>[16]byGOVDetalhado!C30</f>
        <v>6.5972116590261241</v>
      </c>
      <c r="BH30" s="40">
        <f>[16]byGOVDetalhado!D30</f>
        <v>20.068087101151779</v>
      </c>
      <c r="BI30" s="41">
        <f>[16]byGOVDetalhado!E30</f>
        <v>1880.2212597712264</v>
      </c>
      <c r="BJ30" s="38">
        <f>[17]byGOVDetalhado!B30</f>
        <v>391.98353599254995</v>
      </c>
      <c r="BK30" s="39">
        <f>[17]byGOVDetalhado!C30</f>
        <v>6.537649452733227</v>
      </c>
      <c r="BL30" s="40">
        <f>[17]byGOVDetalhado!D30</f>
        <v>19.907433496672887</v>
      </c>
      <c r="BM30" s="41">
        <f>[17]byGOVDetalhado!E30</f>
        <v>1917.2525883865007</v>
      </c>
      <c r="BN30" s="38">
        <f>[18]byGOVDetalhado!B30</f>
        <v>411.93840124417</v>
      </c>
      <c r="BO30" s="39">
        <f>[18]byGOVDetalhado!C30</f>
        <v>6.5729204843972706</v>
      </c>
      <c r="BP30" s="40">
        <f>[18]byGOVDetalhado!D30</f>
        <v>19.746284756004222</v>
      </c>
      <c r="BQ30" s="41">
        <f>[18]byGOVDetalhado!E30</f>
        <v>1998.91080553133</v>
      </c>
      <c r="BR30" s="38">
        <f>[19]byGOVDetalhado!B30</f>
        <v>445.13303929963001</v>
      </c>
      <c r="BS30" s="39">
        <f>[19]byGOVDetalhado!C30</f>
        <v>6.7919396348170666</v>
      </c>
      <c r="BT30" s="40">
        <f>[19]byGOVDetalhado!D30</f>
        <v>20.202057654601354</v>
      </c>
      <c r="BU30" s="41">
        <f>[19]byGOVDetalhado!E30</f>
        <v>2143.5570063332907</v>
      </c>
      <c r="BV30" s="38">
        <f>[20]byGOVDetalhado!B30</f>
        <v>491.64151949620009</v>
      </c>
      <c r="BW30" s="39">
        <f>[20]byGOVDetalhado!C30</f>
        <v>7.1364342028678891</v>
      </c>
      <c r="BX30" s="40">
        <f>[20]byGOVDetalhado!D30</f>
        <v>20.719892809170357</v>
      </c>
      <c r="BY30" s="41">
        <f>[20]byGOVDetalhado!E30</f>
        <v>2358.0505781973566</v>
      </c>
      <c r="BZ30" s="38">
        <f>[21]byGOVDetalhado!B30</f>
        <v>524.20016894637001</v>
      </c>
      <c r="CA30" s="39">
        <f>[21]byGOVDetalhado!C30</f>
        <v>7.0942059214590998</v>
      </c>
      <c r="CB30" s="40">
        <f>[21]byGOVDetalhado!D30</f>
        <v>20.993835143030353</v>
      </c>
      <c r="CC30" s="41">
        <f>[21]byGOVDetalhado!E30</f>
        <v>2494.4436853293614</v>
      </c>
      <c r="CD30" s="38">
        <f>[22]byGOVDetalhado!B30</f>
        <v>538.05600978652001</v>
      </c>
      <c r="CE30" s="39">
        <f>[22]byGOVDetalhado!C30</f>
        <v>7.0707556495635719</v>
      </c>
      <c r="CF30" s="40">
        <f>[22]byGOVDetalhado!D30</f>
        <v>21.947518864881328</v>
      </c>
      <c r="CG30" s="41">
        <f>[22]byGOVDetalhado!E30</f>
        <v>2540.9282022346774</v>
      </c>
      <c r="CH30" s="38">
        <f>[23]byGOVDetalhado!B30</f>
        <v>655.21342219743008</v>
      </c>
      <c r="CI30" s="39">
        <f>[23]byGOVDetalhado!C30</f>
        <v>7.3630017214533048</v>
      </c>
      <c r="CJ30" s="40">
        <f>[23]byGOVDetalhado!D30</f>
        <v>21.405448644014111</v>
      </c>
      <c r="CK30" s="41">
        <f>[23]byGOVDetalhado!E30</f>
        <v>3071.5388810272275</v>
      </c>
      <c r="CL30" s="38">
        <f>[24]byGOVDetalhado!B30</f>
        <v>709.15700720199004</v>
      </c>
      <c r="CM30" s="39">
        <f>[24]byGOVDetalhado!C30</f>
        <v>7.035513911379593</v>
      </c>
      <c r="CN30" s="40">
        <f>[24]byGOVDetalhado!D30</f>
        <v>20.155113973004742</v>
      </c>
      <c r="CO30" s="41">
        <f>[24]byGOVDetalhado!E30</f>
        <v>3491.9951115505496</v>
      </c>
      <c r="CP30" s="38">
        <f>[25]byGOVDetalhado!B30</f>
        <v>720.56929576897994</v>
      </c>
      <c r="CQ30" s="39">
        <f>[25]byGOVDetalhado!C30</f>
        <v>6.5845439544711377</v>
      </c>
      <c r="CR30" s="40">
        <f>[25]byGOVDetalhado!D30</f>
        <v>19.042591778034566</v>
      </c>
      <c r="CS30" s="41">
        <f>[25]byGOVDetalhado!E30</f>
        <v>3467.0715703061737</v>
      </c>
      <c r="CT30" s="38">
        <f>[26]byGOVDetalhado!B30</f>
        <v>828.14596788186009</v>
      </c>
      <c r="CU30" s="39">
        <f>[26]byGOVDetalhado!C30</f>
        <v>7.0512259425232244</v>
      </c>
      <c r="CV30" s="40">
        <f>[26]byGOVDetalhado!D30</f>
        <v>19.613984528957559</v>
      </c>
      <c r="CW30" s="41">
        <f>[26]byGOVDetalhado!E30</f>
        <v>3895.6221624741311</v>
      </c>
    </row>
    <row r="31" spans="1:101" x14ac:dyDescent="0.25">
      <c r="A31" s="37" t="s">
        <v>10</v>
      </c>
      <c r="B31" s="38">
        <f>[2]byGOVDetalhado!B31</f>
        <v>5.2968909999999996</v>
      </c>
      <c r="C31" s="39">
        <f>[2]byGOVDetalhado!C31</f>
        <v>0.44053487795075069</v>
      </c>
      <c r="D31" s="40">
        <f>[2]byGOVDetalhado!D31</f>
        <v>1.4415460542453689</v>
      </c>
      <c r="E31" s="41">
        <f>[2]byGOVDetalhado!E31</f>
        <v>30.538723038615775</v>
      </c>
      <c r="F31" s="38">
        <f>[3]byGOVDetalhado!B31</f>
        <v>6.2183107360099994</v>
      </c>
      <c r="G31" s="39">
        <f>[3]byGOVDetalhado!C31</f>
        <v>0.47260399816151177</v>
      </c>
      <c r="H31" s="40">
        <f>[3]byGOVDetalhado!D31</f>
        <v>1.4747682601525332</v>
      </c>
      <c r="I31" s="41">
        <f>[3]byGOVDetalhado!E31</f>
        <v>35.851081197453446</v>
      </c>
      <c r="J31" s="38">
        <f>[4]byGOVDetalhado!B31</f>
        <v>6.9447605335100002</v>
      </c>
      <c r="K31" s="39">
        <f>[4]byGOVDetalhado!C31</f>
        <v>0.46647106224799112</v>
      </c>
      <c r="L31" s="40">
        <f>[4]byGOVDetalhado!D31</f>
        <v>1.4017789156580762</v>
      </c>
      <c r="M31" s="41">
        <f>[4]byGOVDetalhado!E31</f>
        <v>38.955078346271918</v>
      </c>
      <c r="N31" s="38">
        <f>[5]byGOVDetalhado!B31</f>
        <v>7.6435455051599996</v>
      </c>
      <c r="O31" s="39">
        <f>[5]byGOVDetalhado!C31</f>
        <v>0.44492246602986119</v>
      </c>
      <c r="P31" s="40">
        <f>[5]byGOVDetalhado!D31</f>
        <v>1.3648826040340944</v>
      </c>
      <c r="Q31" s="41">
        <f>[5]byGOVDetalhado!E31</f>
        <v>42.31858738423179</v>
      </c>
      <c r="R31" s="38">
        <f>[6]byGOVDetalhado!B31</f>
        <v>8.8129406267299988</v>
      </c>
      <c r="S31" s="39">
        <f>[6]byGOVDetalhado!C31</f>
        <v>0.45015635934958009</v>
      </c>
      <c r="T31" s="40">
        <f>[6]byGOVDetalhado!D31</f>
        <v>1.3388379851166015</v>
      </c>
      <c r="U31" s="41">
        <f>[6]byGOVDetalhado!E31</f>
        <v>48.181449789044684</v>
      </c>
      <c r="V31" s="38">
        <f>[7]byGOVDetalhado!B31</f>
        <v>10.38759111385</v>
      </c>
      <c r="W31" s="39">
        <f>[7]byGOVDetalhado!C31</f>
        <v>0.4785618215296798</v>
      </c>
      <c r="X31" s="40">
        <f>[7]byGOVDetalhado!D31</f>
        <v>1.3773279603004804</v>
      </c>
      <c r="Y31" s="41">
        <f>[7]byGOVDetalhado!E31</f>
        <v>56.103407477740063</v>
      </c>
      <c r="Z31" s="38">
        <f>[8]byGOVDetalhado!B31</f>
        <v>12.064105158209999</v>
      </c>
      <c r="AA31" s="39">
        <f>[8]byGOVDetalhado!C31</f>
        <v>0.5006995438050178</v>
      </c>
      <c r="AB31" s="40">
        <f>[8]byGOVDetalhado!D31</f>
        <v>1.4543200719365459</v>
      </c>
      <c r="AC31" s="41">
        <f>[8]byGOVDetalhado!E31</f>
        <v>64.398517818950324</v>
      </c>
      <c r="AD31" s="38">
        <f>[9]byGOVDetalhado!B31</f>
        <v>14.286212447479999</v>
      </c>
      <c r="AE31" s="39">
        <f>[9]byGOVDetalhado!C31</f>
        <v>0.5251776187625975</v>
      </c>
      <c r="AF31" s="40">
        <f>[9]byGOVDetalhado!D31</f>
        <v>1.5184860404787288</v>
      </c>
      <c r="AG31" s="41">
        <f>[9]byGOVDetalhado!E31</f>
        <v>75.403804021956716</v>
      </c>
      <c r="AH31" s="38">
        <f>[10]byGOVDetalhado!B31</f>
        <v>16.629265263440001</v>
      </c>
      <c r="AI31" s="39">
        <f>[10]byGOVDetalhado!C31</f>
        <v>0.53473693553707424</v>
      </c>
      <c r="AJ31" s="40">
        <f>[10]byGOVDetalhado!D31</f>
        <v>1.5384848169977507</v>
      </c>
      <c r="AK31" s="41">
        <f>[10]byGOVDetalhado!E31</f>
        <v>86.822187146272384</v>
      </c>
      <c r="AL31" s="38">
        <f>[11]byGOVDetalhado!B31</f>
        <v>20.071087781520003</v>
      </c>
      <c r="AM31" s="39">
        <f>[11]byGOVDetalhado!C31</f>
        <v>0.60218580645230979</v>
      </c>
      <c r="AN31" s="40">
        <f>[11]byGOVDetalhado!D31</f>
        <v>1.8157733407302343</v>
      </c>
      <c r="AO31" s="41">
        <f>[11]byGOVDetalhado!E31</f>
        <v>103.70298741532991</v>
      </c>
      <c r="AP31" s="38">
        <f>[12]byGOVDetalhado!B31</f>
        <v>21.277523129349998</v>
      </c>
      <c r="AQ31" s="39">
        <f>[12]byGOVDetalhado!C31</f>
        <v>0.54756461408156309</v>
      </c>
      <c r="AR31" s="40">
        <f>[12]byGOVDetalhado!D31</f>
        <v>1.6476806441920826</v>
      </c>
      <c r="AS31" s="41">
        <f>[12]byGOVDetalhado!E31</f>
        <v>108.83766188603137</v>
      </c>
      <c r="AT31" s="38">
        <f>[13]byGOVDetalhado!B31</f>
        <v>23.939386537409995</v>
      </c>
      <c r="AU31" s="39">
        <f>[13]byGOVDetalhado!C31</f>
        <v>0.54701318434748147</v>
      </c>
      <c r="AV31" s="40">
        <f>[13]byGOVDetalhado!D31</f>
        <v>1.6049425652682752</v>
      </c>
      <c r="AW31" s="41">
        <f>[13]byGOVDetalhado!E31</f>
        <v>121.27532006288969</v>
      </c>
      <c r="AX31" s="38">
        <f>[14]byGOVDetalhado!B31</f>
        <v>26.685160329119999</v>
      </c>
      <c r="AY31" s="39">
        <f>[14]byGOVDetalhado!C31</f>
        <v>0.5542365627595145</v>
      </c>
      <c r="AZ31" s="40">
        <f>[14]byGOVDetalhado!D31</f>
        <v>1.6290201365274291</v>
      </c>
      <c r="BA31" s="41">
        <f>[14]byGOVDetalhado!E31</f>
        <v>133.93309870423101</v>
      </c>
      <c r="BB31" s="38">
        <f>[15]byGOVDetalhado!B31</f>
        <v>28.809676666690002</v>
      </c>
      <c r="BC31" s="39">
        <f>[15]byGOVDetalhado!C31</f>
        <v>0.54035512790186258</v>
      </c>
      <c r="BD31" s="40">
        <f>[15]byGOVDetalhado!D31</f>
        <v>1.6074621166873051</v>
      </c>
      <c r="BE31" s="41">
        <f>[15]byGOVDetalhado!E31</f>
        <v>143.30840037651782</v>
      </c>
      <c r="BF31" s="38">
        <f>[16]byGOVDetalhado!B31</f>
        <v>31.271538787669993</v>
      </c>
      <c r="BG31" s="39">
        <f>[16]byGOVDetalhado!C31</f>
        <v>0.54112810378748522</v>
      </c>
      <c r="BH31" s="40">
        <f>[16]byGOVDetalhado!D31</f>
        <v>1.646059953955064</v>
      </c>
      <c r="BI31" s="41">
        <f>[16]byGOVDetalhado!E31</f>
        <v>154.22281678789039</v>
      </c>
      <c r="BJ31" s="38">
        <f>[17]byGOVDetalhado!B31</f>
        <v>34.912678887919995</v>
      </c>
      <c r="BK31" s="39">
        <f>[17]byGOVDetalhado!C31</f>
        <v>0.58228684387754259</v>
      </c>
      <c r="BL31" s="40">
        <f>[17]byGOVDetalhado!D31</f>
        <v>1.7730893502761109</v>
      </c>
      <c r="BM31" s="41">
        <f>[17]byGOVDetalhado!E31</f>
        <v>170.76335564931367</v>
      </c>
      <c r="BN31" s="38">
        <f>[18]byGOVDetalhado!B31</f>
        <v>37.704100321029998</v>
      </c>
      <c r="BO31" s="39">
        <f>[18]byGOVDetalhado!C31</f>
        <v>0.60160949451996548</v>
      </c>
      <c r="BP31" s="40">
        <f>[18]byGOVDetalhado!D31</f>
        <v>1.8073476499383427</v>
      </c>
      <c r="BQ31" s="41">
        <f>[18]byGOVDetalhado!E31</f>
        <v>182.95729001451232</v>
      </c>
      <c r="BR31" s="38">
        <f>[19]byGOVDetalhado!B31</f>
        <v>39.125595798160013</v>
      </c>
      <c r="BS31" s="39">
        <f>[19]byGOVDetalhado!C31</f>
        <v>0.59698710582226588</v>
      </c>
      <c r="BT31" s="40">
        <f>[19]byGOVDetalhado!D31</f>
        <v>1.7756883275361808</v>
      </c>
      <c r="BU31" s="41">
        <f>[19]byGOVDetalhado!E31</f>
        <v>188.41096390433663</v>
      </c>
      <c r="BV31" s="38">
        <f>[20]byGOVDetalhado!B31</f>
        <v>44.770656425719999</v>
      </c>
      <c r="BW31" s="39">
        <f>[20]byGOVDetalhado!C31</f>
        <v>0.64986953121607671</v>
      </c>
      <c r="BX31" s="40">
        <f>[20]byGOVDetalhado!D31</f>
        <v>1.8868284417632104</v>
      </c>
      <c r="BY31" s="41">
        <f>[20]byGOVDetalhado!E31</f>
        <v>214.73262140090716</v>
      </c>
      <c r="BZ31" s="38">
        <f>[21]byGOVDetalhado!B31</f>
        <v>47.941197879910014</v>
      </c>
      <c r="CA31" s="39">
        <f>[21]byGOVDetalhado!C31</f>
        <v>0.64880698257900704</v>
      </c>
      <c r="CB31" s="40">
        <f>[21]byGOVDetalhado!D31</f>
        <v>1.9200100733908714</v>
      </c>
      <c r="CC31" s="41">
        <f>[21]byGOVDetalhado!E31</f>
        <v>228.1315905697497</v>
      </c>
      <c r="CD31" s="38">
        <f>[22]byGOVDetalhado!B31</f>
        <v>49.426632933050001</v>
      </c>
      <c r="CE31" s="39">
        <f>[22]byGOVDetalhado!C31</f>
        <v>0.64953023048461045</v>
      </c>
      <c r="CF31" s="40">
        <f>[22]byGOVDetalhado!D31</f>
        <v>2.0161320364325701</v>
      </c>
      <c r="CG31" s="41">
        <f>[22]byGOVDetalhado!E31</f>
        <v>233.41347978051047</v>
      </c>
      <c r="CH31" s="38">
        <f>[23]byGOVDetalhado!B31</f>
        <v>53.679325098460005</v>
      </c>
      <c r="CI31" s="39">
        <f>[23]byGOVDetalhado!C31</f>
        <v>0.60322476572727768</v>
      </c>
      <c r="CJ31" s="40">
        <f>[23]byGOVDetalhado!D31</f>
        <v>1.7536729220028031</v>
      </c>
      <c r="CK31" s="41">
        <f>[23]byGOVDetalhado!E31</f>
        <v>251.6403488717593</v>
      </c>
      <c r="CL31" s="38">
        <f>[24]byGOVDetalhado!B31</f>
        <v>66.218662344070012</v>
      </c>
      <c r="CM31" s="39">
        <f>[24]byGOVDetalhado!C31</f>
        <v>0.6569522903719327</v>
      </c>
      <c r="CN31" s="40">
        <f>[24]byGOVDetalhado!D31</f>
        <v>1.8820157921735092</v>
      </c>
      <c r="CO31" s="41">
        <f>[24]byGOVDetalhado!E31</f>
        <v>326.07059205585199</v>
      </c>
      <c r="CP31" s="38">
        <f>[25]byGOVDetalhado!B31</f>
        <v>82.462626627600017</v>
      </c>
      <c r="CQ31" s="39">
        <f>[25]byGOVDetalhado!C31</f>
        <v>0.75354139125663988</v>
      </c>
      <c r="CR31" s="40">
        <f>[25]byGOVDetalhado!D31</f>
        <v>2.1792520789247192</v>
      </c>
      <c r="CS31" s="41">
        <f>[25]byGOVDetalhado!E31</f>
        <v>396.77492514888928</v>
      </c>
      <c r="CT31" s="38">
        <f>[26]byGOVDetalhado!B31</f>
        <v>87.533121672609994</v>
      </c>
      <c r="CU31" s="39">
        <f>[26]byGOVDetalhado!C31</f>
        <v>0.74529834389774996</v>
      </c>
      <c r="CV31" s="40">
        <f>[26]byGOVDetalhado!D31</f>
        <v>2.0731529957806352</v>
      </c>
      <c r="CW31" s="41">
        <f>[26]byGOVDetalhado!E31</f>
        <v>411.75829136803731</v>
      </c>
    </row>
    <row r="32" spans="1:101" x14ac:dyDescent="0.25">
      <c r="A32" s="37" t="s">
        <v>64</v>
      </c>
      <c r="B32" s="38">
        <f>[2]byGOVDetalhado!B32</f>
        <v>0.32886900000000002</v>
      </c>
      <c r="C32" s="39">
        <f>[2]byGOVDetalhado!C32</f>
        <v>2.7351566187936556E-2</v>
      </c>
      <c r="D32" s="40">
        <f>[2]byGOVDetalhado!D32</f>
        <v>8.9501522556084359E-2</v>
      </c>
      <c r="E32" s="41">
        <f>[2]byGOVDetalhado!E32</f>
        <v>1.8960630503792755</v>
      </c>
      <c r="F32" s="38">
        <f>[3]byGOVDetalhado!B32</f>
        <v>0.33517398337999998</v>
      </c>
      <c r="G32" s="39">
        <f>[3]byGOVDetalhado!C32</f>
        <v>2.5473890152801999E-2</v>
      </c>
      <c r="H32" s="40">
        <f>[3]byGOVDetalhado!D32</f>
        <v>7.9491677611931058E-2</v>
      </c>
      <c r="I32" s="41">
        <f>[3]byGOVDetalhado!E32</f>
        <v>1.9324138344911055</v>
      </c>
      <c r="J32" s="38">
        <f>[4]byGOVDetalhado!B32</f>
        <v>0.52009774306000001</v>
      </c>
      <c r="K32" s="39">
        <f>[4]byGOVDetalhado!C32</f>
        <v>3.4934328621891511E-2</v>
      </c>
      <c r="L32" s="40">
        <f>[4]byGOVDetalhado!D32</f>
        <v>0.1049801568801364</v>
      </c>
      <c r="M32" s="41">
        <f>[4]byGOVDetalhado!E32</f>
        <v>2.9173717698199053</v>
      </c>
      <c r="N32" s="38">
        <f>[5]byGOVDetalhado!B32</f>
        <v>0.87184423293000002</v>
      </c>
      <c r="O32" s="39">
        <f>[5]byGOVDetalhado!C32</f>
        <v>5.0749104044355196E-2</v>
      </c>
      <c r="P32" s="40">
        <f>[5]byGOVDetalhado!D32</f>
        <v>0.15568233696656678</v>
      </c>
      <c r="Q32" s="41">
        <f>[5]byGOVDetalhado!E32</f>
        <v>4.8269767389727116</v>
      </c>
      <c r="R32" s="38">
        <f>[6]byGOVDetalhado!B32</f>
        <v>0.73606959735999999</v>
      </c>
      <c r="S32" s="39">
        <f>[6]byGOVDetalhado!C32</f>
        <v>3.7597712751008684E-2</v>
      </c>
      <c r="T32" s="40">
        <f>[6]byGOVDetalhado!D32</f>
        <v>0.1118216924832169</v>
      </c>
      <c r="U32" s="41">
        <f>[6]byGOVDetalhado!E32</f>
        <v>4.0241846448932979</v>
      </c>
      <c r="V32" s="38">
        <f>[7]byGOVDetalhado!B32</f>
        <v>0.81550388906000004</v>
      </c>
      <c r="W32" s="39">
        <f>[7]byGOVDetalhado!C32</f>
        <v>3.7570695875075152E-2</v>
      </c>
      <c r="X32" s="40">
        <f>[7]byGOVDetalhado!D32</f>
        <v>0.10813058540959611</v>
      </c>
      <c r="Y32" s="41">
        <f>[7]byGOVDetalhado!E32</f>
        <v>4.4045386929614558</v>
      </c>
      <c r="Z32" s="38">
        <f>[8]byGOVDetalhado!B32</f>
        <v>0.96697825803000004</v>
      </c>
      <c r="AA32" s="39">
        <f>[8]byGOVDetalhado!C32</f>
        <v>4.0132738095000939E-2</v>
      </c>
      <c r="AB32" s="40">
        <f>[8]byGOVDetalhado!D32</f>
        <v>0.1165686034179035</v>
      </c>
      <c r="AC32" s="41">
        <f>[8]byGOVDetalhado!E32</f>
        <v>5.1617559498728749</v>
      </c>
      <c r="AD32" s="38">
        <f>[9]byGOVDetalhado!B32</f>
        <v>1.2044485206799997</v>
      </c>
      <c r="AE32" s="39">
        <f>[9]byGOVDetalhado!C32</f>
        <v>4.4276914426288921E-2</v>
      </c>
      <c r="AF32" s="40">
        <f>[9]byGOVDetalhado!D32</f>
        <v>0.12802121428975732</v>
      </c>
      <c r="AG32" s="41">
        <f>[9]byGOVDetalhado!E32</f>
        <v>6.3571783313295525</v>
      </c>
      <c r="AH32" s="38">
        <f>[10]byGOVDetalhado!B32</f>
        <v>1.4858492142999999</v>
      </c>
      <c r="AI32" s="39">
        <f>[10]byGOVDetalhado!C32</f>
        <v>4.7779528616442905E-2</v>
      </c>
      <c r="AJ32" s="40">
        <f>[10]byGOVDetalhado!D32</f>
        <v>0.13746587238429225</v>
      </c>
      <c r="AK32" s="41">
        <f>[10]byGOVDetalhado!E32</f>
        <v>7.75768962196529</v>
      </c>
      <c r="AL32" s="38">
        <f>[11]byGOVDetalhado!B32</f>
        <v>1.6730877100399999</v>
      </c>
      <c r="AM32" s="39">
        <f>[11]byGOVDetalhado!C32</f>
        <v>5.0197063701924879E-2</v>
      </c>
      <c r="AN32" s="40">
        <f>[11]byGOVDetalhado!D32</f>
        <v>0.15135941278634385</v>
      </c>
      <c r="AO32" s="41">
        <f>[11]byGOVDetalhado!E32</f>
        <v>8.6444838280649297</v>
      </c>
      <c r="AP32" s="38">
        <f>[12]byGOVDetalhado!B32</f>
        <v>2.5081770370299998</v>
      </c>
      <c r="AQ32" s="39">
        <f>[12]byGOVDetalhado!C32</f>
        <v>6.454646920040856E-2</v>
      </c>
      <c r="AR32" s="40">
        <f>[12]byGOVDetalhado!D32</f>
        <v>0.19422724773922628</v>
      </c>
      <c r="AS32" s="41">
        <f>[12]byGOVDetalhado!E32</f>
        <v>12.829694633489909</v>
      </c>
      <c r="AT32" s="38">
        <f>[13]byGOVDetalhado!B32</f>
        <v>2.7547689264300002</v>
      </c>
      <c r="AU32" s="39">
        <f>[13]byGOVDetalhado!C32</f>
        <v>6.2946263064558819E-2</v>
      </c>
      <c r="AV32" s="40">
        <f>[13]byGOVDetalhado!D32</f>
        <v>0.18468501273400767</v>
      </c>
      <c r="AW32" s="41">
        <f>[13]byGOVDetalhado!E32</f>
        <v>13.955473868556618</v>
      </c>
      <c r="AX32" s="38">
        <f>[14]byGOVDetalhado!B32</f>
        <v>3.3911116083399997</v>
      </c>
      <c r="AY32" s="39">
        <f>[14]byGOVDetalhado!C32</f>
        <v>7.0431581394295867E-2</v>
      </c>
      <c r="AZ32" s="40">
        <f>[14]byGOVDetalhado!D32</f>
        <v>0.20701352463562087</v>
      </c>
      <c r="BA32" s="41">
        <f>[14]byGOVDetalhado!E32</f>
        <v>17.020024618748185</v>
      </c>
      <c r="BB32" s="38">
        <f>[15]byGOVDetalhado!B32</f>
        <v>4.1132849770200002</v>
      </c>
      <c r="BC32" s="39">
        <f>[15]byGOVDetalhado!C32</f>
        <v>7.7148891866054198E-2</v>
      </c>
      <c r="BD32" s="40">
        <f>[15]byGOVDetalhado!D32</f>
        <v>0.22950447699204674</v>
      </c>
      <c r="BE32" s="41">
        <f>[15]byGOVDetalhado!E32</f>
        <v>20.460774245031583</v>
      </c>
      <c r="BF32" s="38">
        <f>[16]byGOVDetalhado!B32</f>
        <v>4.6600297028300002</v>
      </c>
      <c r="BG32" s="39">
        <f>[16]byGOVDetalhado!C32</f>
        <v>8.0637958170450594E-2</v>
      </c>
      <c r="BH32" s="40">
        <f>[16]byGOVDetalhado!D32</f>
        <v>0.24529295888355979</v>
      </c>
      <c r="BI32" s="41">
        <f>[16]byGOVDetalhado!E32</f>
        <v>22.982012876483289</v>
      </c>
      <c r="BJ32" s="38">
        <f>[17]byGOVDetalhado!B32</f>
        <v>6.41552638814</v>
      </c>
      <c r="BK32" s="39">
        <f>[17]byGOVDetalhado!C32</f>
        <v>0.10700057203733221</v>
      </c>
      <c r="BL32" s="40">
        <f>[17]byGOVDetalhado!D32</f>
        <v>0.32582150317781317</v>
      </c>
      <c r="BM32" s="41">
        <f>[17]byGOVDetalhado!E32</f>
        <v>31.37933980410109</v>
      </c>
      <c r="BN32" s="38">
        <f>[18]byGOVDetalhado!B32</f>
        <v>7.3011862136599994</v>
      </c>
      <c r="BO32" s="39">
        <f>[18]byGOVDetalhado!C32</f>
        <v>0.11649828294526825</v>
      </c>
      <c r="BP32" s="40">
        <f>[18]byGOVDetalhado!D32</f>
        <v>0.34998267118604309</v>
      </c>
      <c r="BQ32" s="41">
        <f>[18]byGOVDetalhado!E32</f>
        <v>35.428646544245673</v>
      </c>
      <c r="BR32" s="38">
        <f>[19]byGOVDetalhado!B32</f>
        <v>7.0893822337499994</v>
      </c>
      <c r="BS32" s="39">
        <f>[19]byGOVDetalhado!C32</f>
        <v>0.10817138232546064</v>
      </c>
      <c r="BT32" s="40">
        <f>[19]byGOVDetalhado!D32</f>
        <v>0.32174674979656825</v>
      </c>
      <c r="BU32" s="41">
        <f>[19]byGOVDetalhado!E32</f>
        <v>34.139220448878945</v>
      </c>
      <c r="BV32" s="38">
        <f>[20]byGOVDetalhado!B32</f>
        <v>7.7539016101600007</v>
      </c>
      <c r="BW32" s="39">
        <f>[20]byGOVDetalhado!C32</f>
        <v>0.11255194376813799</v>
      </c>
      <c r="BX32" s="40">
        <f>[20]byGOVDetalhado!D32</f>
        <v>0.32678283636419037</v>
      </c>
      <c r="BY32" s="41">
        <f>[20]byGOVDetalhado!E32</f>
        <v>37.189886228200308</v>
      </c>
      <c r="BZ32" s="38">
        <f>[21]byGOVDetalhado!B32</f>
        <v>8.9722656768699984</v>
      </c>
      <c r="CA32" s="39">
        <f>[21]byGOVDetalhado!C32</f>
        <v>0.1214251808077296</v>
      </c>
      <c r="CB32" s="40">
        <f>[21]byGOVDetalhado!D32</f>
        <v>0.3593327084542573</v>
      </c>
      <c r="CC32" s="41">
        <f>[21]byGOVDetalhado!E32</f>
        <v>42.69516262413773</v>
      </c>
      <c r="CD32" s="38">
        <f>[22]byGOVDetalhado!B32</f>
        <v>9.5149503238199991</v>
      </c>
      <c r="CE32" s="39">
        <f>[22]byGOVDetalhado!C32</f>
        <v>0.12503882037143357</v>
      </c>
      <c r="CF32" s="40">
        <f>[22]byGOVDetalhado!D32</f>
        <v>0.38811861206290332</v>
      </c>
      <c r="CG32" s="41">
        <f>[22]byGOVDetalhado!E32</f>
        <v>44.933622487087618</v>
      </c>
      <c r="CH32" s="38">
        <f>[23]byGOVDetalhado!B32</f>
        <v>12.9050176796</v>
      </c>
      <c r="CI32" s="39">
        <f>[23]byGOVDetalhado!C32</f>
        <v>0.14502094153017617</v>
      </c>
      <c r="CJ32" s="40">
        <f>[23]byGOVDetalhado!D32</f>
        <v>0.42159956409979582</v>
      </c>
      <c r="CK32" s="41">
        <f>[23]byGOVDetalhado!E32</f>
        <v>60.496720946738023</v>
      </c>
      <c r="CL32" s="38">
        <f>[24]byGOVDetalhado!B32</f>
        <v>13.671434530039999</v>
      </c>
      <c r="CM32" s="39">
        <f>[24]byGOVDetalhado!C32</f>
        <v>0.13563367046758248</v>
      </c>
      <c r="CN32" s="40">
        <f>[24]byGOVDetalhado!D32</f>
        <v>0.38855897682604951</v>
      </c>
      <c r="CO32" s="41">
        <f>[24]byGOVDetalhado!E32</f>
        <v>67.320187295540691</v>
      </c>
      <c r="CP32" s="38">
        <f>[25]byGOVDetalhado!B32</f>
        <v>15.699625992780001</v>
      </c>
      <c r="CQ32" s="39">
        <f>[25]byGOVDetalhado!C32</f>
        <v>0.14346278425296694</v>
      </c>
      <c r="CR32" s="40">
        <f>[25]byGOVDetalhado!D32</f>
        <v>0.41489634737944703</v>
      </c>
      <c r="CS32" s="41">
        <f>[25]byGOVDetalhado!E32</f>
        <v>75.539892226352379</v>
      </c>
      <c r="CT32" s="38">
        <f>[26]byGOVDetalhado!B32</f>
        <v>18.575220552490002</v>
      </c>
      <c r="CU32" s="39">
        <f>[26]byGOVDetalhado!C32</f>
        <v>0.15815820172717776</v>
      </c>
      <c r="CV32" s="40">
        <f>[26]byGOVDetalhado!D32</f>
        <v>0.43993945834255127</v>
      </c>
      <c r="CW32" s="41">
        <f>[26]byGOVDetalhado!E32</f>
        <v>87.378365244239049</v>
      </c>
    </row>
    <row r="33" spans="1:102" x14ac:dyDescent="0.25">
      <c r="A33" s="37" t="s">
        <v>89</v>
      </c>
      <c r="B33" s="38">
        <f>[2]byGOVDetalhado!B33</f>
        <v>4.1310000000000002</v>
      </c>
      <c r="C33" s="39">
        <f>[2]byGOVDetalhado!C33</f>
        <v>0.34356938453416375</v>
      </c>
      <c r="D33" s="40">
        <f>[2]byGOVDetalhado!D33</f>
        <v>1.1242494418117379</v>
      </c>
      <c r="E33" s="41">
        <f>[2]byGOVDetalhado!E33</f>
        <v>23.816888977425013</v>
      </c>
      <c r="F33" s="38">
        <f>[3]byGOVDetalhado!B33</f>
        <v>4.7881215407646973</v>
      </c>
      <c r="G33" s="39">
        <f>[3]byGOVDetalhado!C33</f>
        <v>0.36390677145552908</v>
      </c>
      <c r="H33" s="40">
        <f>[3]byGOVDetalhado!D33</f>
        <v>1.1355768429487283</v>
      </c>
      <c r="I33" s="41">
        <f>[3]byGOVDetalhado!E33</f>
        <v>27.605460940888403</v>
      </c>
      <c r="J33" s="38">
        <f>[4]byGOVDetalhado!B33</f>
        <v>5.6425585624613346</v>
      </c>
      <c r="K33" s="39">
        <f>[4]byGOVDetalhado!C33</f>
        <v>0.37900375019806964</v>
      </c>
      <c r="L33" s="40">
        <f>[4]byGOVDetalhado!D33</f>
        <v>1.1389333851122132</v>
      </c>
      <c r="M33" s="41">
        <f>[4]byGOVDetalhado!E33</f>
        <v>31.650668127935415</v>
      </c>
      <c r="N33" s="38">
        <f>[5]byGOVDetalhado!B33</f>
        <v>6.691621082048667</v>
      </c>
      <c r="O33" s="39">
        <f>[5]byGOVDetalhado!C33</f>
        <v>0.38951198125956327</v>
      </c>
      <c r="P33" s="40">
        <f>[5]byGOVDetalhado!D33</f>
        <v>1.1949006127471005</v>
      </c>
      <c r="Q33" s="41">
        <f>[5]byGOVDetalhado!E33</f>
        <v>37.04824564878632</v>
      </c>
      <c r="R33" s="38">
        <f>[6]byGOVDetalhado!B33</f>
        <v>8.1076953916495018</v>
      </c>
      <c r="S33" s="39">
        <f>[6]byGOVDetalhado!C33</f>
        <v>0.41413312477682312</v>
      </c>
      <c r="T33" s="40">
        <f>[6]byGOVDetalhado!D33</f>
        <v>1.2316990459656407</v>
      </c>
      <c r="U33" s="41">
        <f>[6]byGOVDetalhado!E33</f>
        <v>44.325785791952484</v>
      </c>
      <c r="V33" s="38">
        <f>[7]byGOVDetalhado!B33</f>
        <v>8.2672770898355008</v>
      </c>
      <c r="W33" s="39">
        <f>[7]byGOVDetalhado!C33</f>
        <v>0.38087783200545017</v>
      </c>
      <c r="X33" s="40">
        <f>[7]byGOVDetalhado!D33</f>
        <v>1.0961879194686264</v>
      </c>
      <c r="Y33" s="41">
        <f>[7]byGOVDetalhado!E33</f>
        <v>44.651585744841427</v>
      </c>
      <c r="Z33" s="38">
        <f>[8]byGOVDetalhado!B33</f>
        <v>10.284240179265499</v>
      </c>
      <c r="AA33" s="39">
        <f>[8]byGOVDetalhado!C33</f>
        <v>0.42682936683747325</v>
      </c>
      <c r="AB33" s="40">
        <f>[8]byGOVDetalhado!D33</f>
        <v>1.2397585002103282</v>
      </c>
      <c r="AC33" s="41">
        <f>[8]byGOVDetalhado!E33</f>
        <v>54.897550688878503</v>
      </c>
      <c r="AD33" s="38">
        <f>[9]byGOVDetalhado!B33</f>
        <v>11.301138712038499</v>
      </c>
      <c r="AE33" s="39">
        <f>[9]byGOVDetalhado!C33</f>
        <v>0.41544287122379342</v>
      </c>
      <c r="AF33" s="40">
        <f>[9]byGOVDetalhado!D33</f>
        <v>1.2012016088120863</v>
      </c>
      <c r="AG33" s="41">
        <f>[9]byGOVDetalhado!E33</f>
        <v>59.648339390179878</v>
      </c>
      <c r="AH33" s="38">
        <f>[10]byGOVDetalhado!B33</f>
        <v>12.936655320267004</v>
      </c>
      <c r="AI33" s="39">
        <f>[10]byGOVDetalhado!C33</f>
        <v>0.41599597531634652</v>
      </c>
      <c r="AJ33" s="40">
        <f>[10]byGOVDetalhado!D33</f>
        <v>1.1968567148135547</v>
      </c>
      <c r="AK33" s="41">
        <f>[10]byGOVDetalhado!E33</f>
        <v>67.54289449771484</v>
      </c>
      <c r="AL33" s="38">
        <f>[11]byGOVDetalhado!B33</f>
        <v>12.208578247660997</v>
      </c>
      <c r="AM33" s="39">
        <f>[11]byGOVDetalhado!C33</f>
        <v>0.36628969080952833</v>
      </c>
      <c r="AN33" s="40">
        <f>[11]byGOVDetalhado!D33</f>
        <v>1.1044748123085071</v>
      </c>
      <c r="AO33" s="41">
        <f>[11]byGOVDetalhado!E33</f>
        <v>63.079094175551383</v>
      </c>
      <c r="AP33" s="38">
        <f>[12]byGOVDetalhado!B33</f>
        <v>16.538761950138252</v>
      </c>
      <c r="AQ33" s="39">
        <f>[12]byGOVDetalhado!C33</f>
        <v>0.42561536648607751</v>
      </c>
      <c r="AR33" s="40">
        <f>[12]byGOVDetalhado!D33</f>
        <v>1.2807222804309444</v>
      </c>
      <c r="AS33" s="41">
        <f>[12]byGOVDetalhado!E33</f>
        <v>84.598201125193512</v>
      </c>
      <c r="AT33" s="38">
        <f>[13]byGOVDetalhado!B33</f>
        <v>19.382035000545503</v>
      </c>
      <c r="AU33" s="39">
        <f>[13]byGOVDetalhado!C33</f>
        <v>0.44287804402233405</v>
      </c>
      <c r="AV33" s="40">
        <f>[13]byGOVDetalhado!D33</f>
        <v>1.2994089437205967</v>
      </c>
      <c r="AW33" s="41">
        <f>[13]byGOVDetalhado!E33</f>
        <v>98.18808408010247</v>
      </c>
      <c r="AX33" s="38">
        <f>[14]byGOVDetalhado!B33</f>
        <v>20.641857662767997</v>
      </c>
      <c r="AY33" s="39">
        <f>[14]byGOVDetalhado!C33</f>
        <v>0.42872038612034652</v>
      </c>
      <c r="AZ33" s="40">
        <f>[14]byGOVDetalhado!D33</f>
        <v>1.2601011713348385</v>
      </c>
      <c r="BA33" s="41">
        <f>[14]byGOVDetalhado!E33</f>
        <v>103.60169943477209</v>
      </c>
      <c r="BB33" s="38">
        <f>[15]byGOVDetalhado!B33</f>
        <v>22.502789406853502</v>
      </c>
      <c r="BC33" s="39">
        <f>[15]byGOVDetalhado!C33</f>
        <v>0.42206296824385803</v>
      </c>
      <c r="BD33" s="40">
        <f>[15]byGOVDetalhado!D33</f>
        <v>1.2555636048887771</v>
      </c>
      <c r="BE33" s="41">
        <f>[15]byGOVDetalhado!E33</f>
        <v>111.93595788023585</v>
      </c>
      <c r="BF33" s="38">
        <f>[16]byGOVDetalhado!B33</f>
        <v>29.074394501979999</v>
      </c>
      <c r="BG33" s="39">
        <f>[16]byGOVDetalhado!C33</f>
        <v>0.50310833990136272</v>
      </c>
      <c r="BH33" s="40">
        <f>[16]byGOVDetalhado!D33</f>
        <v>1.5304074673188295</v>
      </c>
      <c r="BI33" s="41">
        <f>[16]byGOVDetalhado!E33</f>
        <v>143.38709223562969</v>
      </c>
      <c r="BJ33" s="38">
        <f>[17]byGOVDetalhado!B33</f>
        <v>33.196818685499998</v>
      </c>
      <c r="BK33" s="39">
        <f>[17]byGOVDetalhado!C33</f>
        <v>0.55366907939691656</v>
      </c>
      <c r="BL33" s="40">
        <f>[17]byGOVDetalhado!D33</f>
        <v>1.6859469839959289</v>
      </c>
      <c r="BM33" s="41">
        <f>[17]byGOVDetalhado!E33</f>
        <v>162.37081588085348</v>
      </c>
      <c r="BN33" s="38">
        <f>[18]byGOVDetalhado!B33</f>
        <v>36.470125300989999</v>
      </c>
      <c r="BO33" s="39">
        <f>[18]byGOVDetalhado!C33</f>
        <v>0.5819200951778345</v>
      </c>
      <c r="BP33" s="40">
        <f>[18]byGOVDetalhado!D33</f>
        <v>1.7481970049537714</v>
      </c>
      <c r="BQ33" s="41">
        <f>[18]byGOVDetalhado!E33</f>
        <v>176.96948699866371</v>
      </c>
      <c r="BR33" s="38">
        <f>[19]byGOVDetalhado!B33</f>
        <v>39.398750086290001</v>
      </c>
      <c r="BS33" s="39">
        <f>[19]byGOVDetalhado!C33</f>
        <v>0.60115495514409867</v>
      </c>
      <c r="BT33" s="40">
        <f>[19]byGOVDetalhado!D33</f>
        <v>1.7880852475358422</v>
      </c>
      <c r="BU33" s="41">
        <f>[19]byGOVDetalhado!E33</f>
        <v>189.72634994948905</v>
      </c>
      <c r="BV33" s="38">
        <f>[20]byGOVDetalhado!B33</f>
        <v>43.068644492869993</v>
      </c>
      <c r="BW33" s="39">
        <f>[20]byGOVDetalhado!C33</f>
        <v>0.62516393640844792</v>
      </c>
      <c r="BX33" s="40">
        <f>[20]byGOVDetalhado!D33</f>
        <v>1.8150983225399226</v>
      </c>
      <c r="BY33" s="41">
        <f>[20]byGOVDetalhado!E33</f>
        <v>206.56929494615932</v>
      </c>
      <c r="BZ33" s="38">
        <f>[21]byGOVDetalhado!B33</f>
        <v>45.282098915399089</v>
      </c>
      <c r="CA33" s="39">
        <f>[21]byGOVDetalhado!C33</f>
        <v>0.61282035621508246</v>
      </c>
      <c r="CB33" s="40">
        <f>[21]byGOVDetalhado!D33</f>
        <v>1.8135150957144019</v>
      </c>
      <c r="CC33" s="41">
        <f>[21]byGOVDetalhado!E33</f>
        <v>215.47807953784323</v>
      </c>
      <c r="CD33" s="38">
        <f>[22]byGOVDetalhado!B33</f>
        <v>49.013715397630008</v>
      </c>
      <c r="CE33" s="39">
        <f>[22]byGOVDetalhado!C33</f>
        <v>0.64410395711665169</v>
      </c>
      <c r="CF33" s="40">
        <f>[22]byGOVDetalhado!D33</f>
        <v>1.999288965760678</v>
      </c>
      <c r="CG33" s="41">
        <f>[22]byGOVDetalhado!E33</f>
        <v>231.46350841719052</v>
      </c>
      <c r="CH33" s="38">
        <f>[23]byGOVDetalhado!B33</f>
        <v>51.03436535585999</v>
      </c>
      <c r="CI33" s="39">
        <f>[23]byGOVDetalhado!C33</f>
        <v>0.57350186555739924</v>
      </c>
      <c r="CJ33" s="40">
        <f>[23]byGOVDetalhado!D33</f>
        <v>1.6672635964034721</v>
      </c>
      <c r="CK33" s="41">
        <f>[23]byGOVDetalhado!E33</f>
        <v>239.24118790692219</v>
      </c>
      <c r="CL33" s="38">
        <f>[24]byGOVDetalhado!B33</f>
        <v>63.027856305779999</v>
      </c>
      <c r="CM33" s="39">
        <f>[24]byGOVDetalhado!C33</f>
        <v>0.62529645105437914</v>
      </c>
      <c r="CN33" s="40">
        <f>[24]byGOVDetalhado!D33</f>
        <v>1.7913291618302105</v>
      </c>
      <c r="CO33" s="41">
        <f>[24]byGOVDetalhado!E33</f>
        <v>310.35858614678386</v>
      </c>
      <c r="CP33" s="38">
        <f>[25]byGOVDetalhado!B33</f>
        <v>73.355353977434987</v>
      </c>
      <c r="CQ33" s="39">
        <f>[25]byGOVDetalhado!C33</f>
        <v>0.67031936469725328</v>
      </c>
      <c r="CR33" s="40">
        <f>[25]byGOVDetalhado!D33</f>
        <v>1.9385728322420328</v>
      </c>
      <c r="CS33" s="41">
        <f>[25]byGOVDetalhado!E33</f>
        <v>352.95462046227726</v>
      </c>
      <c r="CT33" s="38">
        <f>[26]byGOVDetalhado!B33</f>
        <v>81.090061680050013</v>
      </c>
      <c r="CU33" s="39">
        <f>[26]byGOVDetalhado!C33</f>
        <v>0.69043908776326435</v>
      </c>
      <c r="CV33" s="40">
        <f>[26]byGOVDetalhado!D33</f>
        <v>1.9205541980874672</v>
      </c>
      <c r="CW33" s="41">
        <f>[26]byGOVDetalhado!E33</f>
        <v>381.44995410067804</v>
      </c>
    </row>
    <row r="34" spans="1:102" x14ac:dyDescent="0.25">
      <c r="A34" s="37" t="s">
        <v>65</v>
      </c>
      <c r="B34" s="38">
        <f>[2]byGOVDetalhado!B34</f>
        <v>2.8766319999999999</v>
      </c>
      <c r="C34" s="39">
        <f>[2]byGOVDetalhado!C34</f>
        <v>0.23924538508140414</v>
      </c>
      <c r="D34" s="40">
        <f>[2]byGOVDetalhado!D34</f>
        <v>0.78287386112267809</v>
      </c>
      <c r="E34" s="41">
        <f>[2]byGOVDetalhado!E34</f>
        <v>16.584949158292925</v>
      </c>
      <c r="F34" s="38">
        <f>[3]byGOVDetalhado!B34</f>
        <v>2.6327502121899999</v>
      </c>
      <c r="G34" s="39">
        <f>[3]byGOVDetalhado!C34</f>
        <v>0.20009425859601518</v>
      </c>
      <c r="H34" s="40">
        <f>[3]byGOVDetalhado!D34</f>
        <v>0.62439730252833969</v>
      </c>
      <c r="I34" s="41">
        <f>[3]byGOVDetalhado!E34</f>
        <v>15.17887182498702</v>
      </c>
      <c r="J34" s="38">
        <f>[4]byGOVDetalhado!B34</f>
        <v>3.0509827356799994</v>
      </c>
      <c r="K34" s="39">
        <f>[4]byGOVDetalhado!C34</f>
        <v>0.20493077489795378</v>
      </c>
      <c r="L34" s="40">
        <f>[4]byGOVDetalhado!D34</f>
        <v>0.61583164031020254</v>
      </c>
      <c r="M34" s="41">
        <f>[4]byGOVDetalhado!E34</f>
        <v>17.113804130186175</v>
      </c>
      <c r="N34" s="38">
        <f>[5]byGOVDetalhado!B34</f>
        <v>3.5475135351399998</v>
      </c>
      <c r="O34" s="39">
        <f>[5]byGOVDetalhado!C34</f>
        <v>0.20649690242090865</v>
      </c>
      <c r="P34" s="40">
        <f>[5]byGOVDetalhado!D34</f>
        <v>0.63346774195553435</v>
      </c>
      <c r="Q34" s="41">
        <f>[5]byGOVDetalhado!E34</f>
        <v>19.640854029353306</v>
      </c>
      <c r="R34" s="38">
        <f>[6]byGOVDetalhado!B34</f>
        <v>4.3686961908299997</v>
      </c>
      <c r="S34" s="39">
        <f>[6]byGOVDetalhado!C34</f>
        <v>0.2231487145622707</v>
      </c>
      <c r="T34" s="40">
        <f>[6]byGOVDetalhado!D34</f>
        <v>0.66368045053852198</v>
      </c>
      <c r="U34" s="41">
        <f>[6]byGOVDetalhado!E34</f>
        <v>23.884209037292447</v>
      </c>
      <c r="V34" s="38">
        <f>[7]byGOVDetalhado!B34</f>
        <v>5.33490595501</v>
      </c>
      <c r="W34" s="39">
        <f>[7]byGOVDetalhado!C34</f>
        <v>0.24578194150470956</v>
      </c>
      <c r="X34" s="40">
        <f>[7]byGOVDetalhado!D34</f>
        <v>0.70737431391688832</v>
      </c>
      <c r="Y34" s="41">
        <f>[7]byGOVDetalhado!E34</f>
        <v>28.813841377552524</v>
      </c>
      <c r="Z34" s="38">
        <f>[8]byGOVDetalhado!B34</f>
        <v>6.1494130894899994</v>
      </c>
      <c r="AA34" s="39">
        <f>[8]byGOVDetalhado!C34</f>
        <v>0.25522061422689823</v>
      </c>
      <c r="AB34" s="40">
        <f>[8]byGOVDetalhado!D34</f>
        <v>0.7413077695686775</v>
      </c>
      <c r="AC34" s="41">
        <f>[8]byGOVDetalhado!E34</f>
        <v>32.825732470518865</v>
      </c>
      <c r="AD34" s="38">
        <f>[9]byGOVDetalhado!B34</f>
        <v>7.0186839379500006</v>
      </c>
      <c r="AE34" s="39">
        <f>[9]byGOVDetalhado!C34</f>
        <v>0.25801490289541862</v>
      </c>
      <c r="AF34" s="40">
        <f>[9]byGOVDetalhado!D34</f>
        <v>0.74601813612181844</v>
      </c>
      <c r="AG34" s="41">
        <f>[9]byGOVDetalhado!E34</f>
        <v>37.045190955604973</v>
      </c>
      <c r="AH34" s="38">
        <f>[10]byGOVDetalhado!B34</f>
        <v>8.14509781866</v>
      </c>
      <c r="AI34" s="39">
        <f>[10]byGOVDetalhado!C34</f>
        <v>0.26191684227779061</v>
      </c>
      <c r="AJ34" s="40">
        <f>[10]byGOVDetalhado!D34</f>
        <v>0.75355760633153013</v>
      </c>
      <c r="AK34" s="41">
        <f>[10]byGOVDetalhado!E34</f>
        <v>42.525944227442331</v>
      </c>
      <c r="AL34" s="38">
        <f>[11]byGOVDetalhado!B34</f>
        <v>9.564282799479999</v>
      </c>
      <c r="AM34" s="39">
        <f>[11]byGOVDetalhado!C34</f>
        <v>0.28695382200688319</v>
      </c>
      <c r="AN34" s="40">
        <f>[11]byGOVDetalhado!D34</f>
        <v>0.86525304056964902</v>
      </c>
      <c r="AO34" s="41">
        <f>[11]byGOVDetalhado!E34</f>
        <v>49.416589154891206</v>
      </c>
      <c r="AP34" s="38">
        <f>[12]byGOVDetalhado!B34</f>
        <v>10.430009214969999</v>
      </c>
      <c r="AQ34" s="39">
        <f>[12]byGOVDetalhado!C34</f>
        <v>0.26841018740495959</v>
      </c>
      <c r="AR34" s="40">
        <f>[12]byGOVDetalhado!D34</f>
        <v>0.80767503800975171</v>
      </c>
      <c r="AS34" s="41">
        <f>[12]byGOVDetalhado!E34</f>
        <v>53.351031955464947</v>
      </c>
      <c r="AT34" s="38">
        <f>[13]byGOVDetalhado!B34</f>
        <v>11.845724687740001</v>
      </c>
      <c r="AU34" s="39">
        <f>[13]byGOVDetalhado!C34</f>
        <v>0.27067391940968594</v>
      </c>
      <c r="AV34" s="40">
        <f>[13]byGOVDetalhado!D34</f>
        <v>0.79416019028280638</v>
      </c>
      <c r="AW34" s="41">
        <f>[13]byGOVDetalhado!E34</f>
        <v>60.009643548617333</v>
      </c>
      <c r="AX34" s="38">
        <f>[14]byGOVDetalhado!B34</f>
        <v>13.600959551550002</v>
      </c>
      <c r="AY34" s="39">
        <f>[14]byGOVDetalhado!C34</f>
        <v>0.28248468358859014</v>
      </c>
      <c r="AZ34" s="40">
        <f>[14]byGOVDetalhado!D34</f>
        <v>0.83028307539873314</v>
      </c>
      <c r="BA34" s="41">
        <f>[14]byGOVDetalhado!E34</f>
        <v>68.263358196959047</v>
      </c>
      <c r="BB34" s="38">
        <f>[15]byGOVDetalhado!B34</f>
        <v>16.623531862460002</v>
      </c>
      <c r="BC34" s="39">
        <f>[15]byGOVDetalhado!C34</f>
        <v>0.31179144388336832</v>
      </c>
      <c r="BD34" s="40">
        <f>[15]byGOVDetalhado!D34</f>
        <v>0.92752508206191253</v>
      </c>
      <c r="BE34" s="41">
        <f>[15]byGOVDetalhado!E34</f>
        <v>82.690680196756446</v>
      </c>
      <c r="BF34" s="38">
        <f>[16]byGOVDetalhado!B34</f>
        <v>17.891342745549995</v>
      </c>
      <c r="BG34" s="39">
        <f>[16]byGOVDetalhado!C34</f>
        <v>0.3095948824216081</v>
      </c>
      <c r="BH34" s="40">
        <f>[16]byGOVDetalhado!D34</f>
        <v>0.94175803166891736</v>
      </c>
      <c r="BI34" s="41">
        <f>[16]byGOVDetalhado!E34</f>
        <v>88.23528938154621</v>
      </c>
      <c r="BJ34" s="38">
        <f>[17]byGOVDetalhado!B34</f>
        <v>18.606897887519999</v>
      </c>
      <c r="BK34" s="39">
        <f>[17]byGOVDetalhado!C34</f>
        <v>0.31033287018901767</v>
      </c>
      <c r="BL34" s="40">
        <f>[17]byGOVDetalhado!D34</f>
        <v>0.94497739895439814</v>
      </c>
      <c r="BM34" s="41">
        <f>[17]byGOVDetalhado!E34</f>
        <v>91.009238554777099</v>
      </c>
      <c r="BN34" s="38">
        <f>[18]byGOVDetalhado!B34</f>
        <v>20.88790148703</v>
      </c>
      <c r="BO34" s="39">
        <f>[18]byGOVDetalhado!C34</f>
        <v>0.33328894598198078</v>
      </c>
      <c r="BP34" s="40">
        <f>[18]byGOVDetalhado!D34</f>
        <v>1.0012624447551328</v>
      </c>
      <c r="BQ34" s="41">
        <f>[18]byGOVDetalhado!E34</f>
        <v>101.35751331070914</v>
      </c>
      <c r="BR34" s="38">
        <f>[19]byGOVDetalhado!B34</f>
        <v>23.096097037250004</v>
      </c>
      <c r="BS34" s="39">
        <f>[19]byGOVDetalhado!C34</f>
        <v>0.35240542271068781</v>
      </c>
      <c r="BT34" s="40">
        <f>[19]byGOVDetalhado!D34</f>
        <v>1.048200521527048</v>
      </c>
      <c r="BU34" s="41">
        <f>[19]byGOVDetalhado!E34</f>
        <v>111.22023362059602</v>
      </c>
      <c r="BV34" s="38">
        <f>[20]byGOVDetalhado!B34</f>
        <v>24.812432161820002</v>
      </c>
      <c r="BW34" s="39">
        <f>[20]byGOVDetalhado!C34</f>
        <v>0.36016545087038787</v>
      </c>
      <c r="BX34" s="40">
        <f>[20]byGOVDetalhado!D34</f>
        <v>1.0457028431092366</v>
      </c>
      <c r="BY34" s="41">
        <f>[20]byGOVDetalhado!E34</f>
        <v>119.00738177202417</v>
      </c>
      <c r="BZ34" s="38">
        <f>[21]byGOVDetalhado!B34</f>
        <v>28.59400080891</v>
      </c>
      <c r="CA34" s="39">
        <f>[21]byGOVDetalhado!C34</f>
        <v>0.38697379717466096</v>
      </c>
      <c r="CB34" s="40">
        <f>[21]byGOVDetalhado!D34</f>
        <v>1.1451689156615827</v>
      </c>
      <c r="CC34" s="41">
        <f>[21]byGOVDetalhado!E34</f>
        <v>136.06658101513403</v>
      </c>
      <c r="CD34" s="38">
        <f>[22]byGOVDetalhado!B34</f>
        <v>27.07793525137</v>
      </c>
      <c r="CE34" s="39">
        <f>[22]byGOVDetalhado!C34</f>
        <v>0.35583928099438117</v>
      </c>
      <c r="CF34" s="40">
        <f>[22]byGOVDetalhado!D34</f>
        <v>1.1045197599173198</v>
      </c>
      <c r="CG34" s="41">
        <f>[22]byGOVDetalhado!E34</f>
        <v>127.87347058122999</v>
      </c>
      <c r="CH34" s="38">
        <f>[23]byGOVDetalhado!B34</f>
        <v>33.855730825610003</v>
      </c>
      <c r="CI34" s="39">
        <f>[23]byGOVDetalhado!C34</f>
        <v>0.38045588796700919</v>
      </c>
      <c r="CJ34" s="40">
        <f>[23]byGOVDetalhado!D34</f>
        <v>1.1060474082821725</v>
      </c>
      <c r="CK34" s="41">
        <f>[23]byGOVDetalhado!E34</f>
        <v>158.71041412384093</v>
      </c>
      <c r="CL34" s="38">
        <f>[24]byGOVDetalhado!B34</f>
        <v>40.419466502489996</v>
      </c>
      <c r="CM34" s="39">
        <f>[24]byGOVDetalhado!C34</f>
        <v>0.40099966013282573</v>
      </c>
      <c r="CN34" s="40">
        <f>[24]byGOVDetalhado!D34</f>
        <v>1.1487709291627897</v>
      </c>
      <c r="CO34" s="41">
        <f>[24]byGOVDetalhado!E34</f>
        <v>199.03149514811733</v>
      </c>
      <c r="CP34" s="38">
        <f>[25]byGOVDetalhado!B34</f>
        <v>44.646973837119987</v>
      </c>
      <c r="CQ34" s="39">
        <f>[25]byGOVDetalhado!C34</f>
        <v>0.40798291488524885</v>
      </c>
      <c r="CR34" s="40">
        <f>[25]byGOVDetalhado!D34</f>
        <v>1.1798922073102656</v>
      </c>
      <c r="CS34" s="41">
        <f>[25]byGOVDetalhado!E34</f>
        <v>214.82216158778775</v>
      </c>
      <c r="CT34" s="38">
        <f>[26]byGOVDetalhado!B34</f>
        <v>48.769144086289991</v>
      </c>
      <c r="CU34" s="39">
        <f>[26]byGOVDetalhado!C34</f>
        <v>0.41524352869270736</v>
      </c>
      <c r="CV34" s="40">
        <f>[26]byGOVDetalhado!D34</f>
        <v>1.1550587392770504</v>
      </c>
      <c r="CW34" s="41">
        <f>[26]byGOVDetalhado!E34</f>
        <v>229.41143942700228</v>
      </c>
    </row>
    <row r="35" spans="1:102" x14ac:dyDescent="0.25">
      <c r="A35" s="37" t="s">
        <v>66</v>
      </c>
      <c r="B35" s="38">
        <f>[2]byGOVDetalhado!B35</f>
        <v>1.2783230000000001</v>
      </c>
      <c r="C35" s="39">
        <f>[2]byGOVDetalhado!C35</f>
        <v>0.10631630267389634</v>
      </c>
      <c r="D35" s="40">
        <f>[2]byGOVDetalhado!D35</f>
        <v>0.34789492113413367</v>
      </c>
      <c r="E35" s="41">
        <f>[2]byGOVDetalhado!E35</f>
        <v>7.3700501012560826</v>
      </c>
      <c r="F35" s="38">
        <f>[3]byGOVDetalhado!B35</f>
        <v>6.0712159247937985</v>
      </c>
      <c r="G35" s="39">
        <f>[3]byGOVDetalhado!C35</f>
        <v>0.46142449960621834</v>
      </c>
      <c r="H35" s="40">
        <f>[3]byGOVDetalhado!D35</f>
        <v>1.4398824578785256</v>
      </c>
      <c r="I35" s="41">
        <f>[3]byGOVDetalhado!E35</f>
        <v>35.003020004548205</v>
      </c>
      <c r="J35" s="38">
        <f>[4]byGOVDetalhado!B35</f>
        <v>8.5014750401422461</v>
      </c>
      <c r="K35" s="39">
        <f>[4]byGOVDetalhado!C35</f>
        <v>0.57103366970172664</v>
      </c>
      <c r="L35" s="40">
        <f>[4]byGOVDetalhado!D35</f>
        <v>1.7159970319727709</v>
      </c>
      <c r="M35" s="41">
        <f>[4]byGOVDetalhado!E35</f>
        <v>47.687119613357581</v>
      </c>
      <c r="N35" s="38">
        <f>[5]byGOVDetalhado!B35</f>
        <v>10.660093503424049</v>
      </c>
      <c r="O35" s="39">
        <f>[5]byGOVDetalhado!C35</f>
        <v>0.620512442354204</v>
      </c>
      <c r="P35" s="40">
        <f>[5]byGOVDetalhado!D35</f>
        <v>1.9035375887247734</v>
      </c>
      <c r="Q35" s="41">
        <f>[5]byGOVDetalhado!E35</f>
        <v>59.019743932209259</v>
      </c>
      <c r="R35" s="38">
        <f>[6]byGOVDetalhado!B35</f>
        <v>13.294473277585835</v>
      </c>
      <c r="S35" s="39">
        <f>[6]byGOVDetalhado!C35</f>
        <v>0.67906864956707136</v>
      </c>
      <c r="T35" s="40">
        <f>[6]byGOVDetalhado!D35</f>
        <v>2.0196602439558036</v>
      </c>
      <c r="U35" s="41">
        <f>[6]byGOVDetalhado!E35</f>
        <v>72.682549880455753</v>
      </c>
      <c r="V35" s="38">
        <f>[7]byGOVDetalhado!B35</f>
        <v>14.579521510949998</v>
      </c>
      <c r="W35" s="39">
        <f>[7]byGOVDetalhado!C35</f>
        <v>0.671686274020598</v>
      </c>
      <c r="X35" s="40">
        <f>[7]byGOVDetalhado!D35</f>
        <v>1.9331510457761083</v>
      </c>
      <c r="Y35" s="41">
        <f>[7]byGOVDetalhado!E35</f>
        <v>78.744034800204972</v>
      </c>
      <c r="Z35" s="38">
        <f>[8]byGOVDetalhado!B35</f>
        <v>15.420326062659997</v>
      </c>
      <c r="AA35" s="39">
        <f>[8]byGOVDetalhado!C35</f>
        <v>0.6399936111004586</v>
      </c>
      <c r="AB35" s="40">
        <f>[8]byGOVDetalhado!D35</f>
        <v>1.8589103306573076</v>
      </c>
      <c r="AC35" s="41">
        <f>[8]byGOVDetalhado!E35</f>
        <v>82.314115278117839</v>
      </c>
      <c r="AD35" s="38">
        <f>[9]byGOVDetalhado!B35</f>
        <v>16.572447136329995</v>
      </c>
      <c r="AE35" s="39">
        <f>[9]byGOVDetalhado!C35</f>
        <v>0.60922223830306099</v>
      </c>
      <c r="AF35" s="40">
        <f>[9]byGOVDetalhado!D35</f>
        <v>1.7614906488057822</v>
      </c>
      <c r="AG35" s="41">
        <f>[9]byGOVDetalhado!E35</f>
        <v>87.470738701809722</v>
      </c>
      <c r="AH35" s="38">
        <f>[10]byGOVDetalhado!B35</f>
        <v>16.28600636481</v>
      </c>
      <c r="AI35" s="39">
        <f>[10]byGOVDetalhado!C35</f>
        <v>0.52369897272624666</v>
      </c>
      <c r="AJ35" s="40">
        <f>[10]byGOVDetalhado!D35</f>
        <v>1.5067276349770473</v>
      </c>
      <c r="AK35" s="41">
        <f>[10]byGOVDetalhado!E35</f>
        <v>85.030016063284194</v>
      </c>
      <c r="AL35" s="38">
        <f>[11]byGOVDetalhado!B35</f>
        <v>15.751856558679998</v>
      </c>
      <c r="AM35" s="39">
        <f>[11]byGOVDetalhado!C35</f>
        <v>0.47259742711321401</v>
      </c>
      <c r="AN35" s="40">
        <f>[11]byGOVDetalhado!D35</f>
        <v>1.4250249671366735</v>
      </c>
      <c r="AO35" s="41">
        <f>[11]byGOVDetalhado!E35</f>
        <v>81.386450014776742</v>
      </c>
      <c r="AP35" s="38">
        <f>[12]byGOVDetalhado!B35</f>
        <v>17.531526478209997</v>
      </c>
      <c r="AQ35" s="39">
        <f>[12]byGOVDetalhado!C35</f>
        <v>0.45116358102133192</v>
      </c>
      <c r="AR35" s="40">
        <f>[12]byGOVDetalhado!D35</f>
        <v>1.3575995977389894</v>
      </c>
      <c r="AS35" s="41">
        <f>[12]byGOVDetalhado!E35</f>
        <v>89.676337775867623</v>
      </c>
      <c r="AT35" s="38">
        <f>[13]byGOVDetalhado!B35</f>
        <v>19.363597954519999</v>
      </c>
      <c r="AU35" s="39">
        <f>[13]byGOVDetalhado!C35</f>
        <v>0.44245675890541553</v>
      </c>
      <c r="AV35" s="40">
        <f>[13]byGOVDetalhado!D35</f>
        <v>1.2981728886572015</v>
      </c>
      <c r="AW35" s="41">
        <f>[13]byGOVDetalhado!E35</f>
        <v>98.094683246532128</v>
      </c>
      <c r="AX35" s="38">
        <f>[14]byGOVDetalhado!B35</f>
        <v>22.362687631592149</v>
      </c>
      <c r="AY35" s="39">
        <f>[14]byGOVDetalhado!C35</f>
        <v>0.46446110775183286</v>
      </c>
      <c r="AZ35" s="40">
        <f>[14]byGOVDetalhado!D35</f>
        <v>1.3651508182614625</v>
      </c>
      <c r="BA35" s="41">
        <f>[14]byGOVDetalhado!E35</f>
        <v>112.23856304080476</v>
      </c>
      <c r="BB35" s="38">
        <f>[15]byGOVDetalhado!B35</f>
        <v>23.317189283904241</v>
      </c>
      <c r="BC35" s="39">
        <f>[15]byGOVDetalhado!C35</f>
        <v>0.43733787586667844</v>
      </c>
      <c r="BD35" s="40">
        <f>[15]byGOVDetalhado!D35</f>
        <v>1.3010037868574793</v>
      </c>
      <c r="BE35" s="41">
        <f>[15]byGOVDetalhado!E35</f>
        <v>115.98703922339844</v>
      </c>
      <c r="BF35" s="38">
        <f>[16]byGOVDetalhado!B35</f>
        <v>26.566038190908614</v>
      </c>
      <c r="BG35" s="39">
        <f>[16]byGOVDetalhado!C35</f>
        <v>0.45970330942142307</v>
      </c>
      <c r="BH35" s="40">
        <f>[16]byGOVDetalhado!D35</f>
        <v>1.3983735145946019</v>
      </c>
      <c r="BI35" s="41">
        <f>[16]byGOVDetalhado!E35</f>
        <v>131.01655369488992</v>
      </c>
      <c r="BJ35" s="38">
        <f>[17]byGOVDetalhado!B35</f>
        <v>28.451411263269289</v>
      </c>
      <c r="BK35" s="39">
        <f>[17]byGOVDetalhado!C35</f>
        <v>0.47452338222270551</v>
      </c>
      <c r="BL35" s="40">
        <f>[17]byGOVDetalhado!D35</f>
        <v>1.4449448142658425</v>
      </c>
      <c r="BM35" s="41">
        <f>[17]byGOVDetalhado!E35</f>
        <v>139.16028832595828</v>
      </c>
      <c r="BN35" s="38">
        <f>[18]byGOVDetalhado!B35</f>
        <v>31.774143399399993</v>
      </c>
      <c r="BO35" s="39">
        <f>[18]byGOVDetalhado!C35</f>
        <v>0.50699065052762748</v>
      </c>
      <c r="BP35" s="40">
        <f>[18]byGOVDetalhado!D35</f>
        <v>1.5230949130930145</v>
      </c>
      <c r="BQ35" s="41">
        <f>[18]byGOVDetalhado!E35</f>
        <v>154.18246608166035</v>
      </c>
      <c r="BR35" s="38">
        <f>[19]byGOVDetalhado!B35</f>
        <v>32.842180946660001</v>
      </c>
      <c r="BS35" s="39">
        <f>[19]byGOVDetalhado!C35</f>
        <v>0.50111335437247861</v>
      </c>
      <c r="BT35" s="40">
        <f>[19]byGOVDetalhado!D35</f>
        <v>1.4905198545387484</v>
      </c>
      <c r="BU35" s="41">
        <f>[19]byGOVDetalhado!E35</f>
        <v>158.15291352500884</v>
      </c>
      <c r="BV35" s="38">
        <f>[20]byGOVDetalhado!B35</f>
        <v>34.886256256289997</v>
      </c>
      <c r="BW35" s="39">
        <f>[20]byGOVDetalhado!C35</f>
        <v>0.50639228479425857</v>
      </c>
      <c r="BX35" s="40">
        <f>[20]byGOVDetalhado!D35</f>
        <v>1.4702572127844142</v>
      </c>
      <c r="BY35" s="41">
        <f>[20]byGOVDetalhado!E35</f>
        <v>167.32426671486925</v>
      </c>
      <c r="BZ35" s="38">
        <f>[21]byGOVDetalhado!B35</f>
        <v>35.719831834100006</v>
      </c>
      <c r="CA35" s="39">
        <f>[21]byGOVDetalhado!C35</f>
        <v>0.48341045562867957</v>
      </c>
      <c r="CB35" s="40">
        <f>[21]byGOVDetalhado!D35</f>
        <v>1.4305532605400277</v>
      </c>
      <c r="CC35" s="41">
        <f>[21]byGOVDetalhado!E35</f>
        <v>169.97535338206509</v>
      </c>
      <c r="CD35" s="38">
        <f>[22]byGOVDetalhado!B35</f>
        <v>39.087140695929996</v>
      </c>
      <c r="CE35" s="39">
        <f>[22]byGOVDetalhado!C35</f>
        <v>0.51365585714893969</v>
      </c>
      <c r="CF35" s="40">
        <f>[22]byGOVDetalhado!D35</f>
        <v>1.594380031436806</v>
      </c>
      <c r="CG35" s="41">
        <f>[22]byGOVDetalhado!E35</f>
        <v>184.58602140399603</v>
      </c>
      <c r="CH35" s="38">
        <f>[23]byGOVDetalhado!B35</f>
        <v>45.566981429240002</v>
      </c>
      <c r="CI35" s="39">
        <f>[23]byGOVDetalhado!C35</f>
        <v>0.5120617974822691</v>
      </c>
      <c r="CJ35" s="40">
        <f>[23]byGOVDetalhado!D35</f>
        <v>1.488647283163314</v>
      </c>
      <c r="CK35" s="41">
        <f>[23]byGOVDetalhado!E35</f>
        <v>213.6109402056527</v>
      </c>
      <c r="CL35" s="38">
        <f>[24]byGOVDetalhado!B35</f>
        <v>51.230819876709994</v>
      </c>
      <c r="CM35" s="39">
        <f>[24]byGOVDetalhado!C35</f>
        <v>0.50825859756513991</v>
      </c>
      <c r="CN35" s="40">
        <f>[24]byGOVDetalhado!D35</f>
        <v>1.4560428833941712</v>
      </c>
      <c r="CO35" s="41">
        <f>[24]byGOVDetalhado!E35</f>
        <v>252.268215294166</v>
      </c>
      <c r="CP35" s="38">
        <f>[25]byGOVDetalhado!B35</f>
        <v>51.947868895259994</v>
      </c>
      <c r="CQ35" s="39">
        <f>[25]byGOVDetalhado!C35</f>
        <v>0.47469830880999447</v>
      </c>
      <c r="CR35" s="40">
        <f>[25]byGOVDetalhado!D35</f>
        <v>1.3728340451359555</v>
      </c>
      <c r="CS35" s="41">
        <f>[25]byGOVDetalhado!E35</f>
        <v>249.9509491207796</v>
      </c>
      <c r="CT35" s="38">
        <f>[26]byGOVDetalhado!B35</f>
        <v>55.326540070180009</v>
      </c>
      <c r="CU35" s="39">
        <f>[26]byGOVDetalhado!C35</f>
        <v>0.47107629546359991</v>
      </c>
      <c r="CV35" s="40">
        <f>[26]byGOVDetalhado!D35</f>
        <v>1.3103654948086008</v>
      </c>
      <c r="CW35" s="41">
        <f>[26]byGOVDetalhado!E35</f>
        <v>260.2576164461301</v>
      </c>
    </row>
    <row r="36" spans="1:102" x14ac:dyDescent="0.25">
      <c r="A36" s="37" t="s">
        <v>90</v>
      </c>
      <c r="B36" s="38">
        <f>[2]byGOVDetalhado!B36</f>
        <v>3.1446519999999998</v>
      </c>
      <c r="C36" s="39">
        <f>[2]byGOVDetalhado!C36</f>
        <v>0.2615362266313549</v>
      </c>
      <c r="D36" s="40">
        <f>[2]byGOVDetalhado!D36</f>
        <v>0.85581536085503873</v>
      </c>
      <c r="E36" s="41">
        <f>[2]byGOVDetalhado!E36</f>
        <v>18.130193066240022</v>
      </c>
      <c r="F36" s="38">
        <f>[3]byGOVDetalhado!B36</f>
        <v>3.65721124931</v>
      </c>
      <c r="G36" s="39">
        <f>[3]byGOVDetalhado!C36</f>
        <v>0.2779553373773993</v>
      </c>
      <c r="H36" s="40">
        <f>[3]byGOVDetalhado!D36</f>
        <v>0.86736403182964184</v>
      </c>
      <c r="I36" s="41">
        <f>[3]byGOVDetalhado!E36</f>
        <v>21.085304839459237</v>
      </c>
      <c r="J36" s="38">
        <f>[4]byGOVDetalhado!B36</f>
        <v>0.62893244310000007</v>
      </c>
      <c r="K36" s="39">
        <f>[4]byGOVDetalhado!C36</f>
        <v>4.2244622172278506E-2</v>
      </c>
      <c r="L36" s="40">
        <f>[4]byGOVDetalhado!D36</f>
        <v>0.12694811201291559</v>
      </c>
      <c r="M36" s="41">
        <f>[4]byGOVDetalhado!E36</f>
        <v>3.5278556369588645</v>
      </c>
      <c r="N36" s="38">
        <f>[5]byGOVDetalhado!B36</f>
        <v>0.71515254903999992</v>
      </c>
      <c r="O36" s="39">
        <f>[5]byGOVDetalhado!C36</f>
        <v>4.1628251639453995E-2</v>
      </c>
      <c r="P36" s="40">
        <f>[5]byGOVDetalhado!D36</f>
        <v>0.12770242196587839</v>
      </c>
      <c r="Q36" s="41">
        <f>[5]byGOVDetalhado!E36</f>
        <v>3.9594512283827688</v>
      </c>
      <c r="R36" s="38">
        <f>[6]byGOVDetalhado!B36</f>
        <v>0.75314870635999998</v>
      </c>
      <c r="S36" s="39">
        <f>[6]byGOVDetalhado!C36</f>
        <v>3.8470096879531665E-2</v>
      </c>
      <c r="T36" s="40">
        <f>[6]byGOVDetalhado!D36</f>
        <v>0.11441630429891354</v>
      </c>
      <c r="U36" s="41">
        <f>[6]byGOVDetalhado!E36</f>
        <v>4.1175582721056774</v>
      </c>
      <c r="V36" s="38">
        <f>[7]byGOVDetalhado!B36</f>
        <v>0.6854138864299999</v>
      </c>
      <c r="W36" s="39">
        <f>[7]byGOVDetalhado!C36</f>
        <v>3.1577380587721735E-2</v>
      </c>
      <c r="X36" s="40">
        <f>[7]byGOVDetalhado!D36</f>
        <v>9.0881485400358911E-2</v>
      </c>
      <c r="Y36" s="41">
        <f>[7]byGOVDetalhado!E36</f>
        <v>3.7019222397011871</v>
      </c>
      <c r="Z36" s="38">
        <f>[8]byGOVDetalhado!B36</f>
        <v>0.41328211130000003</v>
      </c>
      <c r="AA36" s="39">
        <f>[8]byGOVDetalhado!C36</f>
        <v>1.715254980597232E-2</v>
      </c>
      <c r="AB36" s="40">
        <f>[8]byGOVDetalhado!D36</f>
        <v>4.9820891143913325E-2</v>
      </c>
      <c r="AC36" s="41">
        <f>[8]byGOVDetalhado!E36</f>
        <v>2.2061110260377901</v>
      </c>
      <c r="AD36" s="38">
        <f>[9]byGOVDetalhado!B36</f>
        <v>0.44353370387000007</v>
      </c>
      <c r="AE36" s="39">
        <f>[9]byGOVDetalhado!C36</f>
        <v>1.6304809640464914E-2</v>
      </c>
      <c r="AF36" s="40">
        <f>[9]byGOVDetalhado!D36</f>
        <v>4.7143337696005136E-2</v>
      </c>
      <c r="AG36" s="41">
        <f>[9]byGOVDetalhado!E36</f>
        <v>2.3410073598370302</v>
      </c>
      <c r="AH36" s="38">
        <f>[10]byGOVDetalhado!B36</f>
        <v>0.51816196412999993</v>
      </c>
      <c r="AI36" s="39">
        <f>[10]byGOVDetalhado!C36</f>
        <v>1.6662211854898846E-2</v>
      </c>
      <c r="AJ36" s="40">
        <f>[10]byGOVDetalhado!D36</f>
        <v>4.7938637211613587E-2</v>
      </c>
      <c r="AK36" s="41">
        <f>[10]byGOVDetalhado!E36</f>
        <v>2.7053483307336776</v>
      </c>
      <c r="AL36" s="38">
        <f>[11]byGOVDetalhado!B36</f>
        <v>0.66908342667999998</v>
      </c>
      <c r="AM36" s="39">
        <f>[11]byGOVDetalhado!C36</f>
        <v>2.0074275358914189E-2</v>
      </c>
      <c r="AN36" s="40">
        <f>[11]byGOVDetalhado!D36</f>
        <v>6.053004511337802E-2</v>
      </c>
      <c r="AO36" s="41">
        <f>[11]byGOVDetalhado!E36</f>
        <v>3.4570099504366367</v>
      </c>
      <c r="AP36" s="38">
        <f>[12]byGOVDetalhado!B36</f>
        <v>0.68646705582000001</v>
      </c>
      <c r="AQ36" s="39">
        <f>[12]byGOVDetalhado!C36</f>
        <v>1.7665828217631831E-2</v>
      </c>
      <c r="AR36" s="40">
        <f>[12]byGOVDetalhado!D36</f>
        <v>5.3158371577091225E-2</v>
      </c>
      <c r="AS36" s="41">
        <f>[12]byGOVDetalhado!E36</f>
        <v>3.511380007110771</v>
      </c>
      <c r="AT36" s="38">
        <f>[13]byGOVDetalhado!B36</f>
        <v>0.68648113772000008</v>
      </c>
      <c r="AU36" s="39">
        <f>[13]byGOVDetalhado!C36</f>
        <v>1.5686042436880515E-2</v>
      </c>
      <c r="AV36" s="40">
        <f>[13]byGOVDetalhado!D36</f>
        <v>4.6023017192144848E-2</v>
      </c>
      <c r="AW36" s="41">
        <f>[13]byGOVDetalhado!E36</f>
        <v>3.4776672144054377</v>
      </c>
      <c r="AX36" s="38">
        <f>[14]byGOVDetalhado!B36</f>
        <v>0.98555356703999997</v>
      </c>
      <c r="AY36" s="39">
        <f>[14]byGOVDetalhado!C36</f>
        <v>2.0469422505794681E-2</v>
      </c>
      <c r="AZ36" s="40">
        <f>[14]byGOVDetalhado!D36</f>
        <v>6.0164023244882618E-2</v>
      </c>
      <c r="BA36" s="41">
        <f>[14]byGOVDetalhado!E36</f>
        <v>4.9465036576390027</v>
      </c>
      <c r="BB36" s="38">
        <f>[15]byGOVDetalhado!B36</f>
        <v>0.92818633142000007</v>
      </c>
      <c r="BC36" s="39">
        <f>[15]byGOVDetalhado!C36</f>
        <v>1.7409089648378853E-2</v>
      </c>
      <c r="BD36" s="40">
        <f>[15]byGOVDetalhado!D36</f>
        <v>5.1789000697453479E-2</v>
      </c>
      <c r="BE36" s="41">
        <f>[15]byGOVDetalhado!E36</f>
        <v>4.6170909846046255</v>
      </c>
      <c r="BF36" s="38">
        <f>[16]byGOVDetalhado!B36</f>
        <v>1.0049558441499999</v>
      </c>
      <c r="BG36" s="39">
        <f>[16]byGOVDetalhado!C36</f>
        <v>1.7389929354850262E-2</v>
      </c>
      <c r="BH36" s="40">
        <f>[16]byGOVDetalhado!D36</f>
        <v>5.28985024299687E-2</v>
      </c>
      <c r="BI36" s="41">
        <f>[16]byGOVDetalhado!E36</f>
        <v>4.9561718751548867</v>
      </c>
      <c r="BJ36" s="38">
        <f>[17]byGOVDetalhado!B36</f>
        <v>1.0705586921300001</v>
      </c>
      <c r="BK36" s="39">
        <f>[17]byGOVDetalhado!C36</f>
        <v>1.7855182182589208E-2</v>
      </c>
      <c r="BL36" s="40">
        <f>[17]byGOVDetalhado!D36</f>
        <v>5.4369824267997163E-2</v>
      </c>
      <c r="BM36" s="41">
        <f>[17]byGOVDetalhado!E36</f>
        <v>5.236269473177364</v>
      </c>
      <c r="BN36" s="38">
        <f>[18]byGOVDetalhado!B36</f>
        <v>1.0451031018399999</v>
      </c>
      <c r="BO36" s="39">
        <f>[18]byGOVDetalhado!C36</f>
        <v>1.6675744639596118E-2</v>
      </c>
      <c r="BP36" s="40">
        <f>[18]byGOVDetalhado!D36</f>
        <v>5.0097061565483235E-2</v>
      </c>
      <c r="BQ36" s="41">
        <f>[18]byGOVDetalhado!E36</f>
        <v>5.0713113340555589</v>
      </c>
      <c r="BR36" s="38">
        <f>[19]byGOVDetalhado!B36</f>
        <v>1.7578071930200003</v>
      </c>
      <c r="BS36" s="39">
        <f>[19]byGOVDetalhado!C36</f>
        <v>2.6821015944859333E-2</v>
      </c>
      <c r="BT36" s="40">
        <f>[19]byGOVDetalhado!D36</f>
        <v>7.977687370709742E-2</v>
      </c>
      <c r="BU36" s="41">
        <f>[19]byGOVDetalhado!E36</f>
        <v>8.4647949977147618</v>
      </c>
      <c r="BV36" s="38">
        <f>[20]byGOVDetalhado!B36</f>
        <v>3.3395058177699992</v>
      </c>
      <c r="BW36" s="39">
        <f>[20]byGOVDetalhado!C36</f>
        <v>4.8474676351646741E-2</v>
      </c>
      <c r="BX36" s="40">
        <f>[20]byGOVDetalhado!D36</f>
        <v>0.14074116980742507</v>
      </c>
      <c r="BY36" s="41">
        <f>[20]byGOVDetalhado!E36</f>
        <v>16.017206261496082</v>
      </c>
      <c r="BZ36" s="38">
        <f>[21]byGOVDetalhado!B36</f>
        <v>4.0692327046400001</v>
      </c>
      <c r="CA36" s="39">
        <f>[21]byGOVDetalhado!C36</f>
        <v>5.5070517827333153E-2</v>
      </c>
      <c r="CB36" s="40">
        <f>[21]byGOVDetalhado!D36</f>
        <v>0.16296980737634933</v>
      </c>
      <c r="CC36" s="41">
        <f>[21]byGOVDetalhado!E36</f>
        <v>19.363732454774244</v>
      </c>
      <c r="CD36" s="38">
        <f>[22]byGOVDetalhado!B36</f>
        <v>0</v>
      </c>
      <c r="CE36" s="39">
        <f>[22]byGOVDetalhado!C36</f>
        <v>0</v>
      </c>
      <c r="CF36" s="40">
        <f>[22]byGOVDetalhado!D36</f>
        <v>0</v>
      </c>
      <c r="CG36" s="41">
        <f>[22]byGOVDetalhado!E36</f>
        <v>0</v>
      </c>
      <c r="CH36" s="38">
        <f>[23]byGOVDetalhado!B36</f>
        <v>5.8917651821999995</v>
      </c>
      <c r="CI36" s="39">
        <f>[23]byGOVDetalhado!C36</f>
        <v>6.6209078918816125E-2</v>
      </c>
      <c r="CJ36" s="40">
        <f>[23]byGOVDetalhado!D36</f>
        <v>0.19248060671164191</v>
      </c>
      <c r="CK36" s="41">
        <f>[23]byGOVDetalhado!E36</f>
        <v>27.619681193827574</v>
      </c>
      <c r="CL36" s="38">
        <f>[24]byGOVDetalhado!B36</f>
        <v>6.4620510753899998</v>
      </c>
      <c r="CM36" s="39">
        <f>[24]byGOVDetalhado!C36</f>
        <v>6.4109710226697758E-2</v>
      </c>
      <c r="CN36" s="40">
        <f>[24]byGOVDetalhado!D36</f>
        <v>0.18365943592342718</v>
      </c>
      <c r="CO36" s="41">
        <f>[24]byGOVDetalhado!E36</f>
        <v>31.820105472672157</v>
      </c>
      <c r="CP36" s="38">
        <f>[25]byGOVDetalhado!B36</f>
        <v>6.8995217586500006</v>
      </c>
      <c r="CQ36" s="39">
        <f>[25]byGOVDetalhado!C36</f>
        <v>6.3047654890954735E-2</v>
      </c>
      <c r="CR36" s="40">
        <f>[25]byGOVDetalhado!D36</f>
        <v>0.18233468603935918</v>
      </c>
      <c r="CS36" s="41">
        <f>[25]byGOVDetalhado!E36</f>
        <v>33.197550712448852</v>
      </c>
      <c r="CT36" s="38">
        <f>[26]byGOVDetalhado!B36</f>
        <v>7.7713305148200007</v>
      </c>
      <c r="CU36" s="39">
        <f>[26]byGOVDetalhado!C36</f>
        <v>6.6168778765144376E-2</v>
      </c>
      <c r="CV36" s="40">
        <f>[26]byGOVDetalhado!D36</f>
        <v>0.18405783810909029</v>
      </c>
      <c r="CW36" s="41">
        <f>[26]byGOVDetalhado!E36</f>
        <v>36.556559543332924</v>
      </c>
    </row>
    <row r="37" spans="1:102" s="9" customFormat="1" x14ac:dyDescent="0.25">
      <c r="A37" s="37" t="s">
        <v>91</v>
      </c>
      <c r="B37" s="38">
        <f>[2]byGOVDetalhado!B37</f>
        <v>2.2214229479999998</v>
      </c>
      <c r="C37" s="39">
        <f>[2]byGOVDetalhado!C37</f>
        <v>0.18475258170768036</v>
      </c>
      <c r="D37" s="40">
        <f>[2]byGOVDetalhado!D37</f>
        <v>0.60455906785688329</v>
      </c>
      <c r="E37" s="41">
        <f>[2]byGOVDetalhado!E37</f>
        <v>12.807403467543011</v>
      </c>
      <c r="F37" s="38">
        <f>[3]byGOVDetalhado!B37</f>
        <v>0.76980937068469701</v>
      </c>
      <c r="G37" s="39">
        <f>[3]byGOVDetalhado!C37</f>
        <v>5.8507045056617447E-2</v>
      </c>
      <c r="H37" s="40">
        <f>[3]byGOVDetalhado!D37</f>
        <v>0.18257216058363945</v>
      </c>
      <c r="I37" s="41">
        <f>[3]byGOVDetalhado!E37</f>
        <v>4.4382629666857536</v>
      </c>
      <c r="J37" s="38">
        <f>[4]byGOVDetalhado!B37</f>
        <v>2.9684745945899995</v>
      </c>
      <c r="K37" s="39">
        <f>[4]byGOVDetalhado!C37</f>
        <v>0.19938880407942838</v>
      </c>
      <c r="L37" s="40">
        <f>[4]byGOVDetalhado!D37</f>
        <v>0.59917762150105469</v>
      </c>
      <c r="M37" s="41">
        <f>[4]byGOVDetalhado!E37</f>
        <v>16.650993197417883</v>
      </c>
      <c r="N37" s="38">
        <f>[5]byGOVDetalhado!B37</f>
        <v>3.3196599449899997</v>
      </c>
      <c r="O37" s="39">
        <f>[5]byGOVDetalhado!C37</f>
        <v>0.19323379289210976</v>
      </c>
      <c r="P37" s="40">
        <f>[5]byGOVDetalhado!D37</f>
        <v>0.59278068105526172</v>
      </c>
      <c r="Q37" s="41">
        <f>[5]byGOVDetalhado!E37</f>
        <v>18.379339715208868</v>
      </c>
      <c r="R37" s="38">
        <f>[6]byGOVDetalhado!B37</f>
        <v>3.6220456250850006</v>
      </c>
      <c r="S37" s="39">
        <f>[6]byGOVDetalhado!C37</f>
        <v>0.18501053632893052</v>
      </c>
      <c r="T37" s="40">
        <f>[6]byGOVDetalhado!D37</f>
        <v>0.55025132609891714</v>
      </c>
      <c r="U37" s="41">
        <f>[6]byGOVDetalhado!E37</f>
        <v>19.802176913498059</v>
      </c>
      <c r="V37" s="38">
        <f>[7]byGOVDetalhado!B37</f>
        <v>4.360498237999999</v>
      </c>
      <c r="W37" s="39">
        <f>[7]byGOVDetalhado!C37</f>
        <v>0.20089046215651538</v>
      </c>
      <c r="X37" s="40">
        <f>[7]byGOVDetalhado!D37</f>
        <v>0.5781741000597016</v>
      </c>
      <c r="Y37" s="41">
        <f>[7]byGOVDetalhado!E37</f>
        <v>23.551062683464629</v>
      </c>
      <c r="Z37" s="38">
        <f>[8]byGOVDetalhado!B37</f>
        <v>6.0895492308400003</v>
      </c>
      <c r="AA37" s="39">
        <f>[8]byGOVDetalhado!C37</f>
        <v>0.25273606967731227</v>
      </c>
      <c r="AB37" s="40">
        <f>[8]byGOVDetalhado!D37</f>
        <v>0.73409122013740713</v>
      </c>
      <c r="AC37" s="41">
        <f>[8]byGOVDetalhado!E37</f>
        <v>32.50617758290587</v>
      </c>
      <c r="AD37" s="38">
        <f>[9]byGOVDetalhado!B37</f>
        <v>4.5147407168800004</v>
      </c>
      <c r="AE37" s="39">
        <f>[9]byGOVDetalhado!C37</f>
        <v>0.165967067040209</v>
      </c>
      <c r="AF37" s="40">
        <f>[9]byGOVDetalhado!D37</f>
        <v>0.47987321903311692</v>
      </c>
      <c r="AG37" s="41">
        <f>[9]byGOVDetalhado!E37</f>
        <v>23.829172740995983</v>
      </c>
      <c r="AH37" s="38">
        <f>[10]byGOVDetalhado!B37</f>
        <v>5.677815346660001</v>
      </c>
      <c r="AI37" s="39">
        <f>[10]byGOVDetalhado!C37</f>
        <v>0.18257797508909732</v>
      </c>
      <c r="AJ37" s="40">
        <f>[10]byGOVDetalhado!D37</f>
        <v>0.52529276346068843</v>
      </c>
      <c r="AK37" s="41">
        <f>[10]byGOVDetalhado!E37</f>
        <v>29.644144753255091</v>
      </c>
      <c r="AL37" s="38">
        <f>[11]byGOVDetalhado!B37</f>
        <v>6.1047670831999996</v>
      </c>
      <c r="AM37" s="39">
        <f>[11]byGOVDetalhado!C37</f>
        <v>0.18315918545207538</v>
      </c>
      <c r="AN37" s="40">
        <f>[11]byGOVDetalhado!D37</f>
        <v>0.55228064575793323</v>
      </c>
      <c r="AO37" s="41">
        <f>[11]byGOVDetalhado!E37</f>
        <v>31.542016600889276</v>
      </c>
      <c r="AP37" s="38">
        <f>[12]byGOVDetalhado!B37</f>
        <v>8.5750300400800015</v>
      </c>
      <c r="AQ37" s="39">
        <f>[12]byGOVDetalhado!C37</f>
        <v>0.22067338317952306</v>
      </c>
      <c r="AR37" s="40">
        <f>[12]byGOVDetalhado!D37</f>
        <v>0.66402987483614595</v>
      </c>
      <c r="AS37" s="41">
        <f>[12]byGOVDetalhado!E37</f>
        <v>43.862540507707109</v>
      </c>
      <c r="AT37" s="38">
        <f>[13]byGOVDetalhado!B37</f>
        <v>8.8579054610099988</v>
      </c>
      <c r="AU37" s="39">
        <f>[13]byGOVDetalhado!C37</f>
        <v>0.20240247448714485</v>
      </c>
      <c r="AV37" s="40">
        <f>[13]byGOVDetalhado!D37</f>
        <v>0.59385103671229367</v>
      </c>
      <c r="AW37" s="41">
        <f>[13]byGOVDetalhado!E37</f>
        <v>44.873552552906339</v>
      </c>
      <c r="AX37" s="38">
        <f>[14]byGOVDetalhado!B37</f>
        <v>10.67331812208</v>
      </c>
      <c r="AY37" s="39">
        <f>[14]byGOVDetalhado!C37</f>
        <v>0.22167913088253616</v>
      </c>
      <c r="AZ37" s="40">
        <f>[14]byGOVDetalhado!D37</f>
        <v>0.65156251377129404</v>
      </c>
      <c r="BA37" s="41">
        <f>[14]byGOVDetalhado!E37</f>
        <v>53.569495251870556</v>
      </c>
      <c r="BB37" s="38">
        <f>[15]byGOVDetalhado!B37</f>
        <v>13.454940977179998</v>
      </c>
      <c r="BC37" s="39">
        <f>[15]byGOVDetalhado!C37</f>
        <v>0.25236126169518114</v>
      </c>
      <c r="BD37" s="40">
        <f>[15]byGOVDetalhado!D37</f>
        <v>0.75073067127085635</v>
      </c>
      <c r="BE37" s="41">
        <f>[15]byGOVDetalhado!E37</f>
        <v>66.929111732431764</v>
      </c>
      <c r="BF37" s="38">
        <f>[16]byGOVDetalhado!B37</f>
        <v>12.16055527058</v>
      </c>
      <c r="BG37" s="39">
        <f>[16]byGOVDetalhado!C37</f>
        <v>0.21042834697876933</v>
      </c>
      <c r="BH37" s="40">
        <f>[16]byGOVDetalhado!D37</f>
        <v>0.64010291225743587</v>
      </c>
      <c r="BI37" s="41">
        <f>[16]byGOVDetalhado!E37</f>
        <v>59.972587222766812</v>
      </c>
      <c r="BJ37" s="38">
        <f>[17]byGOVDetalhado!B37</f>
        <v>13.227216725820002</v>
      </c>
      <c r="BK37" s="39">
        <f>[17]byGOVDetalhado!C37</f>
        <v>0.22060851604334847</v>
      </c>
      <c r="BL37" s="40">
        <f>[17]byGOVDetalhado!D37</f>
        <v>0.67176274801589031</v>
      </c>
      <c r="BM37" s="41">
        <f>[17]byGOVDetalhado!E37</f>
        <v>64.696379251014264</v>
      </c>
      <c r="BN37" s="38">
        <f>[18]byGOVDetalhado!B37</f>
        <v>13.697792290259999</v>
      </c>
      <c r="BO37" s="39">
        <f>[18]byGOVDetalhado!C37</f>
        <v>0.21856301637268924</v>
      </c>
      <c r="BP37" s="40">
        <f>[18]byGOVDetalhado!D37</f>
        <v>0.65660425509043563</v>
      </c>
      <c r="BQ37" s="41">
        <f>[18]byGOVDetalhado!E37</f>
        <v>66.467862520772854</v>
      </c>
      <c r="BR37" s="38">
        <f>[19]byGOVDetalhado!B37</f>
        <v>11.456292919460001</v>
      </c>
      <c r="BS37" s="39">
        <f>[19]byGOVDetalhado!C37</f>
        <v>0.17480268386768383</v>
      </c>
      <c r="BT37" s="40">
        <f>[19]byGOVDetalhado!D37</f>
        <v>0.51993599583414385</v>
      </c>
      <c r="BU37" s="41">
        <f>[19]byGOVDetalhado!E37</f>
        <v>55.168263835803224</v>
      </c>
      <c r="BV37" s="38">
        <f>[20]byGOVDetalhado!B37</f>
        <v>0</v>
      </c>
      <c r="BW37" s="39">
        <f>[20]byGOVDetalhado!C37</f>
        <v>0</v>
      </c>
      <c r="BX37" s="40">
        <f>[20]byGOVDetalhado!D37</f>
        <v>0</v>
      </c>
      <c r="BY37" s="41">
        <f>[20]byGOVDetalhado!E37</f>
        <v>0</v>
      </c>
      <c r="BZ37" s="38">
        <f>[21]byGOVDetalhado!B37</f>
        <v>0</v>
      </c>
      <c r="CA37" s="39">
        <f>[21]byGOVDetalhado!C37</f>
        <v>0</v>
      </c>
      <c r="CB37" s="40">
        <f>[21]byGOVDetalhado!D37</f>
        <v>0</v>
      </c>
      <c r="CC37" s="41">
        <f>[21]byGOVDetalhado!E37</f>
        <v>0</v>
      </c>
      <c r="CD37" s="38">
        <f>[22]byGOVDetalhado!B37</f>
        <v>0</v>
      </c>
      <c r="CE37" s="39">
        <f>[22]byGOVDetalhado!C37</f>
        <v>0</v>
      </c>
      <c r="CF37" s="40">
        <f>[22]byGOVDetalhado!D37</f>
        <v>0</v>
      </c>
      <c r="CG37" s="41">
        <f>[22]byGOVDetalhado!E37</f>
        <v>0</v>
      </c>
      <c r="CH37" s="38">
        <f>[23]byGOVDetalhado!B37</f>
        <v>0</v>
      </c>
      <c r="CI37" s="39">
        <f>[23]byGOVDetalhado!C37</f>
        <v>0</v>
      </c>
      <c r="CJ37" s="40">
        <f>[23]byGOVDetalhado!D37</f>
        <v>0</v>
      </c>
      <c r="CK37" s="41">
        <f>[23]byGOVDetalhado!E37</f>
        <v>0</v>
      </c>
      <c r="CL37" s="38">
        <f>[24]byGOVDetalhado!B37</f>
        <v>0</v>
      </c>
      <c r="CM37" s="39">
        <f>[24]byGOVDetalhado!C37</f>
        <v>0</v>
      </c>
      <c r="CN37" s="40">
        <f>[24]byGOVDetalhado!D37</f>
        <v>0</v>
      </c>
      <c r="CO37" s="41">
        <f>[24]byGOVDetalhado!E37</f>
        <v>0</v>
      </c>
      <c r="CP37" s="38">
        <f>[25]byGOVDetalhado!B37</f>
        <v>0</v>
      </c>
      <c r="CQ37" s="39">
        <f>[25]byGOVDetalhado!C37</f>
        <v>0</v>
      </c>
      <c r="CR37" s="40">
        <f>[25]byGOVDetalhado!D37</f>
        <v>0</v>
      </c>
      <c r="CS37" s="41">
        <f>[25]byGOVDetalhado!E37</f>
        <v>0</v>
      </c>
      <c r="CT37" s="38">
        <f>[26]byGOVDetalhado!B37</f>
        <v>0</v>
      </c>
      <c r="CU37" s="39">
        <f>[26]byGOVDetalhado!C37</f>
        <v>0</v>
      </c>
      <c r="CV37" s="40">
        <f>[26]byGOVDetalhado!D37</f>
        <v>0</v>
      </c>
      <c r="CW37" s="41">
        <f>[26]byGOVDetalhado!E37</f>
        <v>0</v>
      </c>
    </row>
    <row r="38" spans="1:102" x14ac:dyDescent="0.25">
      <c r="A38" s="37"/>
      <c r="B38" s="38">
        <f>[2]byGOVDetalhado!B38</f>
        <v>0</v>
      </c>
      <c r="C38" s="39">
        <f>[2]byGOVDetalhado!C38</f>
        <v>0</v>
      </c>
      <c r="D38" s="40">
        <f>[2]byGOVDetalhado!D38</f>
        <v>0</v>
      </c>
      <c r="E38" s="41">
        <f>[2]byGOVDetalhado!E38</f>
        <v>0</v>
      </c>
      <c r="F38" s="38">
        <f>[3]byGOVDetalhado!B38</f>
        <v>0</v>
      </c>
      <c r="G38" s="39">
        <f>[3]byGOVDetalhado!C38</f>
        <v>0</v>
      </c>
      <c r="H38" s="40">
        <f>[3]byGOVDetalhado!D38</f>
        <v>0</v>
      </c>
      <c r="I38" s="41">
        <f>[3]byGOVDetalhado!E38</f>
        <v>0</v>
      </c>
      <c r="J38" s="38">
        <f>[4]byGOVDetalhado!B38</f>
        <v>0</v>
      </c>
      <c r="K38" s="39">
        <f>[4]byGOVDetalhado!C38</f>
        <v>0</v>
      </c>
      <c r="L38" s="40">
        <f>[4]byGOVDetalhado!D38</f>
        <v>0</v>
      </c>
      <c r="M38" s="41">
        <f>[4]byGOVDetalhado!E38</f>
        <v>0</v>
      </c>
      <c r="N38" s="38">
        <f>[5]byGOVDetalhado!B38</f>
        <v>0</v>
      </c>
      <c r="O38" s="39">
        <f>[5]byGOVDetalhado!C38</f>
        <v>0</v>
      </c>
      <c r="P38" s="40">
        <f>[5]byGOVDetalhado!D38</f>
        <v>0</v>
      </c>
      <c r="Q38" s="41">
        <f>[5]byGOVDetalhado!E38</f>
        <v>0</v>
      </c>
      <c r="R38" s="38">
        <f>[6]byGOVDetalhado!B38</f>
        <v>0</v>
      </c>
      <c r="S38" s="39">
        <f>[6]byGOVDetalhado!C38</f>
        <v>0</v>
      </c>
      <c r="T38" s="40">
        <f>[6]byGOVDetalhado!D38</f>
        <v>0</v>
      </c>
      <c r="U38" s="41">
        <f>[6]byGOVDetalhado!E38</f>
        <v>0</v>
      </c>
      <c r="V38" s="38">
        <f>[7]byGOVDetalhado!B38</f>
        <v>0</v>
      </c>
      <c r="W38" s="39">
        <f>[7]byGOVDetalhado!C38</f>
        <v>0</v>
      </c>
      <c r="X38" s="40">
        <f>[7]byGOVDetalhado!D38</f>
        <v>0</v>
      </c>
      <c r="Y38" s="41">
        <f>[7]byGOVDetalhado!E38</f>
        <v>0</v>
      </c>
      <c r="Z38" s="38">
        <f>[8]byGOVDetalhado!B38</f>
        <v>0</v>
      </c>
      <c r="AA38" s="39">
        <f>[8]byGOVDetalhado!C38</f>
        <v>0</v>
      </c>
      <c r="AB38" s="40">
        <f>[8]byGOVDetalhado!D38</f>
        <v>0</v>
      </c>
      <c r="AC38" s="41">
        <f>[8]byGOVDetalhado!E38</f>
        <v>0</v>
      </c>
      <c r="AD38" s="38">
        <f>[9]byGOVDetalhado!B38</f>
        <v>0</v>
      </c>
      <c r="AE38" s="39">
        <f>[9]byGOVDetalhado!C38</f>
        <v>0</v>
      </c>
      <c r="AF38" s="40">
        <f>[9]byGOVDetalhado!D38</f>
        <v>0</v>
      </c>
      <c r="AG38" s="41">
        <f>[9]byGOVDetalhado!E38</f>
        <v>0</v>
      </c>
      <c r="AH38" s="38">
        <f>[10]byGOVDetalhado!B38</f>
        <v>0</v>
      </c>
      <c r="AI38" s="39">
        <f>[10]byGOVDetalhado!C38</f>
        <v>0</v>
      </c>
      <c r="AJ38" s="40">
        <f>[10]byGOVDetalhado!D38</f>
        <v>0</v>
      </c>
      <c r="AK38" s="41">
        <f>[10]byGOVDetalhado!E38</f>
        <v>0</v>
      </c>
      <c r="AL38" s="38">
        <f>[11]byGOVDetalhado!B38</f>
        <v>0</v>
      </c>
      <c r="AM38" s="39">
        <f>[11]byGOVDetalhado!C38</f>
        <v>0</v>
      </c>
      <c r="AN38" s="40">
        <f>[11]byGOVDetalhado!D38</f>
        <v>0</v>
      </c>
      <c r="AO38" s="41">
        <f>[11]byGOVDetalhado!E38</f>
        <v>0</v>
      </c>
      <c r="AP38" s="38">
        <f>[12]byGOVDetalhado!B38</f>
        <v>0</v>
      </c>
      <c r="AQ38" s="39">
        <f>[12]byGOVDetalhado!C38</f>
        <v>0</v>
      </c>
      <c r="AR38" s="40">
        <f>[12]byGOVDetalhado!D38</f>
        <v>0</v>
      </c>
      <c r="AS38" s="41">
        <f>[12]byGOVDetalhado!E38</f>
        <v>0</v>
      </c>
      <c r="AT38" s="38">
        <f>[13]byGOVDetalhado!B38</f>
        <v>0</v>
      </c>
      <c r="AU38" s="39">
        <f>[13]byGOVDetalhado!C38</f>
        <v>0</v>
      </c>
      <c r="AV38" s="40">
        <f>[13]byGOVDetalhado!D38</f>
        <v>0</v>
      </c>
      <c r="AW38" s="41">
        <f>[13]byGOVDetalhado!E38</f>
        <v>0</v>
      </c>
      <c r="AX38" s="38">
        <f>[14]byGOVDetalhado!B38</f>
        <v>0</v>
      </c>
      <c r="AY38" s="39">
        <f>[14]byGOVDetalhado!C38</f>
        <v>0</v>
      </c>
      <c r="AZ38" s="40">
        <f>[14]byGOVDetalhado!D38</f>
        <v>0</v>
      </c>
      <c r="BA38" s="41">
        <f>[14]byGOVDetalhado!E38</f>
        <v>0</v>
      </c>
      <c r="BB38" s="38">
        <f>[15]byGOVDetalhado!B38</f>
        <v>0</v>
      </c>
      <c r="BC38" s="39">
        <f>[15]byGOVDetalhado!C38</f>
        <v>0</v>
      </c>
      <c r="BD38" s="40">
        <f>[15]byGOVDetalhado!D38</f>
        <v>0</v>
      </c>
      <c r="BE38" s="41">
        <f>[15]byGOVDetalhado!E38</f>
        <v>0</v>
      </c>
      <c r="BF38" s="38">
        <f>[16]byGOVDetalhado!B38</f>
        <v>0</v>
      </c>
      <c r="BG38" s="39">
        <f>[16]byGOVDetalhado!C38</f>
        <v>0</v>
      </c>
      <c r="BH38" s="40">
        <f>[16]byGOVDetalhado!D38</f>
        <v>0</v>
      </c>
      <c r="BI38" s="41">
        <f>[16]byGOVDetalhado!E38</f>
        <v>0</v>
      </c>
      <c r="BJ38" s="38">
        <f>[17]byGOVDetalhado!B38</f>
        <v>0</v>
      </c>
      <c r="BK38" s="39">
        <f>[17]byGOVDetalhado!C38</f>
        <v>0</v>
      </c>
      <c r="BL38" s="40">
        <f>[17]byGOVDetalhado!D38</f>
        <v>0</v>
      </c>
      <c r="BM38" s="41">
        <f>[17]byGOVDetalhado!E38</f>
        <v>0</v>
      </c>
      <c r="BN38" s="38">
        <f>[18]byGOVDetalhado!B38</f>
        <v>0</v>
      </c>
      <c r="BO38" s="39">
        <f>[18]byGOVDetalhado!C38</f>
        <v>0</v>
      </c>
      <c r="BP38" s="40">
        <f>[18]byGOVDetalhado!D38</f>
        <v>0</v>
      </c>
      <c r="BQ38" s="41">
        <f>[18]byGOVDetalhado!E38</f>
        <v>0</v>
      </c>
      <c r="BR38" s="38">
        <f>[19]byGOVDetalhado!B38</f>
        <v>0</v>
      </c>
      <c r="BS38" s="39">
        <f>[19]byGOVDetalhado!C38</f>
        <v>0</v>
      </c>
      <c r="BT38" s="40">
        <f>[19]byGOVDetalhado!D38</f>
        <v>0</v>
      </c>
      <c r="BU38" s="41">
        <f>[19]byGOVDetalhado!E38</f>
        <v>0</v>
      </c>
      <c r="BV38" s="38">
        <f>[20]byGOVDetalhado!B38</f>
        <v>0</v>
      </c>
      <c r="BW38" s="39">
        <f>[20]byGOVDetalhado!C38</f>
        <v>0</v>
      </c>
      <c r="BX38" s="40">
        <f>[20]byGOVDetalhado!D38</f>
        <v>0</v>
      </c>
      <c r="BY38" s="41">
        <f>[20]byGOVDetalhado!E38</f>
        <v>0</v>
      </c>
      <c r="BZ38" s="38">
        <f>[21]byGOVDetalhado!B38</f>
        <v>0</v>
      </c>
      <c r="CA38" s="39">
        <f>[21]byGOVDetalhado!C38</f>
        <v>0</v>
      </c>
      <c r="CB38" s="40">
        <f>[21]byGOVDetalhado!D38</f>
        <v>0</v>
      </c>
      <c r="CC38" s="41">
        <f>[21]byGOVDetalhado!E38</f>
        <v>0</v>
      </c>
      <c r="CD38" s="38">
        <f>[22]byGOVDetalhado!B38</f>
        <v>0</v>
      </c>
      <c r="CE38" s="39">
        <f>[22]byGOVDetalhado!C38</f>
        <v>0</v>
      </c>
      <c r="CF38" s="40">
        <f>[22]byGOVDetalhado!D38</f>
        <v>0</v>
      </c>
      <c r="CG38" s="41">
        <f>[22]byGOVDetalhado!E38</f>
        <v>0</v>
      </c>
      <c r="CH38" s="38">
        <f>[23]byGOVDetalhado!B38</f>
        <v>0</v>
      </c>
      <c r="CI38" s="39">
        <f>[23]byGOVDetalhado!C38</f>
        <v>0</v>
      </c>
      <c r="CJ38" s="40">
        <f>[23]byGOVDetalhado!D38</f>
        <v>0</v>
      </c>
      <c r="CK38" s="41">
        <f>[23]byGOVDetalhado!E38</f>
        <v>0</v>
      </c>
      <c r="CL38" s="38">
        <f>[24]byGOVDetalhado!B38</f>
        <v>0</v>
      </c>
      <c r="CM38" s="39">
        <f>[24]byGOVDetalhado!C38</f>
        <v>0</v>
      </c>
      <c r="CN38" s="40">
        <f>[24]byGOVDetalhado!D38</f>
        <v>0</v>
      </c>
      <c r="CO38" s="41">
        <f>[24]byGOVDetalhado!E38</f>
        <v>0</v>
      </c>
      <c r="CP38" s="38">
        <f>[25]byGOVDetalhado!B38</f>
        <v>0</v>
      </c>
      <c r="CQ38" s="39">
        <f>[25]byGOVDetalhado!C38</f>
        <v>0</v>
      </c>
      <c r="CR38" s="40">
        <f>[25]byGOVDetalhado!D38</f>
        <v>0</v>
      </c>
      <c r="CS38" s="41">
        <f>[25]byGOVDetalhado!E38</f>
        <v>0</v>
      </c>
      <c r="CT38" s="38">
        <f>[26]byGOVDetalhado!B38</f>
        <v>0</v>
      </c>
      <c r="CU38" s="39">
        <f>[26]byGOVDetalhado!C38</f>
        <v>0</v>
      </c>
      <c r="CV38" s="40">
        <f>[26]byGOVDetalhado!D38</f>
        <v>0</v>
      </c>
      <c r="CW38" s="41">
        <f>[26]byGOVDetalhado!E38</f>
        <v>0</v>
      </c>
    </row>
    <row r="39" spans="1:102" x14ac:dyDescent="0.25">
      <c r="A39" s="32" t="s">
        <v>97</v>
      </c>
      <c r="B39" s="33">
        <f>[2]byGOVDetalhado!B39</f>
        <v>20.860392247528498</v>
      </c>
      <c r="C39" s="34">
        <f>[2]byGOVDetalhado!C39</f>
        <v>1.7349291032739307</v>
      </c>
      <c r="D39" s="35">
        <f>[2]byGOVDetalhado!D39</f>
        <v>5.6771445994330243</v>
      </c>
      <c r="E39" s="36">
        <f>[2]byGOVDetalhado!E39</f>
        <v>120.26861442384985</v>
      </c>
      <c r="F39" s="33">
        <f>[3]byGOVDetalhado!B39</f>
        <v>23.06374898017868</v>
      </c>
      <c r="G39" s="34">
        <f>[3]byGOVDetalhado!C39</f>
        <v>1.7528908482338035</v>
      </c>
      <c r="H39" s="35">
        <f>[3]byGOVDetalhado!D39</f>
        <v>5.4699236497013439</v>
      </c>
      <c r="I39" s="36">
        <f>[3]byGOVDetalhado!E39</f>
        <v>132.97185883904987</v>
      </c>
      <c r="J39" s="33">
        <f>[4]byGOVDetalhado!B39</f>
        <v>27.088906001189997</v>
      </c>
      <c r="K39" s="34">
        <f>[4]byGOVDetalhado!C39</f>
        <v>1.819528649913654</v>
      </c>
      <c r="L39" s="35">
        <f>[4]byGOVDetalhado!D39</f>
        <v>5.467813770897533</v>
      </c>
      <c r="M39" s="36">
        <f>[4]byGOVDetalhado!E39</f>
        <v>151.94914936221858</v>
      </c>
      <c r="N39" s="33">
        <f>[5]byGOVDetalhado!B39</f>
        <v>32.428329257145009</v>
      </c>
      <c r="O39" s="34">
        <f>[5]byGOVDetalhado!C39</f>
        <v>1.887617757044443</v>
      </c>
      <c r="P39" s="35">
        <f>[5]byGOVDetalhado!D39</f>
        <v>5.7906193468839149</v>
      </c>
      <c r="Q39" s="36">
        <f>[5]byGOVDetalhado!E39</f>
        <v>179.53985941036211</v>
      </c>
      <c r="R39" s="33">
        <f>[6]byGOVDetalhado!B39</f>
        <v>38.533640203225502</v>
      </c>
      <c r="S39" s="34">
        <f>[6]byGOVDetalhado!C39</f>
        <v>1.9682605297213742</v>
      </c>
      <c r="T39" s="35">
        <f>[6]byGOVDetalhado!D39</f>
        <v>5.853925879452663</v>
      </c>
      <c r="U39" s="36">
        <f>[6]byGOVDetalhado!E39</f>
        <v>210.66823541391636</v>
      </c>
      <c r="V39" s="33">
        <f>[7]byGOVDetalhado!B39</f>
        <v>41.602175914820009</v>
      </c>
      <c r="W39" s="34">
        <f>[7]byGOVDetalhado!C39</f>
        <v>1.916634267481808</v>
      </c>
      <c r="X39" s="35">
        <f>[7]byGOVDetalhado!D39</f>
        <v>5.5161817084253224</v>
      </c>
      <c r="Y39" s="36">
        <f>[7]byGOVDetalhado!E39</f>
        <v>224.69346374230747</v>
      </c>
      <c r="Z39" s="33">
        <f>[8]byGOVDetalhado!B39</f>
        <v>47.884981067289992</v>
      </c>
      <c r="AA39" s="34">
        <f>[8]byGOVDetalhado!C39</f>
        <v>1.987382226951794</v>
      </c>
      <c r="AB39" s="35">
        <f>[8]byGOVDetalhado!D39</f>
        <v>5.7725034884223536</v>
      </c>
      <c r="AC39" s="36">
        <f>[8]byGOVDetalhado!E39</f>
        <v>255.6113168844027</v>
      </c>
      <c r="AD39" s="33">
        <f>[9]byGOVDetalhado!B39</f>
        <v>55.345338984230011</v>
      </c>
      <c r="AE39" s="34">
        <f>[9]byGOVDetalhado!C39</f>
        <v>2.0345583858704104</v>
      </c>
      <c r="AF39" s="35">
        <f>[9]byGOVDetalhado!D39</f>
        <v>5.8826735891037929</v>
      </c>
      <c r="AG39" s="36">
        <f>[9]byGOVDetalhado!E39</f>
        <v>292.11725008553799</v>
      </c>
      <c r="AH39" s="33">
        <f>[10]byGOVDetalhado!B39</f>
        <v>63.168046308189986</v>
      </c>
      <c r="AI39" s="34">
        <f>[10]byGOVDetalhado!C39</f>
        <v>2.0312555588952099</v>
      </c>
      <c r="AJ39" s="35">
        <f>[10]byGOVDetalhado!D39</f>
        <v>5.8440994611001491</v>
      </c>
      <c r="AK39" s="36">
        <f>[10]byGOVDetalhado!E39</f>
        <v>329.8033828524994</v>
      </c>
      <c r="AL39" s="33">
        <f>[11]byGOVDetalhado!B39</f>
        <v>68.15749959947</v>
      </c>
      <c r="AM39" s="34">
        <f>[11]byGOVDetalhado!C39</f>
        <v>2.0449055531444427</v>
      </c>
      <c r="AN39" s="35">
        <f>[11]byGOVDetalhado!D39</f>
        <v>6.166012131016493</v>
      </c>
      <c r="AO39" s="36">
        <f>[11]byGOVDetalhado!E39</f>
        <v>352.15511985015667</v>
      </c>
      <c r="AP39" s="33">
        <f>[12]byGOVDetalhado!B39</f>
        <v>80.331811431040009</v>
      </c>
      <c r="AQ39" s="34">
        <f>[12]byGOVDetalhado!C39</f>
        <v>2.067292187032582</v>
      </c>
      <c r="AR39" s="35">
        <f>[12]byGOVDetalhado!D39</f>
        <v>6.2207038856527079</v>
      </c>
      <c r="AS39" s="36">
        <f>[12]byGOVDetalhado!E39</f>
        <v>410.90903664269939</v>
      </c>
      <c r="AT39" s="33">
        <f>[13]byGOVDetalhado!B39</f>
        <v>93.388072100560009</v>
      </c>
      <c r="AU39" s="34">
        <f>[13]byGOVDetalhado!C39</f>
        <v>2.1339104333342021</v>
      </c>
      <c r="AV39" s="35">
        <f>[13]byGOVDetalhado!D39</f>
        <v>6.2609161587457791</v>
      </c>
      <c r="AW39" s="36">
        <f>[13]byGOVDetalhado!E39</f>
        <v>473.09768428497745</v>
      </c>
      <c r="AX39" s="33">
        <f>[14]byGOVDetalhado!B39</f>
        <v>105.20004810382001</v>
      </c>
      <c r="AY39" s="34">
        <f>[14]byGOVDetalhado!C39</f>
        <v>2.1849489508058557</v>
      </c>
      <c r="AZ39" s="35">
        <f>[14]byGOVDetalhado!D39</f>
        <v>6.4220336176045896</v>
      </c>
      <c r="BA39" s="36">
        <f>[14]byGOVDetalhado!E39</f>
        <v>528.00014137458311</v>
      </c>
      <c r="BB39" s="33">
        <f>[15]byGOVDetalhado!B39</f>
        <v>116.72587840607997</v>
      </c>
      <c r="BC39" s="34">
        <f>[15]byGOVDetalhado!C39</f>
        <v>2.1893139477160686</v>
      </c>
      <c r="BD39" s="35">
        <f>[15]byGOVDetalhado!D39</f>
        <v>6.5128265667682603</v>
      </c>
      <c r="BE39" s="36">
        <f>[15]byGOVDetalhado!E39</f>
        <v>580.63126186556872</v>
      </c>
      <c r="BF39" s="33">
        <f>[16]byGOVDetalhado!B39</f>
        <v>129.709663333252</v>
      </c>
      <c r="BG39" s="34">
        <f>[16]byGOVDetalhado!C39</f>
        <v>2.2445183986312394</v>
      </c>
      <c r="BH39" s="35">
        <f>[16]byGOVDetalhado!D39</f>
        <v>6.8276103681231088</v>
      </c>
      <c r="BI39" s="36">
        <f>[16]byGOVDetalhado!E39</f>
        <v>639.69316571496915</v>
      </c>
      <c r="BJ39" s="33">
        <f>[17]byGOVDetalhado!B39</f>
        <v>142.04253725312981</v>
      </c>
      <c r="BK39" s="34">
        <f>[17]byGOVDetalhado!C39</f>
        <v>2.3690390811603188</v>
      </c>
      <c r="BL39" s="35">
        <f>[17]byGOVDetalhado!D39</f>
        <v>7.2138294199149904</v>
      </c>
      <c r="BM39" s="36">
        <f>[17]byGOVDetalhado!E39</f>
        <v>694.75219544609922</v>
      </c>
      <c r="BN39" s="33">
        <f>[18]byGOVDetalhado!B39</f>
        <v>150.792342652348</v>
      </c>
      <c r="BO39" s="34">
        <f>[18]byGOVDetalhado!C39</f>
        <v>2.4060540967201169</v>
      </c>
      <c r="BP39" s="35">
        <f>[18]byGOVDetalhado!D39</f>
        <v>7.2282373482177649</v>
      </c>
      <c r="BQ39" s="36">
        <f>[18]byGOVDetalhado!E39</f>
        <v>731.71241673217799</v>
      </c>
      <c r="BR39" s="33">
        <f>[19]byGOVDetalhado!B39</f>
        <v>163.75806878822408</v>
      </c>
      <c r="BS39" s="34">
        <f>[19]byGOVDetalhado!C39</f>
        <v>2.4986572995655933</v>
      </c>
      <c r="BT39" s="35">
        <f>[19]byGOVDetalhado!D39</f>
        <v>7.4320476239442055</v>
      </c>
      <c r="BU39" s="36">
        <f>[19]byGOVDetalhado!E39</f>
        <v>788.58391694965451</v>
      </c>
      <c r="BV39" s="33">
        <f>[20]byGOVDetalhado!B39</f>
        <v>172.03456962870155</v>
      </c>
      <c r="BW39" s="34">
        <f>[20]byGOVDetalhado!C39</f>
        <v>2.4971718988095186</v>
      </c>
      <c r="BX39" s="35">
        <f>[20]byGOVDetalhado!D39</f>
        <v>7.2502783040601191</v>
      </c>
      <c r="BY39" s="36">
        <f>[20]byGOVDetalhado!E39</f>
        <v>825.12603247706079</v>
      </c>
      <c r="BZ39" s="33">
        <f>[21]byGOVDetalhado!B39</f>
        <v>191.52298348589721</v>
      </c>
      <c r="CA39" s="34">
        <f>[21]byGOVDetalhado!C39</f>
        <v>2.5919554476148443</v>
      </c>
      <c r="CB39" s="35">
        <f>[21]byGOVDetalhado!D39</f>
        <v>7.6703560578508938</v>
      </c>
      <c r="CC39" s="36">
        <f>[21]byGOVDetalhado!E39</f>
        <v>911.37570159904499</v>
      </c>
      <c r="CD39" s="33">
        <f>[22]byGOVDetalhado!B39</f>
        <v>197.68339647978368</v>
      </c>
      <c r="CE39" s="34">
        <f>[22]byGOVDetalhado!C39</f>
        <v>2.5978168946369125</v>
      </c>
      <c r="CF39" s="35">
        <f>[22]byGOVDetalhado!D39</f>
        <v>8.0635844495729732</v>
      </c>
      <c r="CG39" s="36">
        <f>[22]byGOVDetalhado!E39</f>
        <v>933.54466466848828</v>
      </c>
      <c r="CH39" s="33">
        <f>[23]byGOVDetalhado!B39</f>
        <v>240.57754478643997</v>
      </c>
      <c r="CI39" s="34">
        <f>[23]byGOVDetalhado!C39</f>
        <v>2.7035051731156594</v>
      </c>
      <c r="CJ39" s="35">
        <f>[23]byGOVDetalhado!D39</f>
        <v>7.8595311166831348</v>
      </c>
      <c r="CK39" s="36">
        <f>[23]byGOVDetalhado!E39</f>
        <v>1127.7902095402433</v>
      </c>
      <c r="CL39" s="33">
        <f>[24]byGOVDetalhado!B39</f>
        <v>275.58647320952895</v>
      </c>
      <c r="CM39" s="34">
        <f>[24]byGOVDetalhado!C39</f>
        <v>2.7340806709414962</v>
      </c>
      <c r="CN39" s="35">
        <f>[24]byGOVDetalhado!D39</f>
        <v>7.8325063710107097</v>
      </c>
      <c r="CO39" s="36">
        <f>[24]byGOVDetalhado!E39</f>
        <v>1357.0289900315761</v>
      </c>
      <c r="CP39" s="33">
        <f>[25]byGOVDetalhado!B39</f>
        <v>318.12355331053004</v>
      </c>
      <c r="CQ39" s="34">
        <f>[25]byGOVDetalhado!C39</f>
        <v>2.9070049640268096</v>
      </c>
      <c r="CR39" s="35">
        <f>[25]byGOVDetalhado!D39</f>
        <v>8.4070983821276322</v>
      </c>
      <c r="CS39" s="36">
        <f>[25]byGOVDetalhado!E39</f>
        <v>1530.6746124266383</v>
      </c>
      <c r="CT39" s="33">
        <f>[26]byGOVDetalhado!B39</f>
        <v>359.7966874583862</v>
      </c>
      <c r="CU39" s="34">
        <f>[26]byGOVDetalhado!C39</f>
        <v>3.0634789457821912</v>
      </c>
      <c r="CV39" s="35">
        <f>[26]byGOVDetalhado!D39</f>
        <v>8.5215009612721975</v>
      </c>
      <c r="CW39" s="36">
        <f>[26]byGOVDetalhado!E39</f>
        <v>1692.4938404670452</v>
      </c>
    </row>
    <row r="40" spans="1:102" x14ac:dyDescent="0.25">
      <c r="A40" s="37" t="s">
        <v>12</v>
      </c>
      <c r="B40" s="38">
        <f>[2]byGOVDetalhado!B40</f>
        <v>6.7093918960699988</v>
      </c>
      <c r="C40" s="39">
        <f>[2]byGOVDetalhado!C40</f>
        <v>0.55801056507656144</v>
      </c>
      <c r="D40" s="40">
        <f>[2]byGOVDetalhado!D40</f>
        <v>1.8259574180713853</v>
      </c>
      <c r="E40" s="41">
        <f>[2]byGOVDetalhado!E40</f>
        <v>38.682363082724343</v>
      </c>
      <c r="F40" s="38">
        <f>[3]byGOVDetalhado!B40</f>
        <v>7.4459304488406808</v>
      </c>
      <c r="G40" s="39">
        <f>[3]byGOVDetalhado!C40</f>
        <v>0.56590554083706168</v>
      </c>
      <c r="H40" s="40">
        <f>[3]byGOVDetalhado!D40</f>
        <v>1.7659172015420306</v>
      </c>
      <c r="I40" s="41">
        <f>[3]byGOVDetalhado!E40</f>
        <v>42.928806302025393</v>
      </c>
      <c r="J40" s="38">
        <f>[4]byGOVDetalhado!B40</f>
        <v>8.4952964499300005</v>
      </c>
      <c r="K40" s="39">
        <f>[4]byGOVDetalhado!C40</f>
        <v>0.57061866136190065</v>
      </c>
      <c r="L40" s="40">
        <f>[4]byGOVDetalhado!D40</f>
        <v>1.7147499022198835</v>
      </c>
      <c r="M40" s="41">
        <f>[4]byGOVDetalhado!E40</f>
        <v>47.652462195779798</v>
      </c>
      <c r="N40" s="38">
        <f>[5]byGOVDetalhado!B40</f>
        <v>9.6740002598550028</v>
      </c>
      <c r="O40" s="39">
        <f>[5]byGOVDetalhado!C40</f>
        <v>0.56311302772810634</v>
      </c>
      <c r="P40" s="40">
        <f>[5]byGOVDetalhado!D40</f>
        <v>1.7274541843420359</v>
      </c>
      <c r="Q40" s="41">
        <f>[5]byGOVDetalhado!E40</f>
        <v>53.560226085575636</v>
      </c>
      <c r="R40" s="38">
        <f>[6]byGOVDetalhado!B40</f>
        <v>11.681605275100001</v>
      </c>
      <c r="S40" s="39">
        <f>[6]byGOVDetalhado!C40</f>
        <v>0.59668493465716532</v>
      </c>
      <c r="T40" s="40">
        <f>[6]byGOVDetalhado!D40</f>
        <v>1.7746377210356195</v>
      </c>
      <c r="U40" s="41">
        <f>[6]byGOVDetalhado!E40</f>
        <v>63.864798579325971</v>
      </c>
      <c r="V40" s="38">
        <f>[7]byGOVDetalhado!B40</f>
        <v>14.04991844339</v>
      </c>
      <c r="W40" s="39">
        <f>[7]byGOVDetalhado!C40</f>
        <v>0.64728718034032295</v>
      </c>
      <c r="X40" s="40">
        <f>[7]byGOVDetalhado!D40</f>
        <v>1.8629290756565184</v>
      </c>
      <c r="Y40" s="41">
        <f>[7]byGOVDetalhado!E40</f>
        <v>75.883647211290025</v>
      </c>
      <c r="Z40" s="38">
        <f>[8]byGOVDetalhado!B40</f>
        <v>16.916468680179996</v>
      </c>
      <c r="AA40" s="39">
        <f>[8]byGOVDetalhado!C40</f>
        <v>0.70208838864388123</v>
      </c>
      <c r="AB40" s="40">
        <f>[8]byGOVDetalhado!D40</f>
        <v>2.0392693552682846</v>
      </c>
      <c r="AC40" s="41">
        <f>[8]byGOVDetalhado!E40</f>
        <v>90.300564811714935</v>
      </c>
      <c r="AD40" s="38">
        <f>[9]byGOVDetalhado!B40</f>
        <v>19.740562864659999</v>
      </c>
      <c r="AE40" s="39">
        <f>[9]byGOVDetalhado!C40</f>
        <v>0.7256858202556149</v>
      </c>
      <c r="AF40" s="40">
        <f>[9]byGOVDetalhado!D40</f>
        <v>2.0982306718017858</v>
      </c>
      <c r="AG40" s="41">
        <f>[9]byGOVDetalhado!E40</f>
        <v>104.1923140231968</v>
      </c>
      <c r="AH40" s="38">
        <f>[10]byGOVDetalhado!B40</f>
        <v>23.82135202213</v>
      </c>
      <c r="AI40" s="39">
        <f>[10]byGOVDetalhado!C40</f>
        <v>0.7660083941693413</v>
      </c>
      <c r="AJ40" s="40">
        <f>[10]byGOVDetalhado!D40</f>
        <v>2.2038729809054924</v>
      </c>
      <c r="AK40" s="41">
        <f>[10]byGOVDetalhado!E40</f>
        <v>124.37241517156266</v>
      </c>
      <c r="AL40" s="38">
        <f>[11]byGOVDetalhado!B40</f>
        <v>26.190433288040001</v>
      </c>
      <c r="AM40" s="39">
        <f>[11]byGOVDetalhado!C40</f>
        <v>0.78578238322563887</v>
      </c>
      <c r="AN40" s="40">
        <f>[11]byGOVDetalhado!D40</f>
        <v>2.3693728543394013</v>
      </c>
      <c r="AO40" s="41">
        <f>[11]byGOVDetalhado!E40</f>
        <v>135.32032758943782</v>
      </c>
      <c r="AP40" s="38">
        <f>[12]byGOVDetalhado!B40</f>
        <v>31.407240443990002</v>
      </c>
      <c r="AQ40" s="39">
        <f>[12]byGOVDetalhado!C40</f>
        <v>0.80824696505009064</v>
      </c>
      <c r="AR40" s="40">
        <f>[12]byGOVDetalhado!D40</f>
        <v>2.4321017936371967</v>
      </c>
      <c r="AS40" s="41">
        <f>[12]byGOVDetalhado!E40</f>
        <v>160.65265658205857</v>
      </c>
      <c r="AT40" s="38">
        <f>[13]byGOVDetalhado!B40</f>
        <v>36.656296818840005</v>
      </c>
      <c r="AU40" s="39">
        <f>[13]byGOVDetalhado!C40</f>
        <v>0.83759362914023527</v>
      </c>
      <c r="AV40" s="40">
        <f>[13]byGOVDetalhado!D40</f>
        <v>2.4575087150929704</v>
      </c>
      <c r="AW40" s="41">
        <f>[13]byGOVDetalhado!E40</f>
        <v>185.69833116141604</v>
      </c>
      <c r="AX40" s="38">
        <f>[14]byGOVDetalhado!B40</f>
        <v>42.316509592660005</v>
      </c>
      <c r="AY40" s="39">
        <f>[14]byGOVDetalhado!C40</f>
        <v>0.8788913589184093</v>
      </c>
      <c r="AZ40" s="40">
        <f>[14]byGOVDetalhado!D40</f>
        <v>2.5832502178664076</v>
      </c>
      <c r="BA40" s="41">
        <f>[14]byGOVDetalhado!E40</f>
        <v>212.38700409483999</v>
      </c>
      <c r="BB40" s="38">
        <f>[15]byGOVDetalhado!B40</f>
        <v>45.783504649339996</v>
      </c>
      <c r="BC40" s="39">
        <f>[15]byGOVDetalhado!C40</f>
        <v>0.85871673593593234</v>
      </c>
      <c r="BD40" s="40">
        <f>[15]byGOVDetalhado!D40</f>
        <v>2.5545322894263025</v>
      </c>
      <c r="BE40" s="41">
        <f>[15]byGOVDetalhado!E40</f>
        <v>227.74156374041686</v>
      </c>
      <c r="BF40" s="38">
        <f>[16]byGOVDetalhado!B40</f>
        <v>50.493151794877214</v>
      </c>
      <c r="BG40" s="39">
        <f>[16]byGOVDetalhado!C40</f>
        <v>0.87374221238479022</v>
      </c>
      <c r="BH40" s="40">
        <f>[16]byGOVDetalhado!D40</f>
        <v>2.657840270760607</v>
      </c>
      <c r="BI40" s="41">
        <f>[16]byGOVDetalhado!E40</f>
        <v>249.01864123728024</v>
      </c>
      <c r="BJ40" s="38">
        <f>[17]byGOVDetalhado!B40</f>
        <v>54.074215310498822</v>
      </c>
      <c r="BK40" s="39">
        <f>[17]byGOVDetalhado!C40</f>
        <v>0.90187018502323091</v>
      </c>
      <c r="BL40" s="40">
        <f>[17]byGOVDetalhado!D40</f>
        <v>2.7462348449221241</v>
      </c>
      <c r="BM40" s="41">
        <f>[17]byGOVDetalhado!E40</f>
        <v>264.48541775232428</v>
      </c>
      <c r="BN40" s="38">
        <f>[18]byGOVDetalhado!B40</f>
        <v>53.986153537223601</v>
      </c>
      <c r="BO40" s="39">
        <f>[18]byGOVDetalhado!C40</f>
        <v>0.86140717492444552</v>
      </c>
      <c r="BP40" s="40">
        <f>[18]byGOVDetalhado!D40</f>
        <v>2.5878285622502859</v>
      </c>
      <c r="BQ40" s="41">
        <f>[18]byGOVDetalhado!E40</f>
        <v>261.96515141268816</v>
      </c>
      <c r="BR40" s="38">
        <f>[19]byGOVDetalhado!B40</f>
        <v>56.279560322004087</v>
      </c>
      <c r="BS40" s="39">
        <f>[19]byGOVDetalhado!C40</f>
        <v>0.85872613945377663</v>
      </c>
      <c r="BT40" s="40">
        <f>[19]byGOVDetalhado!D40</f>
        <v>2.554209240881407</v>
      </c>
      <c r="BU40" s="41">
        <f>[19]byGOVDetalhado!E40</f>
        <v>271.01660670122538</v>
      </c>
      <c r="BV40" s="38">
        <f>[20]byGOVDetalhado!B40</f>
        <v>63.776391482763628</v>
      </c>
      <c r="BW40" s="39">
        <f>[20]byGOVDetalhado!C40</f>
        <v>0.92574773176089431</v>
      </c>
      <c r="BX40" s="40">
        <f>[20]byGOVDetalhado!D40</f>
        <v>2.6878120396191667</v>
      </c>
      <c r="BY40" s="41">
        <f>[20]byGOVDetalhado!E40</f>
        <v>305.88945572656036</v>
      </c>
      <c r="BZ40" s="38">
        <f>[21]byGOVDetalhado!B40</f>
        <v>71.31485364559488</v>
      </c>
      <c r="CA40" s="39">
        <f>[21]byGOVDetalhado!C40</f>
        <v>0.96513180840338175</v>
      </c>
      <c r="CB40" s="40">
        <f>[21]byGOVDetalhado!D40</f>
        <v>2.8561079705377379</v>
      </c>
      <c r="CC40" s="41">
        <f>[21]byGOVDetalhado!E40</f>
        <v>339.3567894188173</v>
      </c>
      <c r="CD40" s="38">
        <f>[22]byGOVDetalhado!B40</f>
        <v>71.841188200757529</v>
      </c>
      <c r="CE40" s="39">
        <f>[22]byGOVDetalhado!C40</f>
        <v>0.94408663429558137</v>
      </c>
      <c r="CF40" s="40">
        <f>[22]byGOVDetalhado!D40</f>
        <v>2.9304306701029206</v>
      </c>
      <c r="CG40" s="41">
        <f>[22]byGOVDetalhado!E40</f>
        <v>339.26449637423451</v>
      </c>
      <c r="CH40" s="38">
        <f>[23]byGOVDetalhado!B40</f>
        <v>90.520455889977896</v>
      </c>
      <c r="CI40" s="39">
        <f>[23]byGOVDetalhado!C40</f>
        <v>1.0172292721192355</v>
      </c>
      <c r="CJ40" s="40">
        <f>[23]byGOVDetalhado!D40</f>
        <v>2.9572516437274938</v>
      </c>
      <c r="CK40" s="41">
        <f>[23]byGOVDetalhado!E40</f>
        <v>424.34585491534477</v>
      </c>
      <c r="CL40" s="38">
        <f>[24]byGOVDetalhado!B40</f>
        <v>109.34861963538836</v>
      </c>
      <c r="CM40" s="39">
        <f>[24]byGOVDetalhado!C40</f>
        <v>1.0848426044189154</v>
      </c>
      <c r="CN40" s="40">
        <f>[24]byGOVDetalhado!D40</f>
        <v>3.1078222017966288</v>
      </c>
      <c r="CO40" s="41">
        <f>[24]byGOVDetalhado!E40</f>
        <v>538.44894902493058</v>
      </c>
      <c r="CP40" s="38">
        <f>[25]byGOVDetalhado!B40</f>
        <v>123.44516212376996</v>
      </c>
      <c r="CQ40" s="39">
        <f>[25]byGOVDetalhado!C40</f>
        <v>1.1280387614952976</v>
      </c>
      <c r="CR40" s="40">
        <f>[25]byGOVDetalhado!D40</f>
        <v>3.2623036300590624</v>
      </c>
      <c r="CS40" s="41">
        <f>[25]byGOVDetalhado!E40</f>
        <v>593.96537516133242</v>
      </c>
      <c r="CT40" s="38">
        <f>[26]byGOVDetalhado!B40</f>
        <v>142.63379301107994</v>
      </c>
      <c r="CU40" s="39">
        <f>[26]byGOVDetalhado!C40</f>
        <v>1.2144514862912306</v>
      </c>
      <c r="CV40" s="40">
        <f>[26]byGOVDetalhado!D40</f>
        <v>3.3781689677017819</v>
      </c>
      <c r="CW40" s="41">
        <f>[26]byGOVDetalhado!E40</f>
        <v>670.95341488274596</v>
      </c>
      <c r="CX40" s="13">
        <f>CU40-CQ40</f>
        <v>8.6412724795932983E-2</v>
      </c>
    </row>
    <row r="41" spans="1:102" x14ac:dyDescent="0.25">
      <c r="A41" s="37" t="s">
        <v>13</v>
      </c>
      <c r="B41" s="38">
        <f>[2]byGOVDetalhado!B41</f>
        <v>5.5586584232500007</v>
      </c>
      <c r="C41" s="39">
        <f>[2]byGOVDetalhado!C41</f>
        <v>0.46230570160049578</v>
      </c>
      <c r="D41" s="40">
        <f>[2]byGOVDetalhado!D41</f>
        <v>1.512785918557475</v>
      </c>
      <c r="E41" s="41">
        <f>[2]byGOVDetalhado!E41</f>
        <v>32.047918307909384</v>
      </c>
      <c r="F41" s="38">
        <f>[3]byGOVDetalhado!B41</f>
        <v>5.9793952914693929</v>
      </c>
      <c r="G41" s="39">
        <f>[3]byGOVDetalhado!C41</f>
        <v>0.45444594863552806</v>
      </c>
      <c r="H41" s="40">
        <f>[3]byGOVDetalhado!D41</f>
        <v>1.4181057790661016</v>
      </c>
      <c r="I41" s="41">
        <f>[3]byGOVDetalhado!E41</f>
        <v>34.473636845573566</v>
      </c>
      <c r="J41" s="38">
        <f>[4]byGOVDetalhado!B41</f>
        <v>6.9639611940499995</v>
      </c>
      <c r="K41" s="39">
        <f>[4]byGOVDetalhado!C41</f>
        <v>0.46776074710821625</v>
      </c>
      <c r="L41" s="40">
        <f>[4]byGOVDetalhado!D41</f>
        <v>1.4056545109333645</v>
      </c>
      <c r="M41" s="41">
        <f>[4]byGOVDetalhado!E41</f>
        <v>39.062780149959274</v>
      </c>
      <c r="N41" s="38">
        <f>[5]byGOVDetalhado!B41</f>
        <v>8.091733552960001</v>
      </c>
      <c r="O41" s="39">
        <f>[5]byGOVDetalhado!C41</f>
        <v>0.47101100456707129</v>
      </c>
      <c r="P41" s="40">
        <f>[5]byGOVDetalhado!D41</f>
        <v>1.4449140592488583</v>
      </c>
      <c r="Q41" s="41">
        <f>[5]byGOVDetalhado!E41</f>
        <v>44.799986239329677</v>
      </c>
      <c r="R41" s="38">
        <f>[6]byGOVDetalhado!B41</f>
        <v>9.5086534598955001</v>
      </c>
      <c r="S41" s="39">
        <f>[6]byGOVDetalhado!C41</f>
        <v>0.48569268818636796</v>
      </c>
      <c r="T41" s="40">
        <f>[6]byGOVDetalhado!D41</f>
        <v>1.4445287876791366</v>
      </c>
      <c r="U41" s="41">
        <f>[6]byGOVDetalhado!E41</f>
        <v>51.984998951408123</v>
      </c>
      <c r="V41" s="38">
        <f>[7]byGOVDetalhado!B41</f>
        <v>9.9101774907400006</v>
      </c>
      <c r="W41" s="39">
        <f>[7]byGOVDetalhado!C41</f>
        <v>0.4565671231829207</v>
      </c>
      <c r="X41" s="40">
        <f>[7]byGOVDetalhado!D41</f>
        <v>1.3140259757950423</v>
      </c>
      <c r="Y41" s="41">
        <f>[7]byGOVDetalhado!E41</f>
        <v>53.524895218333533</v>
      </c>
      <c r="Z41" s="38">
        <f>[8]byGOVDetalhado!B41</f>
        <v>10.870440675319999</v>
      </c>
      <c r="AA41" s="39">
        <f>[8]byGOVDetalhado!C41</f>
        <v>0.4511585911855403</v>
      </c>
      <c r="AB41" s="40">
        <f>[8]byGOVDetalhado!D41</f>
        <v>1.3104245907666636</v>
      </c>
      <c r="AC41" s="41">
        <f>[8]byGOVDetalhado!E41</f>
        <v>58.026704703666987</v>
      </c>
      <c r="AD41" s="38">
        <f>[9]byGOVDetalhado!B41</f>
        <v>11.879156686149997</v>
      </c>
      <c r="AE41" s="39">
        <f>[9]byGOVDetalhado!C41</f>
        <v>0.43669147748397846</v>
      </c>
      <c r="AF41" s="40">
        <f>[9]byGOVDetalhado!D41</f>
        <v>1.2626393221360908</v>
      </c>
      <c r="AG41" s="41">
        <f>[9]byGOVDetalhado!E41</f>
        <v>62.699165786700384</v>
      </c>
      <c r="AH41" s="38">
        <f>[10]byGOVDetalhado!B41</f>
        <v>12.857911024079998</v>
      </c>
      <c r="AI41" s="39">
        <f>[10]byGOVDetalhado!C41</f>
        <v>0.41346384398240016</v>
      </c>
      <c r="AJ41" s="40">
        <f>[10]byGOVDetalhado!D41</f>
        <v>1.1895715520484127</v>
      </c>
      <c r="AK41" s="41">
        <f>[10]byGOVDetalhado!E41</f>
        <v>67.131766771267394</v>
      </c>
      <c r="AL41" s="38">
        <f>[11]byGOVDetalhado!B41</f>
        <v>14.184849605029997</v>
      </c>
      <c r="AM41" s="39">
        <f>[11]byGOVDetalhado!C41</f>
        <v>0.42558306713572802</v>
      </c>
      <c r="AN41" s="40">
        <f>[11]byGOVDetalhado!D41</f>
        <v>1.28326237399031</v>
      </c>
      <c r="AO41" s="41">
        <f>[11]byGOVDetalhado!E41</f>
        <v>73.290062606032421</v>
      </c>
      <c r="AP41" s="38">
        <f>[12]byGOVDetalhado!B41</f>
        <v>16.364693568250001</v>
      </c>
      <c r="AQ41" s="39">
        <f>[12]byGOVDetalhado!C41</f>
        <v>0.42113581847792769</v>
      </c>
      <c r="AR41" s="40">
        <f>[12]byGOVDetalhado!D41</f>
        <v>1.2672428400910356</v>
      </c>
      <c r="AS41" s="41">
        <f>[12]byGOVDetalhado!E41</f>
        <v>83.707815736921063</v>
      </c>
      <c r="AT41" s="38">
        <f>[13]byGOVDetalhado!B41</f>
        <v>18.378709162539998</v>
      </c>
      <c r="AU41" s="39">
        <f>[13]byGOVDetalhado!C41</f>
        <v>0.41995212398140741</v>
      </c>
      <c r="AV41" s="40">
        <f>[13]byGOVDetalhado!D41</f>
        <v>1.2321440477830119</v>
      </c>
      <c r="AW41" s="41">
        <f>[13]byGOVDetalhado!E41</f>
        <v>93.105302951131705</v>
      </c>
      <c r="AX41" s="38">
        <f>[14]byGOVDetalhado!B41</f>
        <v>20.246647526210001</v>
      </c>
      <c r="AY41" s="39">
        <f>[14]byGOVDetalhado!C41</f>
        <v>0.42051208214345059</v>
      </c>
      <c r="AZ41" s="40">
        <f>[14]byGOVDetalhado!D41</f>
        <v>1.2359752053420399</v>
      </c>
      <c r="BA41" s="41">
        <f>[14]byGOVDetalhado!E41</f>
        <v>101.61813562718375</v>
      </c>
      <c r="BB41" s="38">
        <f>[15]byGOVDetalhado!B41</f>
        <v>22.58085756877999</v>
      </c>
      <c r="BC41" s="39">
        <f>[15]byGOVDetalhado!C41</f>
        <v>0.42352721694442141</v>
      </c>
      <c r="BD41" s="40">
        <f>[15]byGOVDetalhado!D41</f>
        <v>1.2599194889991094</v>
      </c>
      <c r="BE41" s="41">
        <f>[15]byGOVDetalhado!E41</f>
        <v>112.32429349175473</v>
      </c>
      <c r="BF41" s="38">
        <f>[16]byGOVDetalhado!B41</f>
        <v>25.04215666628766</v>
      </c>
      <c r="BG41" s="39">
        <f>[16]byGOVDetalhado!C41</f>
        <v>0.43333380053943438</v>
      </c>
      <c r="BH41" s="40">
        <f>[16]byGOVDetalhado!D41</f>
        <v>1.3181599897891143</v>
      </c>
      <c r="BI41" s="41">
        <f>[16]byGOVDetalhado!E41</f>
        <v>123.50117996244239</v>
      </c>
      <c r="BJ41" s="38">
        <f>[17]byGOVDetalhado!B41</f>
        <v>28.085178097271708</v>
      </c>
      <c r="BK41" s="39">
        <f>[17]byGOVDetalhado!C41</f>
        <v>0.46841520716582674</v>
      </c>
      <c r="BL41" s="40">
        <f>[17]byGOVDetalhado!D41</f>
        <v>1.426345149415349</v>
      </c>
      <c r="BM41" s="41">
        <f>[17]byGOVDetalhado!E41</f>
        <v>137.36898481193722</v>
      </c>
      <c r="BN41" s="38">
        <f>[18]byGOVDetalhado!B41</f>
        <v>31.866790050081548</v>
      </c>
      <c r="BO41" s="39">
        <f>[18]byGOVDetalhado!C41</f>
        <v>0.50846892753757933</v>
      </c>
      <c r="BP41" s="40">
        <f>[18]byGOVDetalhado!D41</f>
        <v>1.5275359342275399</v>
      </c>
      <c r="BQ41" s="41">
        <f>[18]byGOVDetalhado!E41</f>
        <v>154.63202939157347</v>
      </c>
      <c r="BR41" s="38">
        <f>[19]byGOVDetalhado!B41</f>
        <v>35.284886591271473</v>
      </c>
      <c r="BS41" s="39">
        <f>[19]byGOVDetalhado!C41</f>
        <v>0.53838470432648733</v>
      </c>
      <c r="BT41" s="40">
        <f>[19]byGOVDetalhado!D41</f>
        <v>1.6013803746729189</v>
      </c>
      <c r="BU41" s="41">
        <f>[19]byGOVDetalhado!E41</f>
        <v>169.91586602827664</v>
      </c>
      <c r="BV41" s="38">
        <f>[20]byGOVDetalhado!B41</f>
        <v>45.062242620379266</v>
      </c>
      <c r="BW41" s="39">
        <f>[20]byGOVDetalhado!C41</f>
        <v>0.65410205757955975</v>
      </c>
      <c r="BX41" s="40">
        <f>[20]byGOVDetalhado!D41</f>
        <v>1.8991171408628413</v>
      </c>
      <c r="BY41" s="41">
        <f>[20]byGOVDetalhado!E41</f>
        <v>216.13115054794753</v>
      </c>
      <c r="BZ41" s="38">
        <f>[21]byGOVDetalhado!B41</f>
        <v>50.587825506897673</v>
      </c>
      <c r="CA41" s="39">
        <f>[21]byGOVDetalhado!C41</f>
        <v>0.68462482945420333</v>
      </c>
      <c r="CB41" s="40">
        <f>[21]byGOVDetalhado!D41</f>
        <v>2.0260055830787995</v>
      </c>
      <c r="CC41" s="41">
        <f>[21]byGOVDetalhado!E41</f>
        <v>240.72575585746259</v>
      </c>
      <c r="CD41" s="38">
        <f>[22]byGOVDetalhado!B41</f>
        <v>50.81945996504686</v>
      </c>
      <c r="CE41" s="39">
        <f>[22]byGOVDetalhado!C41</f>
        <v>0.66783378889902922</v>
      </c>
      <c r="CF41" s="40">
        <f>[22]byGOVDetalhado!D41</f>
        <v>2.0729460056184106</v>
      </c>
      <c r="CG41" s="41">
        <f>[22]byGOVDetalhado!E41</f>
        <v>239.9909985184571</v>
      </c>
      <c r="CH41" s="38">
        <f>[23]byGOVDetalhado!B41</f>
        <v>60.043900864102831</v>
      </c>
      <c r="CI41" s="39">
        <f>[23]byGOVDetalhado!C41</f>
        <v>0.67474708308393805</v>
      </c>
      <c r="CJ41" s="40">
        <f>[23]byGOVDetalhado!D41</f>
        <v>1.9615999806938462</v>
      </c>
      <c r="CK41" s="41">
        <f>[23]byGOVDetalhado!E41</f>
        <v>281.47649273439987</v>
      </c>
      <c r="CL41" s="38">
        <f>[24]byGOVDetalhado!B41</f>
        <v>65.580775459973196</v>
      </c>
      <c r="CM41" s="39">
        <f>[24]byGOVDetalhado!C41</f>
        <v>0.65062384405980112</v>
      </c>
      <c r="CN41" s="40">
        <f>[24]byGOVDetalhado!D41</f>
        <v>1.8638862627177084</v>
      </c>
      <c r="CO41" s="41">
        <f>[24]byGOVDetalhado!E41</f>
        <v>322.92954168426081</v>
      </c>
      <c r="CP41" s="38">
        <f>[25]byGOVDetalhado!B41</f>
        <v>72.900986012390021</v>
      </c>
      <c r="CQ41" s="39">
        <f>[25]byGOVDetalhado!C41</f>
        <v>0.66616736175331803</v>
      </c>
      <c r="CR41" s="40">
        <f>[25]byGOVDetalhado!D41</f>
        <v>1.9265651825597994</v>
      </c>
      <c r="CS41" s="41">
        <f>[25]byGOVDetalhado!E41</f>
        <v>350.76839595435661</v>
      </c>
      <c r="CT41" s="38">
        <f>[26]byGOVDetalhado!B41</f>
        <v>77.634383739106241</v>
      </c>
      <c r="CU41" s="39">
        <f>[26]byGOVDetalhado!C41</f>
        <v>0.6610158134961559</v>
      </c>
      <c r="CV41" s="40">
        <f>[26]byGOVDetalhado!D41</f>
        <v>1.8387091897200531</v>
      </c>
      <c r="CW41" s="41">
        <f>[26]byGOVDetalhado!E41</f>
        <v>365.19434688261094</v>
      </c>
    </row>
    <row r="42" spans="1:102" x14ac:dyDescent="0.25">
      <c r="A42" s="37" t="s">
        <v>67</v>
      </c>
      <c r="B42" s="38">
        <f>[2]byGOVDetalhado!B42</f>
        <v>1.13592244914</v>
      </c>
      <c r="C42" s="39">
        <f>[2]byGOVDetalhado!C42</f>
        <v>9.4473051737973782E-2</v>
      </c>
      <c r="D42" s="40">
        <f>[2]byGOVDetalhado!D42</f>
        <v>0.30914068733649658</v>
      </c>
      <c r="E42" s="41">
        <f>[2]byGOVDetalhado!E42</f>
        <v>6.5490532215279806</v>
      </c>
      <c r="F42" s="38">
        <f>[3]byGOVDetalhado!B42</f>
        <v>1.2718676154356061</v>
      </c>
      <c r="G42" s="39">
        <f>[3]byGOVDetalhado!C42</f>
        <v>9.666447138225627E-2</v>
      </c>
      <c r="H42" s="40">
        <f>[3]byGOVDetalhado!D42</f>
        <v>0.30164301367221086</v>
      </c>
      <c r="I42" s="41">
        <f>[3]byGOVDetalhado!E42</f>
        <v>7.3328321933701579</v>
      </c>
      <c r="J42" s="38">
        <f>[4]byGOVDetalhado!B42</f>
        <v>1.5283992897100001</v>
      </c>
      <c r="K42" s="39">
        <f>[4]byGOVDetalhado!C42</f>
        <v>0.10266070900068311</v>
      </c>
      <c r="L42" s="40">
        <f>[4]byGOVDetalhado!D42</f>
        <v>0.30850277539222987</v>
      </c>
      <c r="M42" s="41">
        <f>[4]byGOVDetalhado!E42</f>
        <v>8.5732134013478234</v>
      </c>
      <c r="N42" s="38">
        <f>[5]byGOVDetalhado!B42</f>
        <v>1.6147846514799999</v>
      </c>
      <c r="O42" s="39">
        <f>[5]byGOVDetalhado!C42</f>
        <v>9.3994857328793022E-2</v>
      </c>
      <c r="P42" s="40">
        <f>[5]byGOVDetalhado!D42</f>
        <v>0.28834674675233374</v>
      </c>
      <c r="Q42" s="41">
        <f>[5]byGOVDetalhado!E42</f>
        <v>8.9402758620643841</v>
      </c>
      <c r="R42" s="38">
        <f>[6]byGOVDetalhado!B42</f>
        <v>1.7407975789700001</v>
      </c>
      <c r="S42" s="39">
        <f>[6]byGOVDetalhado!C42</f>
        <v>8.8918232143413545E-2</v>
      </c>
      <c r="T42" s="40">
        <f>[6]byGOVDetalhado!D42</f>
        <v>0.26445723644785618</v>
      </c>
      <c r="U42" s="41">
        <f>[6]byGOVDetalhado!E42</f>
        <v>9.517158312588645</v>
      </c>
      <c r="V42" s="38">
        <f>[7]byGOVDetalhado!B42</f>
        <v>2.03566481467</v>
      </c>
      <c r="W42" s="39">
        <f>[7]byGOVDetalhado!C42</f>
        <v>9.3784155638687264E-2</v>
      </c>
      <c r="X42" s="40">
        <f>[7]byGOVDetalhado!D42</f>
        <v>0.26991609857520754</v>
      </c>
      <c r="Y42" s="41">
        <f>[7]byGOVDetalhado!E42</f>
        <v>10.994631126099446</v>
      </c>
      <c r="Z42" s="38">
        <f>[8]byGOVDetalhado!B42</f>
        <v>2.46148491818</v>
      </c>
      <c r="AA42" s="39">
        <f>[8]byGOVDetalhado!C42</f>
        <v>0.1021596180945859</v>
      </c>
      <c r="AB42" s="40">
        <f>[8]byGOVDetalhado!D42</f>
        <v>0.29673041442631187</v>
      </c>
      <c r="AC42" s="41">
        <f>[8]byGOVDetalhado!E42</f>
        <v>13.13947269902709</v>
      </c>
      <c r="AD42" s="38">
        <f>[9]byGOVDetalhado!B42</f>
        <v>3.1984922962800009</v>
      </c>
      <c r="AE42" s="39">
        <f>[9]byGOVDetalhado!C42</f>
        <v>0.11758025956607875</v>
      </c>
      <c r="AF42" s="40">
        <f>[9]byGOVDetalhado!D42</f>
        <v>0.33996875801302096</v>
      </c>
      <c r="AG42" s="41">
        <f>[9]byGOVDetalhado!E42</f>
        <v>16.881905344826219</v>
      </c>
      <c r="AH42" s="38">
        <f>[10]byGOVDetalhado!B42</f>
        <v>4.0237765531100003</v>
      </c>
      <c r="AI42" s="39">
        <f>[10]byGOVDetalhado!C42</f>
        <v>0.12939007882846598</v>
      </c>
      <c r="AJ42" s="40">
        <f>[10]byGOVDetalhado!D42</f>
        <v>0.37226654550765648</v>
      </c>
      <c r="AK42" s="41">
        <f>[10]byGOVDetalhado!E42</f>
        <v>21.008329315484779</v>
      </c>
      <c r="AL42" s="38">
        <f>[11]byGOVDetalhado!B42</f>
        <v>4.1835575361699995</v>
      </c>
      <c r="AM42" s="39">
        <f>[11]byGOVDetalhado!C42</f>
        <v>0.12551780930766185</v>
      </c>
      <c r="AN42" s="40">
        <f>[11]byGOVDetalhado!D42</f>
        <v>0.37847436702373216</v>
      </c>
      <c r="AO42" s="41">
        <f>[11]byGOVDetalhado!E42</f>
        <v>21.615540684556279</v>
      </c>
      <c r="AP42" s="38">
        <f>[12]byGOVDetalhado!B42</f>
        <v>5.5727660216000006</v>
      </c>
      <c r="AQ42" s="39">
        <f>[12]byGOVDetalhado!C42</f>
        <v>0.14341187446649342</v>
      </c>
      <c r="AR42" s="40">
        <f>[12]byGOVDetalhado!D42</f>
        <v>0.43154170965209249</v>
      </c>
      <c r="AS42" s="41">
        <f>[12]byGOVDetalhado!E42</f>
        <v>28.505518257067624</v>
      </c>
      <c r="AT42" s="38">
        <f>[13]byGOVDetalhado!B42</f>
        <v>6.8709687197200005</v>
      </c>
      <c r="AU42" s="39">
        <f>[13]byGOVDetalhado!C42</f>
        <v>0.15700111918292325</v>
      </c>
      <c r="AV42" s="40">
        <f>[13]byGOVDetalhado!D42</f>
        <v>0.46064297201905491</v>
      </c>
      <c r="AW42" s="41">
        <f>[13]byGOVDetalhado!E42</f>
        <v>34.807864826610505</v>
      </c>
      <c r="AX42" s="38">
        <f>[14]byGOVDetalhado!B42</f>
        <v>7.9039373667400001</v>
      </c>
      <c r="AY42" s="39">
        <f>[14]byGOVDetalhado!C42</f>
        <v>0.16416056806029791</v>
      </c>
      <c r="AZ42" s="40">
        <f>[14]byGOVDetalhado!D42</f>
        <v>0.48250312044108462</v>
      </c>
      <c r="BA42" s="41">
        <f>[14]byGOVDetalhado!E42</f>
        <v>39.669944284968729</v>
      </c>
      <c r="BB42" s="38">
        <f>[15]byGOVDetalhado!B42</f>
        <v>9.3046846365899984</v>
      </c>
      <c r="BC42" s="39">
        <f>[15]byGOVDetalhado!C42</f>
        <v>0.174518933865867</v>
      </c>
      <c r="BD42" s="40">
        <f>[15]byGOVDetalhado!D42</f>
        <v>0.51916334341697545</v>
      </c>
      <c r="BE42" s="41">
        <f>[15]byGOVDetalhado!E42</f>
        <v>46.284430287251645</v>
      </c>
      <c r="BF42" s="38">
        <f>[16]byGOVDetalhado!B42</f>
        <v>9.9345402635077438</v>
      </c>
      <c r="BG42" s="39">
        <f>[16]byGOVDetalhado!C42</f>
        <v>0.17190899914755739</v>
      </c>
      <c r="BH42" s="40">
        <f>[16]byGOVDetalhado!D42</f>
        <v>0.52293073902592946</v>
      </c>
      <c r="BI42" s="41">
        <f>[16]byGOVDetalhado!E42</f>
        <v>48.994480039305813</v>
      </c>
      <c r="BJ42" s="38">
        <f>[17]byGOVDetalhado!B42</f>
        <v>10.160812069321333</v>
      </c>
      <c r="BK42" s="39">
        <f>[17]byGOVDetalhado!C42</f>
        <v>0.16946586110082518</v>
      </c>
      <c r="BL42" s="40">
        <f>[17]byGOVDetalhado!D42</f>
        <v>0.51603108796398567</v>
      </c>
      <c r="BM42" s="41">
        <f>[17]byGOVDetalhado!E42</f>
        <v>49.698115995324294</v>
      </c>
      <c r="BN42" s="38">
        <f>[18]byGOVDetalhado!B42</f>
        <v>9.7763205583815616</v>
      </c>
      <c r="BO42" s="39">
        <f>[18]byGOVDetalhado!C42</f>
        <v>0.1559917149412148</v>
      </c>
      <c r="BP42" s="40">
        <f>[18]byGOVDetalhado!D42</f>
        <v>0.46862834110325041</v>
      </c>
      <c r="BQ42" s="41">
        <f>[18]byGOVDetalhado!E42</f>
        <v>47.439114060414532</v>
      </c>
      <c r="BR42" s="38">
        <f>[19]byGOVDetalhado!B42</f>
        <v>10.293095183890959</v>
      </c>
      <c r="BS42" s="39">
        <f>[19]byGOVDetalhado!C42</f>
        <v>0.15705435223233444</v>
      </c>
      <c r="BT42" s="40">
        <f>[19]byGOVDetalhado!D42</f>
        <v>0.46714506448777438</v>
      </c>
      <c r="BU42" s="41">
        <f>[19]byGOVDetalhado!E42</f>
        <v>49.56683586776672</v>
      </c>
      <c r="BV42" s="38">
        <f>[20]byGOVDetalhado!B42</f>
        <v>11.493558029060191</v>
      </c>
      <c r="BW42" s="39">
        <f>[20]byGOVDetalhado!C42</f>
        <v>0.1668350157148718</v>
      </c>
      <c r="BX42" s="40">
        <f>[20]byGOVDetalhado!D42</f>
        <v>0.48438807731727201</v>
      </c>
      <c r="BY42" s="41">
        <f>[20]byGOVDetalhado!E42</f>
        <v>55.126326970396832</v>
      </c>
      <c r="BZ42" s="38">
        <f>[21]byGOVDetalhado!B42</f>
        <v>12.808551159474884</v>
      </c>
      <c r="CA42" s="39">
        <f>[21]byGOVDetalhado!C42</f>
        <v>0.17334313276452784</v>
      </c>
      <c r="CB42" s="40">
        <f>[21]byGOVDetalhado!D42</f>
        <v>0.51297314917614367</v>
      </c>
      <c r="CC42" s="41">
        <f>[21]byGOVDetalhado!E42</f>
        <v>60.950399199964714</v>
      </c>
      <c r="CD42" s="38">
        <f>[22]byGOVDetalhado!B42</f>
        <v>14.581663237076393</v>
      </c>
      <c r="CE42" s="39">
        <f>[22]byGOVDetalhado!C42</f>
        <v>0.19162201673855256</v>
      </c>
      <c r="CF42" s="40">
        <f>[22]byGOVDetalhado!D42</f>
        <v>0.5947918490940316</v>
      </c>
      <c r="CG42" s="41">
        <f>[22]byGOVDetalhado!E42</f>
        <v>68.860785272664089</v>
      </c>
      <c r="CH42" s="38">
        <f>[23]byGOVDetalhado!B42</f>
        <v>21.087290686173805</v>
      </c>
      <c r="CI42" s="39">
        <f>[23]byGOVDetalhado!C42</f>
        <v>0.23696974506773613</v>
      </c>
      <c r="CJ42" s="40">
        <f>[23]byGOVDetalhado!D42</f>
        <v>0.68890975448955161</v>
      </c>
      <c r="CK42" s="41">
        <f>[23]byGOVDetalhado!E42</f>
        <v>98.853947498330442</v>
      </c>
      <c r="CL42" s="38">
        <f>[24]byGOVDetalhado!B42</f>
        <v>20.306394000397397</v>
      </c>
      <c r="CM42" s="39">
        <f>[24]byGOVDetalhado!C42</f>
        <v>0.20145879689384261</v>
      </c>
      <c r="CN42" s="40">
        <f>[24]byGOVDetalhado!D42</f>
        <v>0.57713268190576339</v>
      </c>
      <c r="CO42" s="41">
        <f>[24]byGOVDetalhado!E42</f>
        <v>99.991719552183454</v>
      </c>
      <c r="CP42" s="38">
        <f>[25]byGOVDetalhado!B42</f>
        <v>21.648619978919999</v>
      </c>
      <c r="CQ42" s="39">
        <f>[25]byGOVDetalhado!C42</f>
        <v>0.19782454045966205</v>
      </c>
      <c r="CR42" s="40">
        <f>[25]byGOVDetalhado!D42</f>
        <v>0.5721112948289514</v>
      </c>
      <c r="CS42" s="41">
        <f>[25]byGOVDetalhado!E42</f>
        <v>104.16390943382594</v>
      </c>
      <c r="CT42" s="38">
        <f>[26]byGOVDetalhado!B42</f>
        <v>25.102511717889996</v>
      </c>
      <c r="CU42" s="39">
        <f>[26]byGOVDetalhado!C42</f>
        <v>0.21373464185353588</v>
      </c>
      <c r="CV42" s="40">
        <f>[26]byGOVDetalhado!D42</f>
        <v>0.59453320497589901</v>
      </c>
      <c r="CW42" s="41">
        <f>[26]byGOVDetalhado!E42</f>
        <v>118.08292834184172</v>
      </c>
    </row>
    <row r="43" spans="1:102" x14ac:dyDescent="0.25">
      <c r="A43" s="37" t="s">
        <v>89</v>
      </c>
      <c r="B43" s="38">
        <f>[2]byGOVDetalhado!B43</f>
        <v>1.3827698054499997</v>
      </c>
      <c r="C43" s="39">
        <f>[2]byGOVDetalhado!C43</f>
        <v>0.11500299467704714</v>
      </c>
      <c r="D43" s="40">
        <f>[2]byGOVDetalhado!D43</f>
        <v>0.37632006340626667</v>
      </c>
      <c r="E43" s="41">
        <f>[2]byGOVDetalhado!E43</f>
        <v>7.9722282589538205</v>
      </c>
      <c r="F43" s="38">
        <f>[3]byGOVDetalhado!B43</f>
        <v>1.6681816006800001</v>
      </c>
      <c r="G43" s="39">
        <f>[3]byGOVDetalhado!C43</f>
        <v>0.12678512342191364</v>
      </c>
      <c r="H43" s="40">
        <f>[3]byGOVDetalhado!D43</f>
        <v>0.39563498533556635</v>
      </c>
      <c r="I43" s="41">
        <f>[3]byGOVDetalhado!E43</f>
        <v>9.6177429139624078</v>
      </c>
      <c r="J43" s="38">
        <f>[4]byGOVDetalhado!B43</f>
        <v>1.7921628349499998</v>
      </c>
      <c r="K43" s="39">
        <f>[4]byGOVDetalhado!C43</f>
        <v>0.12037738339668468</v>
      </c>
      <c r="L43" s="40">
        <f>[4]byGOVDetalhado!D43</f>
        <v>0.36174264948905271</v>
      </c>
      <c r="M43" s="41">
        <f>[4]byGOVDetalhado!E43</f>
        <v>10.052735916218687</v>
      </c>
      <c r="N43" s="38">
        <f>[5]byGOVDetalhado!B43</f>
        <v>2.1897554116799998</v>
      </c>
      <c r="O43" s="39">
        <f>[5]byGOVDetalhado!C43</f>
        <v>0.1274632795878809</v>
      </c>
      <c r="P43" s="40">
        <f>[5]byGOVDetalhado!D43</f>
        <v>0.39101737099280681</v>
      </c>
      <c r="Q43" s="41">
        <f>[5]byGOVDetalhado!E43</f>
        <v>12.12360882482046</v>
      </c>
      <c r="R43" s="38">
        <f>[6]byGOVDetalhado!B43</f>
        <v>2.4195037602499996</v>
      </c>
      <c r="S43" s="39">
        <f>[6]byGOVDetalhado!C43</f>
        <v>0.12358587788998703</v>
      </c>
      <c r="T43" s="40">
        <f>[6]byGOVDetalhado!D43</f>
        <v>0.36756443468257965</v>
      </c>
      <c r="U43" s="41">
        <f>[6]byGOVDetalhado!E43</f>
        <v>13.227729979856321</v>
      </c>
      <c r="V43" s="38">
        <f>[7]byGOVDetalhado!B43</f>
        <v>2.8000978980399998</v>
      </c>
      <c r="W43" s="39">
        <f>[7]byGOVDetalhado!C43</f>
        <v>0.12900199246009714</v>
      </c>
      <c r="X43" s="40">
        <f>[7]byGOVDetalhado!D43</f>
        <v>0.3712750226957755</v>
      </c>
      <c r="Y43" s="41">
        <f>[7]byGOVDetalhado!E43</f>
        <v>15.123336260496753</v>
      </c>
      <c r="Z43" s="38">
        <f>[8]byGOVDetalhado!B43</f>
        <v>3.2860689492099997</v>
      </c>
      <c r="AA43" s="39">
        <f>[8]byGOVDetalhado!C43</f>
        <v>0.13638253332544772</v>
      </c>
      <c r="AB43" s="40">
        <f>[8]byGOVDetalhado!D43</f>
        <v>0.39613348590146202</v>
      </c>
      <c r="AC43" s="41">
        <f>[8]byGOVDetalhado!E43</f>
        <v>17.541124435241422</v>
      </c>
      <c r="AD43" s="38">
        <f>[9]byGOVDetalhado!B43</f>
        <v>4.0324565471800007</v>
      </c>
      <c r="AE43" s="39">
        <f>[9]byGOVDetalhado!C43</f>
        <v>0.14823774565841616</v>
      </c>
      <c r="AF43" s="40">
        <f>[9]byGOVDetalhado!D43</f>
        <v>0.42861108206535087</v>
      </c>
      <c r="AG43" s="41">
        <f>[9]byGOVDetalhado!E43</f>
        <v>21.283637236141747</v>
      </c>
      <c r="AH43" s="38">
        <f>[10]byGOVDetalhado!B43</f>
        <v>4.9486812540599994</v>
      </c>
      <c r="AI43" s="39">
        <f>[10]byGOVDetalhado!C43</f>
        <v>0.15913166377612986</v>
      </c>
      <c r="AJ43" s="40">
        <f>[10]byGOVDetalhado!D43</f>
        <v>0.45783568022522136</v>
      </c>
      <c r="AK43" s="41">
        <f>[10]byGOVDetalhado!E43</f>
        <v>25.837300876537157</v>
      </c>
      <c r="AL43" s="38">
        <f>[11]byGOVDetalhado!B43</f>
        <v>4.8844532002400003</v>
      </c>
      <c r="AM43" s="39">
        <f>[11]byGOVDetalhado!C43</f>
        <v>0.14654653606633467</v>
      </c>
      <c r="AN43" s="40">
        <f>[11]byGOVDetalhado!D43</f>
        <v>0.44188237337122571</v>
      </c>
      <c r="AO43" s="41">
        <f>[11]byGOVDetalhado!E43</f>
        <v>25.236917613485549</v>
      </c>
      <c r="AP43" s="38">
        <f>[12]byGOVDetalhado!B43</f>
        <v>5.5871918317300002</v>
      </c>
      <c r="AQ43" s="39">
        <f>[12]byGOVDetalhado!C43</f>
        <v>0.14378311425359772</v>
      </c>
      <c r="AR43" s="40">
        <f>[12]byGOVDetalhado!D43</f>
        <v>0.43265880998296707</v>
      </c>
      <c r="AS43" s="41">
        <f>[12]byGOVDetalhado!E43</f>
        <v>28.579308398702828</v>
      </c>
      <c r="AT43" s="38">
        <f>[13]byGOVDetalhado!B43</f>
        <v>6.7766989988499988</v>
      </c>
      <c r="AU43" s="39">
        <f>[13]byGOVDetalhado!C43</f>
        <v>0.15484706314142593</v>
      </c>
      <c r="AV43" s="40">
        <f>[13]byGOVDetalhado!D43</f>
        <v>0.45432294842931958</v>
      </c>
      <c r="AW43" s="41">
        <f>[13]byGOVDetalhado!E43</f>
        <v>34.330300769031872</v>
      </c>
      <c r="AX43" s="38">
        <f>[14]byGOVDetalhado!B43</f>
        <v>8.1085416585499992</v>
      </c>
      <c r="AY43" s="39">
        <f>[14]byGOVDetalhado!C43</f>
        <v>0.16841009019244987</v>
      </c>
      <c r="AZ43" s="40">
        <f>[14]byGOVDetalhado!D43</f>
        <v>0.49499337747037103</v>
      </c>
      <c r="BA43" s="41">
        <f>[14]byGOVDetalhado!E43</f>
        <v>40.696855364846876</v>
      </c>
      <c r="BB43" s="38">
        <f>[15]byGOVDetalhado!B43</f>
        <v>9.2591592195599972</v>
      </c>
      <c r="BC43" s="39">
        <f>[15]byGOVDetalhado!C43</f>
        <v>0.17366505782877578</v>
      </c>
      <c r="BD43" s="40">
        <f>[15]byGOVDetalhado!D43</f>
        <v>0.5166232113610425</v>
      </c>
      <c r="BE43" s="41">
        <f>[15]byGOVDetalhado!E43</f>
        <v>46.057972532569984</v>
      </c>
      <c r="BF43" s="38">
        <f>[16]byGOVDetalhado!B43</f>
        <v>10.718653682399996</v>
      </c>
      <c r="BG43" s="39">
        <f>[16]byGOVDetalhado!C43</f>
        <v>0.18547743306443218</v>
      </c>
      <c r="BH43" s="40">
        <f>[16]byGOVDetalhado!D43</f>
        <v>0.56420461771034636</v>
      </c>
      <c r="BI43" s="41">
        <f>[16]byGOVDetalhado!E43</f>
        <v>52.861516483013752</v>
      </c>
      <c r="BJ43" s="38">
        <f>[17]byGOVDetalhado!B43</f>
        <v>12.45459476109</v>
      </c>
      <c r="BK43" s="39">
        <f>[17]byGOVDetalhado!C43</f>
        <v>0.20772243512136107</v>
      </c>
      <c r="BL43" s="40">
        <f>[17]byGOVDetalhado!D43</f>
        <v>0.63252405820208246</v>
      </c>
      <c r="BM43" s="41">
        <f>[17]byGOVDetalhado!E43</f>
        <v>60.917364762632765</v>
      </c>
      <c r="BN43" s="38">
        <f>[18]byGOVDetalhado!B43</f>
        <v>14.665265627040004</v>
      </c>
      <c r="BO43" s="39">
        <f>[18]byGOVDetalhado!C43</f>
        <v>0.23400009457230142</v>
      </c>
      <c r="BP43" s="40">
        <f>[18]byGOVDetalhado!D43</f>
        <v>0.70298013057133291</v>
      </c>
      <c r="BQ43" s="41">
        <f>[18]byGOVDetalhado!E43</f>
        <v>71.16247924286553</v>
      </c>
      <c r="BR43" s="38">
        <f>[19]byGOVDetalhado!B43</f>
        <v>16.22476628627</v>
      </c>
      <c r="BS43" s="39">
        <f>[19]byGOVDetalhado!C43</f>
        <v>0.24756111875843972</v>
      </c>
      <c r="BT43" s="40">
        <f>[19]byGOVDetalhado!D43</f>
        <v>0.7363498887060288</v>
      </c>
      <c r="BU43" s="41">
        <f>[19]byGOVDetalhado!E43</f>
        <v>78.131049323534526</v>
      </c>
      <c r="BV43" s="38">
        <f>[20]byGOVDetalhado!B43</f>
        <v>18.048038600970003</v>
      </c>
      <c r="BW43" s="39">
        <f>[20]byGOVDetalhado!C43</f>
        <v>0.26197673479372963</v>
      </c>
      <c r="BX43" s="40">
        <f>[20]byGOVDetalhado!D43</f>
        <v>0.76062214113053095</v>
      </c>
      <c r="BY43" s="41">
        <f>[20]byGOVDetalhado!E43</f>
        <v>86.563453595123917</v>
      </c>
      <c r="BZ43" s="38">
        <f>[21]byGOVDetalhado!B43</f>
        <v>19.194820557189999</v>
      </c>
      <c r="CA43" s="39">
        <f>[21]byGOVDetalhado!C43</f>
        <v>0.25977101444256434</v>
      </c>
      <c r="CB43" s="40">
        <f>[21]byGOVDetalhado!D43</f>
        <v>0.7687385892829125</v>
      </c>
      <c r="CC43" s="41">
        <f>[21]byGOVDetalhado!E43</f>
        <v>91.339915105619454</v>
      </c>
      <c r="CD43" s="38">
        <f>[22]byGOVDetalhado!B43</f>
        <v>21.739581786490007</v>
      </c>
      <c r="CE43" s="39">
        <f>[22]byGOVDetalhado!C43</f>
        <v>0.28568637454112228</v>
      </c>
      <c r="CF43" s="40">
        <f>[22]byGOVDetalhado!D43</f>
        <v>0.88676619663244105</v>
      </c>
      <c r="CG43" s="41">
        <f>[22]byGOVDetalhado!E43</f>
        <v>102.66350614315485</v>
      </c>
      <c r="CH43" s="38">
        <f>[23]byGOVDetalhado!B43</f>
        <v>23.810981553079998</v>
      </c>
      <c r="CI43" s="39">
        <f>[23]byGOVDetalhado!C43</f>
        <v>0.26757739116033108</v>
      </c>
      <c r="CJ43" s="40">
        <f>[23]byGOVDetalhado!D43</f>
        <v>0.77789118099665877</v>
      </c>
      <c r="CK43" s="41">
        <f>[23]byGOVDetalhado!E43</f>
        <v>111.62218776047862</v>
      </c>
      <c r="CL43" s="38">
        <f>[24]byGOVDetalhado!B43</f>
        <v>30.249822763920001</v>
      </c>
      <c r="CM43" s="39">
        <f>[24]byGOVDetalhado!C43</f>
        <v>0.30010709435422334</v>
      </c>
      <c r="CN43" s="40">
        <f>[24]byGOVDetalhado!D43</f>
        <v>0.85973715168599141</v>
      </c>
      <c r="CO43" s="41">
        <f>[24]byGOVDetalhado!E43</f>
        <v>148.95464917375037</v>
      </c>
      <c r="CP43" s="38">
        <f>[25]byGOVDetalhado!B43</f>
        <v>40.212346084940009</v>
      </c>
      <c r="CQ43" s="39">
        <f>[25]byGOVDetalhado!C43</f>
        <v>0.36745939892723845</v>
      </c>
      <c r="CR43" s="40">
        <f>[25]byGOVDetalhado!D43</f>
        <v>1.0626976411968345</v>
      </c>
      <c r="CS43" s="41">
        <f>[25]byGOVDetalhado!E43</f>
        <v>193.48462764795227</v>
      </c>
      <c r="CT43" s="38">
        <f>[26]byGOVDetalhado!B43</f>
        <v>48.838753453650007</v>
      </c>
      <c r="CU43" s="39">
        <f>[26]byGOVDetalhado!C43</f>
        <v>0.41583621572616236</v>
      </c>
      <c r="CV43" s="40">
        <f>[26]byGOVDetalhado!D43</f>
        <v>1.1567073822789138</v>
      </c>
      <c r="CW43" s="41">
        <f>[26]byGOVDetalhado!E43</f>
        <v>229.73888386882822</v>
      </c>
      <c r="CX43" s="13">
        <f>CU43-CQ43</f>
        <v>4.8376816798923916E-2</v>
      </c>
    </row>
    <row r="44" spans="1:102" s="43" customFormat="1" x14ac:dyDescent="0.25">
      <c r="A44" s="37" t="s">
        <v>68</v>
      </c>
      <c r="B44" s="38">
        <f>[2]byGOVDetalhado!B44</f>
        <v>2.22635683711</v>
      </c>
      <c r="C44" s="39">
        <f>[2]byGOVDetalhado!C44</f>
        <v>0.18516292623561129</v>
      </c>
      <c r="D44" s="40">
        <f>[2]byGOVDetalhado!D44</f>
        <v>0.60590182314080465</v>
      </c>
      <c r="E44" s="41">
        <f>[2]byGOVDetalhado!E44</f>
        <v>12.835849337588957</v>
      </c>
      <c r="F44" s="38">
        <f>[3]byGOVDetalhado!B44</f>
        <v>2.33506839594</v>
      </c>
      <c r="G44" s="39">
        <f>[3]byGOVDetalhado!C44</f>
        <v>0.17746984780145239</v>
      </c>
      <c r="H44" s="40">
        <f>[3]byGOVDetalhado!D44</f>
        <v>0.55379747037653704</v>
      </c>
      <c r="I44" s="41">
        <f>[3]byGOVDetalhado!E44</f>
        <v>13.462615526699805</v>
      </c>
      <c r="J44" s="38">
        <f>[4]byGOVDetalhado!B44</f>
        <v>2.4964933406100003</v>
      </c>
      <c r="K44" s="39">
        <f>[4]byGOVDetalhado!C44</f>
        <v>0.16768640111782276</v>
      </c>
      <c r="L44" s="40">
        <f>[4]byGOVDetalhado!D44</f>
        <v>0.50390963245771869</v>
      </c>
      <c r="M44" s="41">
        <f>[4]byGOVDetalhado!E44</f>
        <v>14.003520093335212</v>
      </c>
      <c r="N44" s="38">
        <f>[5]byGOVDetalhado!B44</f>
        <v>2.7502886436600003</v>
      </c>
      <c r="O44" s="39">
        <f>[5]byGOVDetalhado!C44</f>
        <v>0.16009130904042609</v>
      </c>
      <c r="P44" s="40">
        <f>[5]byGOVDetalhado!D44</f>
        <v>0.49110993363877159</v>
      </c>
      <c r="Q44" s="41">
        <f>[5]byGOVDetalhado!E44</f>
        <v>15.227008228055253</v>
      </c>
      <c r="R44" s="38">
        <f>[6]byGOVDetalhado!B44</f>
        <v>2.7295108930400001</v>
      </c>
      <c r="S44" s="39">
        <f>[6]byGOVDetalhado!C44</f>
        <v>0.13942073803256902</v>
      </c>
      <c r="T44" s="40">
        <f>[6]byGOVDetalhado!D44</f>
        <v>0.41465987565009033</v>
      </c>
      <c r="U44" s="41">
        <f>[6]byGOVDetalhado!E44</f>
        <v>14.922577787801812</v>
      </c>
      <c r="V44" s="38">
        <f>[7]byGOVDetalhado!B44</f>
        <v>2.8951366215700003</v>
      </c>
      <c r="W44" s="39">
        <f>[7]byGOVDetalhado!C44</f>
        <v>0.13338047676409817</v>
      </c>
      <c r="X44" s="40">
        <f>[7]byGOVDetalhado!D44</f>
        <v>0.38387654789968984</v>
      </c>
      <c r="Y44" s="41">
        <f>[7]byGOVDetalhado!E44</f>
        <v>15.636640661288832</v>
      </c>
      <c r="Z44" s="38">
        <f>[8]byGOVDetalhado!B44</f>
        <v>3.0078593762299999</v>
      </c>
      <c r="AA44" s="39">
        <f>[8]byGOVDetalhado!C44</f>
        <v>0.12483593252526511</v>
      </c>
      <c r="AB44" s="40">
        <f>[8]byGOVDetalhado!D44</f>
        <v>0.36259550186670236</v>
      </c>
      <c r="AC44" s="41">
        <f>[8]byGOVDetalhado!E44</f>
        <v>16.05603425175919</v>
      </c>
      <c r="AD44" s="38">
        <f>[9]byGOVDetalhado!B44</f>
        <v>3.1969888784</v>
      </c>
      <c r="AE44" s="39">
        <f>[9]byGOVDetalhado!C44</f>
        <v>0.1175249921937695</v>
      </c>
      <c r="AF44" s="40">
        <f>[9]byGOVDetalhado!D44</f>
        <v>0.33980895925095023</v>
      </c>
      <c r="AG44" s="41">
        <f>[9]byGOVDetalhado!E44</f>
        <v>16.873970181632796</v>
      </c>
      <c r="AH44" s="38">
        <f>[10]byGOVDetalhado!B44</f>
        <v>3.4916127326799997</v>
      </c>
      <c r="AI44" s="39">
        <f>[10]byGOVDetalhado!C44</f>
        <v>0.11227761799316549</v>
      </c>
      <c r="AJ44" s="40">
        <f>[10]byGOVDetalhado!D44</f>
        <v>0.32303250269717415</v>
      </c>
      <c r="AK44" s="41">
        <f>[10]byGOVDetalhado!E44</f>
        <v>18.22987662512876</v>
      </c>
      <c r="AL44" s="38">
        <f>[11]byGOVDetalhado!B44</f>
        <v>3.8626012967699994</v>
      </c>
      <c r="AM44" s="39">
        <f>[11]byGOVDetalhado!C44</f>
        <v>0.11588827183750322</v>
      </c>
      <c r="AN44" s="40">
        <f>[11]byGOVDetalhado!D44</f>
        <v>0.34943838305578118</v>
      </c>
      <c r="AO44" s="41">
        <f>[11]byGOVDetalhado!E44</f>
        <v>19.957228926983507</v>
      </c>
      <c r="AP44" s="38">
        <f>[12]byGOVDetalhado!B44</f>
        <v>4.3375583542600005</v>
      </c>
      <c r="AQ44" s="39">
        <f>[12]byGOVDetalhado!C44</f>
        <v>0.11162452752926197</v>
      </c>
      <c r="AR44" s="40">
        <f>[12]byGOVDetalhado!D44</f>
        <v>0.33589017386659503</v>
      </c>
      <c r="AS44" s="41">
        <f>[12]byGOVDetalhado!E44</f>
        <v>22.187249272481573</v>
      </c>
      <c r="AT44" s="38">
        <f>[13]byGOVDetalhado!B44</f>
        <v>4.8306379443899994</v>
      </c>
      <c r="AU44" s="39">
        <f>[13]byGOVDetalhado!C44</f>
        <v>0.11037971421119089</v>
      </c>
      <c r="AV44" s="40">
        <f>[13]byGOVDetalhado!D44</f>
        <v>0.32385526848134266</v>
      </c>
      <c r="AW44" s="41">
        <f>[13]byGOVDetalhado!E44</f>
        <v>24.471686519550154</v>
      </c>
      <c r="AX44" s="38">
        <f>[14]byGOVDetalhado!B44</f>
        <v>5.320119824209999</v>
      </c>
      <c r="AY44" s="39">
        <f>[14]byGOVDetalhado!C44</f>
        <v>0.11049605430405667</v>
      </c>
      <c r="AZ44" s="40">
        <f>[14]byGOVDetalhado!D44</f>
        <v>0.32477160397344523</v>
      </c>
      <c r="BA44" s="41">
        <f>[14]byGOVDetalhado!E44</f>
        <v>26.701737023355992</v>
      </c>
      <c r="BB44" s="38">
        <f>[15]byGOVDetalhado!B44</f>
        <v>5.8986246574699992</v>
      </c>
      <c r="BC44" s="39">
        <f>[15]byGOVDetalhado!C44</f>
        <v>0.11063477449288854</v>
      </c>
      <c r="BD44" s="40">
        <f>[15]byGOVDetalhado!D44</f>
        <v>0.32911912851849567</v>
      </c>
      <c r="BE44" s="41">
        <f>[15]byGOVDetalhado!E44</f>
        <v>29.341615800252288</v>
      </c>
      <c r="BF44" s="38">
        <f>[16]byGOVDetalhado!B44</f>
        <v>6.4613561088293858</v>
      </c>
      <c r="BG44" s="39">
        <f>[16]byGOVDetalhado!C44</f>
        <v>0.11180842115915089</v>
      </c>
      <c r="BH44" s="40">
        <f>[16]byGOVDetalhado!D44</f>
        <v>0.34011052705793093</v>
      </c>
      <c r="BI44" s="41">
        <f>[16]byGOVDetalhado!E44</f>
        <v>31.865670127055424</v>
      </c>
      <c r="BJ44" s="38">
        <f>[17]byGOVDetalhado!B44</f>
        <v>7.1878028091679669</v>
      </c>
      <c r="BK44" s="39">
        <f>[17]byGOVDetalhado!C44</f>
        <v>0.11988088985095645</v>
      </c>
      <c r="BL44" s="40">
        <f>[17]byGOVDetalhado!D44</f>
        <v>0.36504264407020764</v>
      </c>
      <c r="BM44" s="41">
        <f>[17]byGOVDetalhado!E44</f>
        <v>35.156664184362491</v>
      </c>
      <c r="BN44" s="38">
        <f>[18]byGOVDetalhado!B44</f>
        <v>7.7504554408313</v>
      </c>
      <c r="BO44" s="39">
        <f>[18]byGOVDetalhado!C44</f>
        <v>0.12366685692954515</v>
      </c>
      <c r="BP44" s="40">
        <f>[18]byGOVDetalhado!D44</f>
        <v>0.37151841066806357</v>
      </c>
      <c r="BQ44" s="41">
        <f>[18]byGOVDetalhado!E44</f>
        <v>37.608703344177556</v>
      </c>
      <c r="BR44" s="38">
        <f>[19]byGOVDetalhado!B44</f>
        <v>8.6444444293475708</v>
      </c>
      <c r="BS44" s="39">
        <f>[19]byGOVDetalhado!C44</f>
        <v>0.13189886967958472</v>
      </c>
      <c r="BT44" s="40">
        <f>[19]byGOVDetalhado!D44</f>
        <v>0.39232218086630422</v>
      </c>
      <c r="BU44" s="41">
        <f>[19]byGOVDetalhado!E44</f>
        <v>41.627688323341609</v>
      </c>
      <c r="BV44" s="38">
        <f>[20]byGOVDetalhado!B44</f>
        <v>10.919361757948431</v>
      </c>
      <c r="BW44" s="39">
        <f>[20]byGOVDetalhado!C44</f>
        <v>0.15850025604583445</v>
      </c>
      <c r="BX44" s="40">
        <f>[20]byGOVDetalhado!D44</f>
        <v>0.46018897143001403</v>
      </c>
      <c r="BY44" s="41">
        <f>[20]byGOVDetalhado!E44</f>
        <v>52.372320656037296</v>
      </c>
      <c r="BZ44" s="38">
        <f>[21]byGOVDetalhado!B44</f>
        <v>12.058536149209797</v>
      </c>
      <c r="CA44" s="39">
        <f>[21]byGOVDetalhado!C44</f>
        <v>0.16319288627052081</v>
      </c>
      <c r="CB44" s="40">
        <f>[21]byGOVDetalhado!D44</f>
        <v>0.48293559403389347</v>
      </c>
      <c r="CC44" s="41">
        <f>[21]byGOVDetalhado!E44</f>
        <v>57.381399575225203</v>
      </c>
      <c r="CD44" s="38">
        <f>[22]byGOVDetalhado!B44</f>
        <v>11.504251510832887</v>
      </c>
      <c r="CE44" s="39">
        <f>[22]byGOVDetalhado!C44</f>
        <v>0.15118082482992054</v>
      </c>
      <c r="CF44" s="40">
        <f>[22]byGOVDetalhado!D44</f>
        <v>0.46926299951657918</v>
      </c>
      <c r="CG44" s="41">
        <f>[22]byGOVDetalhado!E44</f>
        <v>54.327944633634161</v>
      </c>
      <c r="CH44" s="38">
        <f>[23]byGOVDetalhado!B44</f>
        <v>13.741150645085449</v>
      </c>
      <c r="CI44" s="39">
        <f>[23]byGOVDetalhado!C44</f>
        <v>0.15441703790986561</v>
      </c>
      <c r="CJ44" s="40">
        <f>[23]byGOVDetalhado!D44</f>
        <v>0.44891555099188502</v>
      </c>
      <c r="CK44" s="41">
        <f>[23]byGOVDetalhado!E44</f>
        <v>64.416382580933444</v>
      </c>
      <c r="CL44" s="38">
        <f>[24]byGOVDetalhado!B44</f>
        <v>15.70035736786742</v>
      </c>
      <c r="CM44" s="39">
        <f>[24]byGOVDetalhado!C44</f>
        <v>0.15576252022254902</v>
      </c>
      <c r="CN44" s="40">
        <f>[24]byGOVDetalhado!D44</f>
        <v>0.44622345820823267</v>
      </c>
      <c r="CO44" s="41">
        <f>[24]byGOVDetalhado!E44</f>
        <v>77.310906641825881</v>
      </c>
      <c r="CP44" s="38">
        <f>[25]byGOVDetalhado!B44</f>
        <v>18.046451286890008</v>
      </c>
      <c r="CQ44" s="39">
        <f>[25]byGOVDetalhado!C44</f>
        <v>0.16490801428603552</v>
      </c>
      <c r="CR44" s="40">
        <f>[25]byGOVDetalhado!D44</f>
        <v>0.4769162479115821</v>
      </c>
      <c r="CS44" s="41">
        <f>[25]byGOVDetalhado!E44</f>
        <v>86.831812802847338</v>
      </c>
      <c r="CT44" s="38">
        <f>[26]byGOVDetalhado!B44</f>
        <v>20.125117873449994</v>
      </c>
      <c r="CU44" s="39">
        <f>[26]byGOVDetalhado!C44</f>
        <v>0.17135475960664495</v>
      </c>
      <c r="CV44" s="40">
        <f>[26]byGOVDetalhado!D44</f>
        <v>0.47664755480595006</v>
      </c>
      <c r="CW44" s="41">
        <f>[26]byGOVDetalhado!E44</f>
        <v>94.669126278231488</v>
      </c>
    </row>
    <row r="45" spans="1:102" s="43" customFormat="1" x14ac:dyDescent="0.25">
      <c r="A45" s="37" t="s">
        <v>69</v>
      </c>
      <c r="B45" s="38">
        <f>[2]byGOVDetalhado!B45</f>
        <v>0.82276426761999988</v>
      </c>
      <c r="C45" s="39">
        <f>[2]byGOVDetalhado!C45</f>
        <v>6.8428131939701126E-2</v>
      </c>
      <c r="D45" s="40">
        <f>[2]byGOVDetalhado!D45</f>
        <v>0.22391485563166988</v>
      </c>
      <c r="E45" s="41">
        <f>[2]byGOVDetalhado!E45</f>
        <v>4.7435694060755118</v>
      </c>
      <c r="F45" s="38">
        <f>[3]byGOVDetalhado!B45</f>
        <v>1.0359009608600001</v>
      </c>
      <c r="G45" s="39">
        <f>[3]byGOVDetalhado!C45</f>
        <v>7.8730535765397056E-2</v>
      </c>
      <c r="H45" s="40">
        <f>[3]byGOVDetalhado!D45</f>
        <v>0.24567988358814349</v>
      </c>
      <c r="I45" s="41">
        <f>[3]byGOVDetalhado!E45</f>
        <v>5.9723888105568905</v>
      </c>
      <c r="J45" s="38">
        <f>[4]byGOVDetalhado!B45</f>
        <v>2.08635093457</v>
      </c>
      <c r="K45" s="39">
        <f>[4]byGOVDetalhado!C45</f>
        <v>0.14013763786021774</v>
      </c>
      <c r="L45" s="40">
        <f>[4]byGOVDetalhado!D45</f>
        <v>0.4211236278964402</v>
      </c>
      <c r="M45" s="41">
        <f>[4]byGOVDetalhado!E45</f>
        <v>11.702918152732147</v>
      </c>
      <c r="N45" s="38">
        <f>[5]byGOVDetalhado!B45</f>
        <v>2.6998817257500001</v>
      </c>
      <c r="O45" s="39">
        <f>[5]byGOVDetalhado!C45</f>
        <v>0.15715717720247971</v>
      </c>
      <c r="P45" s="40">
        <f>[5]byGOVDetalhado!D45</f>
        <v>0.48210893726452503</v>
      </c>
      <c r="Q45" s="41">
        <f>[5]byGOVDetalhado!E45</f>
        <v>14.947929682777527</v>
      </c>
      <c r="R45" s="38">
        <f>[6]byGOVDetalhado!B45</f>
        <v>3.3940957893100001</v>
      </c>
      <c r="S45" s="39">
        <f>[6]byGOVDetalhado!C45</f>
        <v>0.17336708239760829</v>
      </c>
      <c r="T45" s="40">
        <f>[6]byGOVDetalhado!D45</f>
        <v>0.51562180664986801</v>
      </c>
      <c r="U45" s="41">
        <f>[6]byGOVDetalhado!E45</f>
        <v>18.555946621930858</v>
      </c>
      <c r="V45" s="38">
        <f>[7]byGOVDetalhado!B45</f>
        <v>3.1856205047500001</v>
      </c>
      <c r="W45" s="39">
        <f>[7]byGOVDetalhado!C45</f>
        <v>0.14676322303664679</v>
      </c>
      <c r="X45" s="40">
        <f>[7]byGOVDetalhado!D45</f>
        <v>0.42239284777474179</v>
      </c>
      <c r="Y45" s="41">
        <f>[7]byGOVDetalhado!E45</f>
        <v>17.20554489376622</v>
      </c>
      <c r="Z45" s="38">
        <f>[8]byGOVDetalhado!B45</f>
        <v>3.4779493336899994</v>
      </c>
      <c r="AA45" s="39">
        <f>[8]byGOVDetalhado!C45</f>
        <v>0.14434619243769323</v>
      </c>
      <c r="AB45" s="40">
        <f>[8]byGOVDetalhado!D45</f>
        <v>0.41926454211330705</v>
      </c>
      <c r="AC45" s="41">
        <f>[8]byGOVDetalhado!E45</f>
        <v>18.565387088541748</v>
      </c>
      <c r="AD45" s="38">
        <f>[9]byGOVDetalhado!B45</f>
        <v>4.4498505461700013</v>
      </c>
      <c r="AE45" s="39">
        <f>[9]byGOVDetalhado!C45</f>
        <v>0.16358162965014786</v>
      </c>
      <c r="AF45" s="40">
        <f>[9]byGOVDetalhado!D45</f>
        <v>0.47297602226037849</v>
      </c>
      <c r="AG45" s="41">
        <f>[9]byGOVDetalhado!E45</f>
        <v>23.486677084211095</v>
      </c>
      <c r="AH45" s="38">
        <f>[10]byGOVDetalhado!B45</f>
        <v>4.5661628141300001</v>
      </c>
      <c r="AI45" s="39">
        <f>[10]byGOVDetalhado!C45</f>
        <v>0.14683125632491834</v>
      </c>
      <c r="AJ45" s="40">
        <f>[10]byGOVDetalhado!D45</f>
        <v>0.4224463348313629</v>
      </c>
      <c r="AK45" s="41">
        <f>[10]byGOVDetalhado!E45</f>
        <v>23.840153855765394</v>
      </c>
      <c r="AL45" s="38">
        <f>[11]byGOVDetalhado!B45</f>
        <v>5.1621577812899986</v>
      </c>
      <c r="AM45" s="39">
        <f>[11]byGOVDetalhado!C45</f>
        <v>0.1548784092022325</v>
      </c>
      <c r="AN45" s="40">
        <f>[11]byGOVDetalhado!D45</f>
        <v>0.46700550473102781</v>
      </c>
      <c r="AO45" s="41">
        <f>[11]byGOVDetalhado!E45</f>
        <v>26.671757368425151</v>
      </c>
      <c r="AP45" s="38">
        <f>[12]byGOVDetalhado!B45</f>
        <v>6.0358280829500011</v>
      </c>
      <c r="AQ45" s="39">
        <f>[12]byGOVDetalhado!C45</f>
        <v>0.15532850580452603</v>
      </c>
      <c r="AR45" s="40">
        <f>[12]byGOVDetalhado!D45</f>
        <v>0.46740013127888597</v>
      </c>
      <c r="AS45" s="41">
        <f>[12]byGOVDetalhado!E45</f>
        <v>30.874148842454733</v>
      </c>
      <c r="AT45" s="38">
        <f>[13]byGOVDetalhado!B45</f>
        <v>7.2115783793899997</v>
      </c>
      <c r="AU45" s="39">
        <f>[13]byGOVDetalhado!C45</f>
        <v>0.16478402432397354</v>
      </c>
      <c r="AV45" s="40">
        <f>[13]byGOVDetalhado!D45</f>
        <v>0.48347809939759745</v>
      </c>
      <c r="AW45" s="41">
        <f>[13]byGOVDetalhado!E45</f>
        <v>36.533370425028401</v>
      </c>
      <c r="AX45" s="38">
        <f>[14]byGOVDetalhado!B45</f>
        <v>7.8656269151600009</v>
      </c>
      <c r="AY45" s="39">
        <f>[14]byGOVDetalhado!C45</f>
        <v>0.1633648803919614</v>
      </c>
      <c r="AZ45" s="40">
        <f>[14]byGOVDetalhado!D45</f>
        <v>0.48016442371625462</v>
      </c>
      <c r="BA45" s="41">
        <f>[14]byGOVDetalhado!E45</f>
        <v>39.477663727925631</v>
      </c>
      <c r="BB45" s="38">
        <f>[15]byGOVDetalhado!B45</f>
        <v>8.5071647489099984</v>
      </c>
      <c r="BC45" s="39">
        <f>[15]byGOVDetalhado!C45</f>
        <v>0.1595606278113646</v>
      </c>
      <c r="BD45" s="40">
        <f>[15]byGOVDetalhado!D45</f>
        <v>0.47466499581029942</v>
      </c>
      <c r="BE45" s="41">
        <f>[15]byGOVDetalhado!E45</f>
        <v>42.317315324659042</v>
      </c>
      <c r="BF45" s="38">
        <f>[16]byGOVDetalhado!B45</f>
        <v>9.2741001279700015</v>
      </c>
      <c r="BG45" s="39">
        <f>[16]byGOVDetalhado!C45</f>
        <v>0.16048062906844893</v>
      </c>
      <c r="BH45" s="40">
        <f>[16]byGOVDetalhado!D45</f>
        <v>0.48816672992248328</v>
      </c>
      <c r="BI45" s="41">
        <f>[16]byGOVDetalhado!E45</f>
        <v>45.737366959134434</v>
      </c>
      <c r="BJ45" s="38">
        <f>[17]byGOVDetalhado!B45</f>
        <v>10.698586849880003</v>
      </c>
      <c r="BK45" s="39">
        <f>[17]byGOVDetalhado!C45</f>
        <v>0.17843507199104977</v>
      </c>
      <c r="BL45" s="40">
        <f>[17]byGOVDetalhado!D45</f>
        <v>0.54334273423772872</v>
      </c>
      <c r="BM45" s="41">
        <f>[17]byGOVDetalhado!E45</f>
        <v>52.328456291082759</v>
      </c>
      <c r="BN45" s="38">
        <f>[18]byGOVDetalhado!B45</f>
        <v>12.048673100610005</v>
      </c>
      <c r="BO45" s="39">
        <f>[18]byGOVDetalhado!C45</f>
        <v>0.19224954506211309</v>
      </c>
      <c r="BP45" s="40">
        <f>[18]byGOVDetalhado!D45</f>
        <v>0.57755365670711589</v>
      </c>
      <c r="BQ45" s="41">
        <f>[18]byGOVDetalhado!E45</f>
        <v>58.465592866270477</v>
      </c>
      <c r="BR45" s="38">
        <f>[19]byGOVDetalhado!B45</f>
        <v>12.823354349399997</v>
      </c>
      <c r="BS45" s="39">
        <f>[19]byGOVDetalhado!C45</f>
        <v>0.19566161342242575</v>
      </c>
      <c r="BT45" s="40">
        <f>[19]byGOVDetalhado!D45</f>
        <v>0.58197914111152593</v>
      </c>
      <c r="BU45" s="41">
        <f>[19]byGOVDetalhado!E45</f>
        <v>61.751406059634824</v>
      </c>
      <c r="BV45" s="38">
        <f>[20]byGOVDetalhado!B45</f>
        <v>13.547790774740001</v>
      </c>
      <c r="BW45" s="39">
        <f>[20]byGOVDetalhado!C45</f>
        <v>0.19665328013229333</v>
      </c>
      <c r="BX45" s="40">
        <f>[20]byGOVDetalhado!D45</f>
        <v>0.5709622998100945</v>
      </c>
      <c r="BY45" s="41">
        <f>[20]byGOVDetalhado!E45</f>
        <v>64.97900320218865</v>
      </c>
      <c r="BZ45" s="38">
        <f>[21]byGOVDetalhado!B45</f>
        <v>14.835991900159994</v>
      </c>
      <c r="CA45" s="39">
        <f>[21]byGOVDetalhado!C45</f>
        <v>0.20078128131927822</v>
      </c>
      <c r="CB45" s="40">
        <f>[21]byGOVDetalhado!D45</f>
        <v>0.59417067484226227</v>
      </c>
      <c r="CC45" s="41">
        <f>[21]byGOVDetalhado!E45</f>
        <v>70.598119770422713</v>
      </c>
      <c r="CD45" s="38">
        <f>[22]byGOVDetalhado!B45</f>
        <v>16.744058605499998</v>
      </c>
      <c r="CE45" s="39">
        <f>[22]byGOVDetalhado!C45</f>
        <v>0.22003870383017651</v>
      </c>
      <c r="CF45" s="40">
        <f>[22]byGOVDetalhado!D45</f>
        <v>0.68299681712447702</v>
      </c>
      <c r="CG45" s="41">
        <f>[22]byGOVDetalhado!E45</f>
        <v>79.072531403311686</v>
      </c>
      <c r="CH45" s="38">
        <f>[23]byGOVDetalhado!B45</f>
        <v>19.329652827269996</v>
      </c>
      <c r="CI45" s="39">
        <f>[23]byGOVDetalhado!C45</f>
        <v>0.21721817994045661</v>
      </c>
      <c r="CJ45" s="40">
        <f>[23]byGOVDetalhado!D45</f>
        <v>0.63148872853229687</v>
      </c>
      <c r="CK45" s="41">
        <f>[23]byGOVDetalhado!E45</f>
        <v>90.614413875403883</v>
      </c>
      <c r="CL45" s="38">
        <f>[24]byGOVDetalhado!B45</f>
        <v>21.431529021359001</v>
      </c>
      <c r="CM45" s="39">
        <f>[24]byGOVDetalhado!C45</f>
        <v>0.21262120946505622</v>
      </c>
      <c r="CN45" s="40">
        <f>[24]byGOVDetalhado!D45</f>
        <v>0.60911040242773085</v>
      </c>
      <c r="CO45" s="41">
        <f>[24]byGOVDetalhado!E45</f>
        <v>105.53205258581468</v>
      </c>
      <c r="CP45" s="38">
        <f>[25]byGOVDetalhado!B45</f>
        <v>26.984806390769997</v>
      </c>
      <c r="CQ45" s="39">
        <f>[25]byGOVDetalhado!C45</f>
        <v>0.24658647659042793</v>
      </c>
      <c r="CR45" s="40">
        <f>[25]byGOVDetalhado!D45</f>
        <v>0.71313148551569572</v>
      </c>
      <c r="CS45" s="41">
        <f>[25]byGOVDetalhado!E45</f>
        <v>129.83935843090725</v>
      </c>
      <c r="CT45" s="38">
        <f>[26]byGOVDetalhado!B45</f>
        <v>29.224977086240003</v>
      </c>
      <c r="CU45" s="39">
        <f>[26]byGOVDetalhado!C45</f>
        <v>0.24883525923239139</v>
      </c>
      <c r="CV45" s="40">
        <f>[26]byGOVDetalhado!D45</f>
        <v>0.692170548019167</v>
      </c>
      <c r="CW45" s="41">
        <f>[26]byGOVDetalhado!E45</f>
        <v>137.47512256341324</v>
      </c>
    </row>
    <row r="46" spans="1:102" s="43" customFormat="1" x14ac:dyDescent="0.25">
      <c r="A46" s="37" t="s">
        <v>90</v>
      </c>
      <c r="B46" s="38">
        <f>[2]byGOVDetalhado!B46</f>
        <v>0.44854757807999995</v>
      </c>
      <c r="C46" s="39">
        <f>[2]byGOVDetalhado!C46</f>
        <v>3.7305063019906888E-2</v>
      </c>
      <c r="D46" s="40">
        <f>[2]byGOVDetalhado!D46</f>
        <v>0.12207198360746718</v>
      </c>
      <c r="E46" s="41">
        <f>[2]byGOVDetalhado!E46</f>
        <v>2.5860585495580333</v>
      </c>
      <c r="F46" s="38">
        <f>[3]byGOVDetalhado!B46</f>
        <v>0.54834375922</v>
      </c>
      <c r="G46" s="39">
        <f>[3]byGOVDetalhado!C46</f>
        <v>4.1675217591420892E-2</v>
      </c>
      <c r="H46" s="40">
        <f>[3]byGOVDetalhado!D46</f>
        <v>0.13004817643919661</v>
      </c>
      <c r="I46" s="41">
        <f>[3]byGOVDetalhado!E46</f>
        <v>3.1614239735673237</v>
      </c>
      <c r="J46" s="38">
        <f>[4]byGOVDetalhado!B46</f>
        <v>0.40326716347000002</v>
      </c>
      <c r="K46" s="39">
        <f>[4]byGOVDetalhado!C46</f>
        <v>2.7086961631851973E-2</v>
      </c>
      <c r="L46" s="40">
        <f>[4]byGOVDetalhado!D46</f>
        <v>8.1398257636361868E-2</v>
      </c>
      <c r="M46" s="41">
        <f>[4]byGOVDetalhado!E46</f>
        <v>2.262036807698673</v>
      </c>
      <c r="N46" s="38">
        <f>[5]byGOVDetalhado!B46</f>
        <v>1.5829322907100001</v>
      </c>
      <c r="O46" s="39">
        <f>[5]byGOVDetalhado!C46</f>
        <v>9.2140766070607408E-2</v>
      </c>
      <c r="P46" s="40">
        <f>[5]byGOVDetalhado!D46</f>
        <v>0.28265897619048624</v>
      </c>
      <c r="Q46" s="41">
        <f>[5]byGOVDetalhado!E46</f>
        <v>8.7639248595447619</v>
      </c>
      <c r="R46" s="38">
        <f>[6]byGOVDetalhado!B46</f>
        <v>2.6249195036800006</v>
      </c>
      <c r="S46" s="39">
        <f>[6]byGOVDetalhado!C46</f>
        <v>0.13407831249632873</v>
      </c>
      <c r="T46" s="40">
        <f>[6]byGOVDetalhado!D46</f>
        <v>0.39877063607362373</v>
      </c>
      <c r="U46" s="41">
        <f>[6]byGOVDetalhado!E46</f>
        <v>14.350763567298541</v>
      </c>
      <c r="V46" s="38">
        <f>[7]byGOVDetalhado!B46</f>
        <v>1.9565987079900005</v>
      </c>
      <c r="W46" s="39">
        <f>[7]byGOVDetalhado!C46</f>
        <v>9.0141538248444564E-2</v>
      </c>
      <c r="X46" s="40">
        <f>[7]byGOVDetalhado!D46</f>
        <v>0.25943243992433268</v>
      </c>
      <c r="Y46" s="41">
        <f>[7]byGOVDetalhado!E46</f>
        <v>10.567594871771719</v>
      </c>
      <c r="Z46" s="38">
        <f>[8]byGOVDetalhado!B46</f>
        <v>2.2682381863400001</v>
      </c>
      <c r="AA46" s="39">
        <f>[8]byGOVDetalhado!C46</f>
        <v>9.4139251129510895E-2</v>
      </c>
      <c r="AB46" s="40">
        <f>[8]byGOVDetalhado!D46</f>
        <v>0.27343464592417871</v>
      </c>
      <c r="AC46" s="41">
        <f>[8]byGOVDetalhado!E46</f>
        <v>12.107916446768874</v>
      </c>
      <c r="AD46" s="38">
        <f>[9]byGOVDetalhado!B46</f>
        <v>2.54989881832</v>
      </c>
      <c r="AE46" s="39">
        <f>[9]byGOVDetalhado!C46</f>
        <v>9.3737216523549383E-2</v>
      </c>
      <c r="AF46" s="40">
        <f>[9]byGOVDetalhado!D46</f>
        <v>0.27102955205843393</v>
      </c>
      <c r="AG46" s="41">
        <f>[9]byGOVDetalhado!E46</f>
        <v>13.458575635723234</v>
      </c>
      <c r="AH46" s="38">
        <f>[10]byGOVDetalhado!B46</f>
        <v>2.6587321371200008</v>
      </c>
      <c r="AI46" s="39">
        <f>[10]byGOVDetalhado!C46</f>
        <v>8.549519494064417E-2</v>
      </c>
      <c r="AJ46" s="40">
        <f>[10]byGOVDetalhado!D46</f>
        <v>0.24597713492586029</v>
      </c>
      <c r="AK46" s="41">
        <f>[10]byGOVDetalhado!E46</f>
        <v>13.881367307811503</v>
      </c>
      <c r="AL46" s="38">
        <f>[11]byGOVDetalhado!B46</f>
        <v>2.88970820204</v>
      </c>
      <c r="AM46" s="39">
        <f>[11]byGOVDetalhado!C46</f>
        <v>8.6698901574208995E-2</v>
      </c>
      <c r="AN46" s="40">
        <f>[11]byGOVDetalhado!D46</f>
        <v>0.26142355476043683</v>
      </c>
      <c r="AO46" s="41">
        <f>[11]byGOVDetalhado!E46</f>
        <v>14.930499859905218</v>
      </c>
      <c r="AP46" s="38">
        <f>[12]byGOVDetalhado!B46</f>
        <v>3.2742683304099995</v>
      </c>
      <c r="AQ46" s="39">
        <f>[12]byGOVDetalhado!C46</f>
        <v>8.4261380605309452E-2</v>
      </c>
      <c r="AR46" s="40">
        <f>[12]byGOVDetalhado!D46</f>
        <v>0.25355153036896222</v>
      </c>
      <c r="AS46" s="41">
        <f>[12]byGOVDetalhado!E46</f>
        <v>16.748364332770457</v>
      </c>
      <c r="AT46" s="38">
        <f>[13]byGOVDetalhado!B46</f>
        <v>3.3899537472200003</v>
      </c>
      <c r="AU46" s="39">
        <f>[13]byGOVDetalhado!C46</f>
        <v>7.746018851233738E-2</v>
      </c>
      <c r="AV46" s="40">
        <f>[13]byGOVDetalhado!D46</f>
        <v>0.22726902607558205</v>
      </c>
      <c r="AW46" s="41">
        <f>[13]byGOVDetalhado!E46</f>
        <v>17.173277395811521</v>
      </c>
      <c r="AX46" s="38">
        <f>[14]byGOVDetalhado!B46</f>
        <v>3.6210899553800013</v>
      </c>
      <c r="AY46" s="39">
        <f>[14]byGOVDetalhado!C46</f>
        <v>7.5208109134827103E-2</v>
      </c>
      <c r="AZ46" s="40">
        <f>[14]byGOVDetalhado!D46</f>
        <v>0.22105276418572517</v>
      </c>
      <c r="BA46" s="41">
        <f>[14]byGOVDetalhado!E46</f>
        <v>18.174288347129547</v>
      </c>
      <c r="BB46" s="38">
        <f>[15]byGOVDetalhado!B46</f>
        <v>4.2616137138799992</v>
      </c>
      <c r="BC46" s="39">
        <f>[15]byGOVDetalhado!C46</f>
        <v>7.9930949939971324E-2</v>
      </c>
      <c r="BD46" s="40">
        <f>[15]byGOVDetalhado!D46</f>
        <v>0.23778061379417223</v>
      </c>
      <c r="BE46" s="41">
        <f>[15]byGOVDetalhado!E46</f>
        <v>21.198608072713974</v>
      </c>
      <c r="BF46" s="38">
        <f>[16]byGOVDetalhado!B46</f>
        <v>4.7278200623900011</v>
      </c>
      <c r="BG46" s="39">
        <f>[16]byGOVDetalhado!C46</f>
        <v>8.1811014251024383E-2</v>
      </c>
      <c r="BH46" s="40">
        <f>[16]byGOVDetalhado!D46</f>
        <v>0.24886128332367116</v>
      </c>
      <c r="BI46" s="41">
        <f>[16]byGOVDetalhado!E46</f>
        <v>23.316336693209873</v>
      </c>
      <c r="BJ46" s="38">
        <f>[17]byGOVDetalhado!B46</f>
        <v>6.346209277309999</v>
      </c>
      <c r="BK46" s="39">
        <f>[17]byGOVDetalhado!C46</f>
        <v>0.10584447508408819</v>
      </c>
      <c r="BL46" s="40">
        <f>[17]byGOVDetalhado!D46</f>
        <v>0.32230113651104586</v>
      </c>
      <c r="BM46" s="41">
        <f>[17]byGOVDetalhado!E46</f>
        <v>31.040299007854941</v>
      </c>
      <c r="BN46" s="38">
        <f>[18]byGOVDetalhado!B46</f>
        <v>7.6690951849099998</v>
      </c>
      <c r="BO46" s="39">
        <f>[18]byGOVDetalhado!C46</f>
        <v>0.12236866649343688</v>
      </c>
      <c r="BP46" s="40">
        <f>[18]byGOVDetalhado!D46</f>
        <v>0.36761840334563117</v>
      </c>
      <c r="BQ46" s="41">
        <f>[18]byGOVDetalhado!E46</f>
        <v>37.213906709023647</v>
      </c>
      <c r="BR46" s="38">
        <f>[19]byGOVDetalhado!B46</f>
        <v>7.9531406867099976</v>
      </c>
      <c r="BS46" s="39">
        <f>[19]byGOVDetalhado!C46</f>
        <v>0.12135080230470494</v>
      </c>
      <c r="BT46" s="40">
        <f>[19]byGOVDetalhado!D46</f>
        <v>0.36094783469874131</v>
      </c>
      <c r="BU46" s="41">
        <f>[19]byGOVDetalhado!E46</f>
        <v>38.298685867431502</v>
      </c>
      <c r="BV46" s="38">
        <f>[20]byGOVDetalhado!B46</f>
        <v>9.1871863628399986</v>
      </c>
      <c r="BW46" s="39">
        <f>[20]byGOVDetalhado!C46</f>
        <v>0.13335682278233532</v>
      </c>
      <c r="BX46" s="40">
        <f>[20]byGOVDetalhado!D46</f>
        <v>0.38718763389020028</v>
      </c>
      <c r="BY46" s="41">
        <f>[20]byGOVDetalhado!E46</f>
        <v>44.064321778806089</v>
      </c>
      <c r="BZ46" s="38">
        <f>[21]byGOVDetalhado!B46</f>
        <v>10.722404567369995</v>
      </c>
      <c r="CA46" s="39">
        <f>[21]byGOVDetalhado!C46</f>
        <v>0.14511049496036807</v>
      </c>
      <c r="CB46" s="40">
        <f>[21]byGOVDetalhado!D46</f>
        <v>0.42942449689914425</v>
      </c>
      <c r="CC46" s="41">
        <f>[21]byGOVDetalhado!E46</f>
        <v>51.023322671533073</v>
      </c>
      <c r="CD46" s="38">
        <f>[22]byGOVDetalhado!B46</f>
        <v>10.453193174080003</v>
      </c>
      <c r="CE46" s="39">
        <f>[22]byGOVDetalhado!C46</f>
        <v>0.13736855150253033</v>
      </c>
      <c r="CF46" s="40">
        <f>[22]byGOVDetalhado!D46</f>
        <v>0.42638991148411348</v>
      </c>
      <c r="CG46" s="41">
        <f>[22]byGOVDetalhado!E46</f>
        <v>49.364402323031776</v>
      </c>
      <c r="CH46" s="38">
        <f>[23]byGOVDetalhado!B46</f>
        <v>12.044112320749996</v>
      </c>
      <c r="CI46" s="39">
        <f>[23]byGOVDetalhado!C46</f>
        <v>0.13534646383409665</v>
      </c>
      <c r="CJ46" s="40">
        <f>[23]byGOVDetalhado!D46</f>
        <v>0.39347427725140222</v>
      </c>
      <c r="CK46" s="41">
        <f>[23]byGOVDetalhado!E46</f>
        <v>56.460930175352239</v>
      </c>
      <c r="CL46" s="38">
        <f>[24]byGOVDetalhado!B46</f>
        <v>12.968974960623576</v>
      </c>
      <c r="CM46" s="39">
        <f>[24]byGOVDetalhado!C46</f>
        <v>0.1286646015271084</v>
      </c>
      <c r="CN46" s="40">
        <f>[24]byGOVDetalhado!D46</f>
        <v>0.36859421226865285</v>
      </c>
      <c r="CO46" s="41">
        <f>[24]byGOVDetalhado!E46</f>
        <v>63.861171368810432</v>
      </c>
      <c r="CP46" s="38">
        <f>[25]byGOVDetalhado!B46</f>
        <v>14.885181432849997</v>
      </c>
      <c r="CQ46" s="39">
        <f>[25]byGOVDetalhado!C46</f>
        <v>0.1360204105148298</v>
      </c>
      <c r="CR46" s="40">
        <f>[25]byGOVDetalhado!D46</f>
        <v>0.39337290005570696</v>
      </c>
      <c r="CS46" s="41">
        <f>[25]byGOVDetalhado!E46</f>
        <v>71.621132995416247</v>
      </c>
      <c r="CT46" s="38">
        <f>[26]byGOVDetalhado!B46</f>
        <v>16.237150576969995</v>
      </c>
      <c r="CU46" s="39">
        <f>[26]byGOVDetalhado!C46</f>
        <v>0.13825076957607033</v>
      </c>
      <c r="CV46" s="40">
        <f>[26]byGOVDetalhado!D46</f>
        <v>0.38456411377043154</v>
      </c>
      <c r="CW46" s="41">
        <f>[26]byGOVDetalhado!E46</f>
        <v>76.380017649373457</v>
      </c>
    </row>
    <row r="47" spans="1:102" s="43" customFormat="1" ht="13.8" thickBot="1" x14ac:dyDescent="0.3">
      <c r="A47" s="44" t="s">
        <v>91</v>
      </c>
      <c r="B47" s="45">
        <f>[2]byGOVDetalhado!B47</f>
        <v>2.5759809908084996</v>
      </c>
      <c r="C47" s="46">
        <f>[2]byGOVDetalhado!C47</f>
        <v>0.21424066898663316</v>
      </c>
      <c r="D47" s="47">
        <f>[2]byGOVDetalhado!D47</f>
        <v>0.70105184968145806</v>
      </c>
      <c r="E47" s="48">
        <f>[2]byGOVDetalhado!E47</f>
        <v>14.851574259511819</v>
      </c>
      <c r="F47" s="45">
        <f>[3]byGOVDetalhado!B47</f>
        <v>2.7790609077329997</v>
      </c>
      <c r="G47" s="46">
        <f>[3]byGOVDetalhado!C47</f>
        <v>0.21121416279877331</v>
      </c>
      <c r="H47" s="47">
        <f>[3]byGOVDetalhado!D47</f>
        <v>0.65909713968155814</v>
      </c>
      <c r="I47" s="48">
        <f>[3]byGOVDetalhado!E47</f>
        <v>16.022412273294321</v>
      </c>
      <c r="J47" s="45">
        <f>[4]byGOVDetalhado!B47</f>
        <v>3.3229747939000003</v>
      </c>
      <c r="K47" s="46">
        <f>[4]byGOVDetalhado!C47</f>
        <v>0.22320014843627733</v>
      </c>
      <c r="L47" s="47">
        <f>[4]byGOVDetalhado!D47</f>
        <v>0.67073241487248114</v>
      </c>
      <c r="M47" s="48">
        <f>[4]byGOVDetalhado!E47</f>
        <v>18.639482645146973</v>
      </c>
      <c r="N47" s="45">
        <f>[5]byGOVDetalhado!B47</f>
        <v>3.8249527210499998</v>
      </c>
      <c r="O47" s="46">
        <f>[5]byGOVDetalhado!C47</f>
        <v>0.22264633551907798</v>
      </c>
      <c r="P47" s="47">
        <f>[5]byGOVDetalhado!D47</f>
        <v>0.68300913845409716</v>
      </c>
      <c r="Q47" s="48">
        <f>[5]byGOVDetalhado!E47</f>
        <v>21.176899628194374</v>
      </c>
      <c r="R47" s="45">
        <f>[6]byGOVDetalhado!B47</f>
        <v>4.4345539429799992</v>
      </c>
      <c r="S47" s="46">
        <f>[6]byGOVDetalhado!C47</f>
        <v>0.22651266391793437</v>
      </c>
      <c r="T47" s="47">
        <f>[6]byGOVDetalhado!D47</f>
        <v>0.67368538123388844</v>
      </c>
      <c r="U47" s="48">
        <f>[6]byGOVDetalhado!E47</f>
        <v>24.244261613706083</v>
      </c>
      <c r="V47" s="45">
        <f>[7]byGOVDetalhado!B47</f>
        <v>4.7689614336700004</v>
      </c>
      <c r="W47" s="46">
        <f>[7]byGOVDetalhado!C47</f>
        <v>0.21970857781059022</v>
      </c>
      <c r="X47" s="47">
        <f>[7]byGOVDetalhado!D47</f>
        <v>0.6323337001040148</v>
      </c>
      <c r="Y47" s="48">
        <f>[7]byGOVDetalhado!E47</f>
        <v>25.757173499260922</v>
      </c>
      <c r="Z47" s="45">
        <f>[8]byGOVDetalhado!B47</f>
        <v>5.5964709481400003</v>
      </c>
      <c r="AA47" s="46">
        <f>[8]byGOVDetalhado!C47</f>
        <v>0.23227171960986953</v>
      </c>
      <c r="AB47" s="47">
        <f>[8]byGOVDetalhado!D47</f>
        <v>0.67465095215544202</v>
      </c>
      <c r="AC47" s="48">
        <f>[8]byGOVDetalhado!E47</f>
        <v>29.874112447682467</v>
      </c>
      <c r="AD47" s="45">
        <f>[9]byGOVDetalhado!B47</f>
        <v>6.2979323470700006</v>
      </c>
      <c r="AE47" s="46">
        <f>[9]byGOVDetalhado!C47</f>
        <v>0.23151924453885525</v>
      </c>
      <c r="AF47" s="47">
        <f>[9]byGOVDetalhado!D47</f>
        <v>0.66940922151778193</v>
      </c>
      <c r="AG47" s="48">
        <f>[9]byGOVDetalhado!E47</f>
        <v>33.241004793105645</v>
      </c>
      <c r="AH47" s="45">
        <f>[10]byGOVDetalhado!B47</f>
        <v>6.7998177708800007</v>
      </c>
      <c r="AI47" s="46">
        <f>[10]byGOVDetalhado!C47</f>
        <v>0.21865750888014454</v>
      </c>
      <c r="AJ47" s="47">
        <f>[10]byGOVDetalhado!D47</f>
        <v>0.62909672995896859</v>
      </c>
      <c r="AK47" s="48">
        <f>[10]byGOVDetalhado!E47</f>
        <v>35.502172928941825</v>
      </c>
      <c r="AL47" s="45">
        <f>[11]byGOVDetalhado!B47</f>
        <v>6.7997386898900007</v>
      </c>
      <c r="AM47" s="46">
        <f>[11]byGOVDetalhado!C47</f>
        <v>0.20401017479513439</v>
      </c>
      <c r="AN47" s="47">
        <f>[11]byGOVDetalhado!D47</f>
        <v>0.61515271974457764</v>
      </c>
      <c r="AO47" s="48">
        <f>[11]byGOVDetalhado!E47</f>
        <v>35.132785201330663</v>
      </c>
      <c r="AP47" s="45">
        <f>[12]byGOVDetalhado!B47</f>
        <v>7.7522647978499997</v>
      </c>
      <c r="AQ47" s="46">
        <f>[12]byGOVDetalhado!C47</f>
        <v>0.19950000084537553</v>
      </c>
      <c r="AR47" s="47">
        <f>[12]byGOVDetalhado!D47</f>
        <v>0.60031689677497257</v>
      </c>
      <c r="AS47" s="48">
        <f>[12]byGOVDetalhado!E47</f>
        <v>39.653975220242508</v>
      </c>
      <c r="AT47" s="45">
        <f>[13]byGOVDetalhado!B47</f>
        <v>9.2732283296099993</v>
      </c>
      <c r="AU47" s="46">
        <f>[13]byGOVDetalhado!C47</f>
        <v>0.21189257084070814</v>
      </c>
      <c r="AV47" s="47">
        <f>[13]byGOVDetalhado!D47</f>
        <v>0.6216950814669</v>
      </c>
      <c r="AW47" s="48">
        <f>[13]byGOVDetalhado!E47</f>
        <v>46.977550236397178</v>
      </c>
      <c r="AX47" s="45">
        <f>[14]byGOVDetalhado!B47</f>
        <v>9.8175752649100012</v>
      </c>
      <c r="AY47" s="46">
        <f>[14]byGOVDetalhado!C47</f>
        <v>0.20390580766040259</v>
      </c>
      <c r="AZ47" s="47">
        <f>[14]byGOVDetalhado!D47</f>
        <v>0.59932290460926008</v>
      </c>
      <c r="BA47" s="48">
        <f>[14]byGOVDetalhado!E47</f>
        <v>49.274512904332617</v>
      </c>
      <c r="BB47" s="45">
        <f>[15]byGOVDetalhado!B47</f>
        <v>11.130269211549994</v>
      </c>
      <c r="BC47" s="46">
        <f>[15]byGOVDetalhado!C47</f>
        <v>0.20875965089684756</v>
      </c>
      <c r="BD47" s="47">
        <f>[15]byGOVDetalhado!D47</f>
        <v>0.62102349544186264</v>
      </c>
      <c r="BE47" s="48">
        <f>[15]byGOVDetalhado!E47</f>
        <v>55.365462615950129</v>
      </c>
      <c r="BF47" s="45">
        <f>[16]byGOVDetalhado!B47</f>
        <v>13.057884626989997</v>
      </c>
      <c r="BG47" s="46">
        <f>[16]byGOVDetalhado!C47</f>
        <v>0.22595588901640132</v>
      </c>
      <c r="BH47" s="47">
        <f>[16]byGOVDetalhado!D47</f>
        <v>0.68733621053302796</v>
      </c>
      <c r="BI47" s="48">
        <f>[16]byGOVDetalhado!E47</f>
        <v>64.397974213527235</v>
      </c>
      <c r="BJ47" s="45">
        <f>[17]byGOVDetalhado!B47</f>
        <v>13.035138078590002</v>
      </c>
      <c r="BK47" s="46">
        <f>[17]byGOVDetalhado!C47</f>
        <v>0.21740495582298039</v>
      </c>
      <c r="BL47" s="47">
        <f>[17]byGOVDetalhado!D47</f>
        <v>0.66200776459246713</v>
      </c>
      <c r="BM47" s="48">
        <f>[17]byGOVDetalhado!E47</f>
        <v>63.756892640580475</v>
      </c>
      <c r="BN47" s="45">
        <f>[18]byGOVDetalhado!B47</f>
        <v>13.029589153270006</v>
      </c>
      <c r="BO47" s="46">
        <f>[18]byGOVDetalhado!C47</f>
        <v>0.20790111625948099</v>
      </c>
      <c r="BP47" s="47">
        <f>[18]byGOVDetalhado!D47</f>
        <v>0.62457390934454615</v>
      </c>
      <c r="BQ47" s="48">
        <f>[18]byGOVDetalhado!E47</f>
        <v>63.225439705164732</v>
      </c>
      <c r="BR47" s="45">
        <f>[19]byGOVDetalhado!B47</f>
        <v>16.254820939330003</v>
      </c>
      <c r="BS47" s="46">
        <f>[19]byGOVDetalhado!C47</f>
        <v>0.24801969938784008</v>
      </c>
      <c r="BT47" s="47">
        <f>[19]byGOVDetalhado!D47</f>
        <v>0.73771389851950508</v>
      </c>
      <c r="BU47" s="48">
        <f>[19]byGOVDetalhado!E47</f>
        <v>78.275778778443211</v>
      </c>
      <c r="BV47" s="45">
        <f>[20]byGOVDetalhado!B47</f>
        <v>0</v>
      </c>
      <c r="BW47" s="46">
        <f>[20]byGOVDetalhado!C47</f>
        <v>0</v>
      </c>
      <c r="BX47" s="47">
        <f>[20]byGOVDetalhado!D47</f>
        <v>0</v>
      </c>
      <c r="BY47" s="48">
        <f>[20]byGOVDetalhado!E47</f>
        <v>0</v>
      </c>
      <c r="BZ47" s="45">
        <f>[21]byGOVDetalhado!B47</f>
        <v>0</v>
      </c>
      <c r="CA47" s="46">
        <f>[21]byGOVDetalhado!C47</f>
        <v>0</v>
      </c>
      <c r="CB47" s="47">
        <f>[21]byGOVDetalhado!D47</f>
        <v>0</v>
      </c>
      <c r="CC47" s="48">
        <f>[21]byGOVDetalhado!E47</f>
        <v>0</v>
      </c>
      <c r="CD47" s="45">
        <f>[22]byGOVDetalhado!B47</f>
        <v>0</v>
      </c>
      <c r="CE47" s="46">
        <f>[22]byGOVDetalhado!C47</f>
        <v>0</v>
      </c>
      <c r="CF47" s="47">
        <f>[22]byGOVDetalhado!D47</f>
        <v>0</v>
      </c>
      <c r="CG47" s="48">
        <f>[22]byGOVDetalhado!E47</f>
        <v>0</v>
      </c>
      <c r="CH47" s="45">
        <f>[23]byGOVDetalhado!B47</f>
        <v>0</v>
      </c>
      <c r="CI47" s="46">
        <f>[23]byGOVDetalhado!C47</f>
        <v>0</v>
      </c>
      <c r="CJ47" s="47">
        <f>[23]byGOVDetalhado!D47</f>
        <v>0</v>
      </c>
      <c r="CK47" s="48">
        <f>[23]byGOVDetalhado!E47</f>
        <v>0</v>
      </c>
      <c r="CL47" s="45">
        <f>[24]byGOVDetalhado!B47</f>
        <v>0</v>
      </c>
      <c r="CM47" s="46">
        <f>[24]byGOVDetalhado!C47</f>
        <v>0</v>
      </c>
      <c r="CN47" s="47">
        <f>[24]byGOVDetalhado!D47</f>
        <v>0</v>
      </c>
      <c r="CO47" s="48">
        <f>[24]byGOVDetalhado!E47</f>
        <v>0</v>
      </c>
      <c r="CP47" s="45">
        <f>[25]byGOVDetalhado!B47</f>
        <v>0</v>
      </c>
      <c r="CQ47" s="46">
        <f>[25]byGOVDetalhado!C47</f>
        <v>0</v>
      </c>
      <c r="CR47" s="47">
        <f>[25]byGOVDetalhado!D47</f>
        <v>0</v>
      </c>
      <c r="CS47" s="48">
        <f>[25]byGOVDetalhado!E47</f>
        <v>0</v>
      </c>
      <c r="CT47" s="45">
        <f>[26]byGOVDetalhado!B47</f>
        <v>0</v>
      </c>
      <c r="CU47" s="46">
        <f>[26]byGOVDetalhado!C47</f>
        <v>0</v>
      </c>
      <c r="CV47" s="47">
        <f>[26]byGOVDetalhado!D47</f>
        <v>0</v>
      </c>
      <c r="CW47" s="48">
        <f>[26]byGOVDetalhado!E47</f>
        <v>0</v>
      </c>
    </row>
    <row r="48" spans="1:102" x14ac:dyDescent="0.25">
      <c r="A48" s="49" t="s">
        <v>98</v>
      </c>
      <c r="B48" s="50"/>
      <c r="C48" s="49"/>
      <c r="D48" s="51"/>
      <c r="E48" s="52"/>
      <c r="F48" s="50"/>
      <c r="G48" s="49"/>
      <c r="H48" s="51"/>
      <c r="I48" s="52"/>
      <c r="J48" s="50"/>
      <c r="K48" s="49"/>
      <c r="L48" s="51"/>
      <c r="M48" s="52"/>
      <c r="N48" s="52"/>
      <c r="O48" s="52"/>
      <c r="P48" s="52"/>
      <c r="Q48" s="52"/>
      <c r="R48" s="49"/>
      <c r="S48" s="49"/>
      <c r="T48" s="49"/>
      <c r="U48" s="49"/>
      <c r="V48" s="49"/>
      <c r="W48" s="49"/>
      <c r="X48" s="49"/>
      <c r="Y48" s="49"/>
      <c r="Z48" s="49">
        <f>[8]byGOVDetalhado!B48</f>
        <v>0</v>
      </c>
      <c r="AA48" s="49">
        <f>[8]byGOVDetalhado!C48</f>
        <v>0</v>
      </c>
      <c r="AB48" s="49">
        <f>[8]byGOVDetalhado!D48</f>
        <v>0</v>
      </c>
      <c r="AC48" s="49">
        <f>[8]byGOVDetalhado!E48</f>
        <v>0</v>
      </c>
      <c r="AD48" s="49"/>
      <c r="AE48" s="49"/>
      <c r="AF48" s="49"/>
      <c r="AG48" s="49"/>
      <c r="AH48" s="49"/>
      <c r="AI48" s="49"/>
      <c r="AJ48" s="49"/>
      <c r="AK48" s="49"/>
      <c r="AL48" s="40"/>
      <c r="AM48" s="40"/>
      <c r="AN48" s="40"/>
      <c r="AO48" s="40"/>
      <c r="AP48" s="40"/>
      <c r="AQ48" s="40"/>
      <c r="AR48" s="40"/>
      <c r="AS48" s="40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</row>
    <row r="49" spans="1:101" x14ac:dyDescent="0.25">
      <c r="A49" s="49" t="s">
        <v>103</v>
      </c>
      <c r="B49" s="50"/>
      <c r="C49" s="51"/>
      <c r="D49" s="51"/>
      <c r="E49" s="54"/>
      <c r="F49" s="50"/>
      <c r="G49" s="51"/>
      <c r="H49" s="51"/>
      <c r="I49" s="54"/>
      <c r="J49" s="50"/>
      <c r="K49" s="51"/>
      <c r="L49" s="51"/>
      <c r="M49" s="54"/>
      <c r="N49" s="54"/>
      <c r="O49" s="54"/>
      <c r="P49" s="54"/>
      <c r="Q49" s="54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0"/>
      <c r="AM49" s="40"/>
      <c r="AN49" s="40"/>
      <c r="AO49" s="40"/>
      <c r="AP49" s="40"/>
      <c r="AQ49" s="40"/>
      <c r="AR49" s="40"/>
      <c r="AS49" s="40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</row>
    <row r="50" spans="1:101" x14ac:dyDescent="0.25">
      <c r="A50" s="49" t="s">
        <v>99</v>
      </c>
      <c r="B50" s="50"/>
      <c r="C50" s="51"/>
      <c r="D50" s="51"/>
      <c r="E50" s="54"/>
      <c r="F50" s="50"/>
      <c r="G50" s="51"/>
      <c r="H50" s="51"/>
      <c r="I50" s="54"/>
      <c r="J50" s="50"/>
      <c r="K50" s="51"/>
      <c r="L50" s="51"/>
      <c r="M50" s="54"/>
      <c r="N50" s="54"/>
      <c r="O50" s="54"/>
      <c r="P50" s="54"/>
      <c r="Q50" s="54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55"/>
      <c r="AM50" s="40"/>
      <c r="AN50" s="40"/>
      <c r="AO50" s="40"/>
      <c r="AP50" s="55"/>
      <c r="AQ50" s="40"/>
      <c r="AR50" s="40"/>
      <c r="AS50" s="40"/>
    </row>
    <row r="51" spans="1:101" x14ac:dyDescent="0.25">
      <c r="A51" s="49" t="s">
        <v>100</v>
      </c>
      <c r="B51" s="50"/>
      <c r="C51" s="51"/>
      <c r="D51" s="51"/>
      <c r="E51" s="54"/>
      <c r="F51" s="50"/>
      <c r="G51" s="51"/>
      <c r="H51" s="51"/>
      <c r="I51" s="54"/>
      <c r="J51" s="50"/>
      <c r="K51" s="51"/>
      <c r="L51" s="51"/>
      <c r="M51" s="54"/>
      <c r="N51" s="54"/>
      <c r="O51" s="54"/>
      <c r="P51" s="54"/>
      <c r="Q51" s="54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55"/>
      <c r="AM51" s="40"/>
      <c r="AN51" s="40"/>
      <c r="AO51" s="40"/>
      <c r="AP51" s="55"/>
      <c r="AQ51" s="40"/>
      <c r="AR51" s="40"/>
      <c r="AS51" s="40"/>
    </row>
    <row r="52" spans="1:101" x14ac:dyDescent="0.25">
      <c r="A52" s="56" t="s">
        <v>101</v>
      </c>
      <c r="B52" s="57"/>
      <c r="C52" s="58"/>
      <c r="D52" s="58"/>
      <c r="E52" s="59"/>
      <c r="F52" s="57"/>
      <c r="G52" s="58"/>
      <c r="H52" s="58"/>
      <c r="I52" s="59"/>
      <c r="J52" s="57"/>
      <c r="K52" s="58"/>
      <c r="L52" s="58"/>
      <c r="M52" s="59"/>
      <c r="N52" s="59"/>
      <c r="O52" s="59"/>
      <c r="P52" s="59"/>
      <c r="Q52" s="59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</row>
    <row r="53" spans="1:101" x14ac:dyDescent="0.25">
      <c r="A53" s="56" t="s">
        <v>118</v>
      </c>
      <c r="B53" s="57"/>
      <c r="C53" s="58"/>
      <c r="D53" s="58"/>
      <c r="E53" s="59"/>
      <c r="F53" s="57"/>
      <c r="G53" s="58"/>
      <c r="H53" s="58"/>
      <c r="I53" s="59"/>
      <c r="J53" s="57"/>
      <c r="K53" s="58"/>
      <c r="L53" s="58"/>
      <c r="M53" s="59"/>
      <c r="N53" s="59"/>
      <c r="O53" s="59"/>
      <c r="P53" s="59"/>
      <c r="Q53" s="59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</row>
    <row r="54" spans="1:101" x14ac:dyDescent="0.25">
      <c r="A54" s="56" t="s">
        <v>102</v>
      </c>
      <c r="B54" s="57"/>
      <c r="C54" s="58"/>
      <c r="D54" s="58"/>
      <c r="E54" s="59"/>
      <c r="F54" s="57"/>
      <c r="G54" s="58"/>
      <c r="H54" s="58"/>
      <c r="I54" s="59"/>
      <c r="J54" s="57"/>
      <c r="K54" s="58"/>
      <c r="L54" s="58"/>
      <c r="M54" s="59"/>
      <c r="N54" s="59"/>
      <c r="O54" s="59"/>
      <c r="P54" s="59"/>
      <c r="Q54" s="59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</row>
    <row r="55" spans="1:101" x14ac:dyDescent="0.25">
      <c r="E55" s="14"/>
      <c r="I55" s="14"/>
      <c r="M55" s="14"/>
      <c r="N55" s="14"/>
      <c r="O55" s="14"/>
      <c r="P55" s="14"/>
      <c r="Q55" s="14"/>
      <c r="W55" s="24"/>
      <c r="X55" s="24"/>
      <c r="AA55" s="24"/>
      <c r="AB55" s="24"/>
      <c r="AE55" s="24"/>
      <c r="AF55" s="24"/>
      <c r="AI55" s="24"/>
      <c r="AJ55" s="24"/>
    </row>
    <row r="56" spans="1:101" x14ac:dyDescent="0.25">
      <c r="E56" s="14"/>
      <c r="I56" s="14"/>
      <c r="M56" s="14"/>
      <c r="N56" s="14"/>
      <c r="O56" s="14"/>
      <c r="P56" s="14"/>
      <c r="Q56" s="14"/>
      <c r="W56" s="60"/>
      <c r="X56" s="60"/>
      <c r="AA56" s="60"/>
      <c r="AB56" s="60"/>
      <c r="AE56" s="60"/>
      <c r="AF56" s="60"/>
      <c r="AI56" s="60"/>
      <c r="AJ56" s="60"/>
    </row>
    <row r="57" spans="1:101" x14ac:dyDescent="0.25">
      <c r="E57" s="14"/>
      <c r="I57" s="14"/>
      <c r="M57" s="14"/>
      <c r="N57" s="14"/>
      <c r="P57" s="14"/>
      <c r="Q57" s="14"/>
      <c r="X57" s="60"/>
      <c r="AB57" s="60"/>
      <c r="AF57" s="60"/>
      <c r="AJ57" s="60"/>
    </row>
    <row r="58" spans="1:101" x14ac:dyDescent="0.25">
      <c r="E58" s="14"/>
      <c r="I58" s="14"/>
      <c r="M58" s="14"/>
      <c r="N58" s="14"/>
      <c r="O58" s="14"/>
      <c r="P58" s="14"/>
      <c r="Q58" s="14"/>
    </row>
  </sheetData>
  <mergeCells count="26">
    <mergeCell ref="CT3:CW3"/>
    <mergeCell ref="CH3:CK3"/>
    <mergeCell ref="CD3:CG3"/>
    <mergeCell ref="Z3:AC3"/>
    <mergeCell ref="BJ3:BM3"/>
    <mergeCell ref="BF3:BI3"/>
    <mergeCell ref="BV3:BY3"/>
    <mergeCell ref="BR3:BU3"/>
    <mergeCell ref="BZ3:CC3"/>
    <mergeCell ref="BN3:BQ3"/>
    <mergeCell ref="CP3:CS3"/>
    <mergeCell ref="CL3:CO3"/>
    <mergeCell ref="B3:E3"/>
    <mergeCell ref="A3:A4"/>
    <mergeCell ref="AH3:AK3"/>
    <mergeCell ref="BB3:BE3"/>
    <mergeCell ref="AL3:AO3"/>
    <mergeCell ref="AP3:AS3"/>
    <mergeCell ref="AT3:AW3"/>
    <mergeCell ref="AX3:BA3"/>
    <mergeCell ref="R3:U3"/>
    <mergeCell ref="N3:Q3"/>
    <mergeCell ref="F3:I3"/>
    <mergeCell ref="J3:M3"/>
    <mergeCell ref="V3:Y3"/>
    <mergeCell ref="AD3:AG3"/>
  </mergeCells>
  <phoneticPr fontId="0" type="noConversion"/>
  <printOptions horizontalCentered="1" verticalCentered="1" gridLines="1"/>
  <pageMargins left="0" right="0" top="0" bottom="0" header="0" footer="0"/>
  <pageSetup paperSize="9" scale="84" orientation="landscape" horizont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W24"/>
  <sheetViews>
    <sheetView showZeros="0" zoomScaleNormal="100" workbookViewId="0">
      <pane xSplit="1" ySplit="4" topLeftCell="CD5" activePane="bottomRight" state="frozen"/>
      <selection pane="topRight" activeCell="B1" sqref="B1"/>
      <selection pane="bottomLeft" activeCell="A5" sqref="A5"/>
      <selection pane="bottomRight" activeCell="CU28" sqref="CU28"/>
    </sheetView>
  </sheetViews>
  <sheetFormatPr defaultColWidth="9.109375" defaultRowHeight="13.2" x14ac:dyDescent="0.25"/>
  <cols>
    <col min="1" max="1" width="19.88671875" style="13" customWidth="1"/>
    <col min="2" max="61" width="12.109375" style="39" customWidth="1"/>
    <col min="62" max="101" width="12.109375" style="13" customWidth="1"/>
    <col min="102" max="16384" width="9.109375" style="13"/>
  </cols>
  <sheetData>
    <row r="1" spans="1:101" x14ac:dyDescent="0.25">
      <c r="A1" s="61" t="s">
        <v>126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</row>
    <row r="2" spans="1:101" ht="13.8" thickBot="1" x14ac:dyDescent="0.3">
      <c r="A2" s="4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</row>
    <row r="3" spans="1:101" x14ac:dyDescent="0.25">
      <c r="A3" s="115" t="s">
        <v>0</v>
      </c>
      <c r="B3" s="110">
        <v>2000</v>
      </c>
      <c r="C3" s="111"/>
      <c r="D3" s="111"/>
      <c r="E3" s="112"/>
      <c r="F3" s="110">
        <v>2001</v>
      </c>
      <c r="G3" s="111"/>
      <c r="H3" s="111"/>
      <c r="I3" s="112"/>
      <c r="J3" s="110">
        <v>2002</v>
      </c>
      <c r="K3" s="111"/>
      <c r="L3" s="111"/>
      <c r="M3" s="112"/>
      <c r="N3" s="110">
        <v>2003</v>
      </c>
      <c r="O3" s="111"/>
      <c r="P3" s="111"/>
      <c r="Q3" s="112"/>
      <c r="R3" s="110">
        <v>2004</v>
      </c>
      <c r="S3" s="111"/>
      <c r="T3" s="111"/>
      <c r="U3" s="112"/>
      <c r="V3" s="110">
        <v>2005</v>
      </c>
      <c r="W3" s="111"/>
      <c r="X3" s="111"/>
      <c r="Y3" s="112"/>
      <c r="Z3" s="110">
        <v>2006</v>
      </c>
      <c r="AA3" s="111"/>
      <c r="AB3" s="111"/>
      <c r="AC3" s="112"/>
      <c r="AD3" s="110">
        <v>2007</v>
      </c>
      <c r="AE3" s="111"/>
      <c r="AF3" s="111"/>
      <c r="AG3" s="112"/>
      <c r="AH3" s="110">
        <v>2008</v>
      </c>
      <c r="AI3" s="111"/>
      <c r="AJ3" s="111"/>
      <c r="AK3" s="112"/>
      <c r="AL3" s="110">
        <v>2009</v>
      </c>
      <c r="AM3" s="111"/>
      <c r="AN3" s="111"/>
      <c r="AO3" s="112"/>
      <c r="AP3" s="110">
        <v>2010</v>
      </c>
      <c r="AQ3" s="111"/>
      <c r="AR3" s="111"/>
      <c r="AS3" s="112"/>
      <c r="AT3" s="110">
        <v>2011</v>
      </c>
      <c r="AU3" s="111"/>
      <c r="AV3" s="111"/>
      <c r="AW3" s="112"/>
      <c r="AX3" s="110">
        <v>2012</v>
      </c>
      <c r="AY3" s="111"/>
      <c r="AZ3" s="111"/>
      <c r="BA3" s="112"/>
      <c r="BB3" s="110">
        <v>2013</v>
      </c>
      <c r="BC3" s="111"/>
      <c r="BD3" s="111"/>
      <c r="BE3" s="112"/>
      <c r="BF3" s="110">
        <v>2014</v>
      </c>
      <c r="BG3" s="111"/>
      <c r="BH3" s="111"/>
      <c r="BI3" s="112"/>
      <c r="BJ3" s="110">
        <v>2015</v>
      </c>
      <c r="BK3" s="111"/>
      <c r="BL3" s="111"/>
      <c r="BM3" s="112"/>
      <c r="BN3" s="110">
        <v>2016</v>
      </c>
      <c r="BO3" s="111"/>
      <c r="BP3" s="111"/>
      <c r="BQ3" s="112"/>
      <c r="BR3" s="110">
        <v>2017</v>
      </c>
      <c r="BS3" s="111"/>
      <c r="BT3" s="111"/>
      <c r="BU3" s="112"/>
      <c r="BV3" s="110">
        <v>2018</v>
      </c>
      <c r="BW3" s="111"/>
      <c r="BX3" s="111"/>
      <c r="BY3" s="112"/>
      <c r="BZ3" s="110">
        <v>2019</v>
      </c>
      <c r="CA3" s="111"/>
      <c r="CB3" s="111"/>
      <c r="CC3" s="112"/>
      <c r="CD3" s="110">
        <v>2020</v>
      </c>
      <c r="CE3" s="111"/>
      <c r="CF3" s="111"/>
      <c r="CG3" s="112"/>
      <c r="CH3" s="110">
        <v>2021</v>
      </c>
      <c r="CI3" s="111"/>
      <c r="CJ3" s="111"/>
      <c r="CK3" s="112"/>
      <c r="CL3" s="110">
        <v>2022</v>
      </c>
      <c r="CM3" s="111"/>
      <c r="CN3" s="111"/>
      <c r="CO3" s="112"/>
      <c r="CP3" s="110">
        <v>2023</v>
      </c>
      <c r="CQ3" s="111"/>
      <c r="CR3" s="111"/>
      <c r="CS3" s="112"/>
      <c r="CT3" s="110">
        <v>2024</v>
      </c>
      <c r="CU3" s="111"/>
      <c r="CV3" s="111"/>
      <c r="CW3" s="112"/>
    </row>
    <row r="4" spans="1:101" ht="22.8" x14ac:dyDescent="0.25">
      <c r="A4" s="116"/>
      <c r="B4" s="16" t="s">
        <v>84</v>
      </c>
      <c r="C4" s="17" t="s">
        <v>85</v>
      </c>
      <c r="D4" s="17" t="s">
        <v>82</v>
      </c>
      <c r="E4" s="18" t="s">
        <v>116</v>
      </c>
      <c r="F4" s="16" t="s">
        <v>84</v>
      </c>
      <c r="G4" s="17" t="s">
        <v>85</v>
      </c>
      <c r="H4" s="17" t="s">
        <v>82</v>
      </c>
      <c r="I4" s="18" t="s">
        <v>116</v>
      </c>
      <c r="J4" s="16" t="s">
        <v>84</v>
      </c>
      <c r="K4" s="17" t="s">
        <v>85</v>
      </c>
      <c r="L4" s="17" t="s">
        <v>82</v>
      </c>
      <c r="M4" s="18" t="s">
        <v>116</v>
      </c>
      <c r="N4" s="16" t="s">
        <v>84</v>
      </c>
      <c r="O4" s="17" t="s">
        <v>85</v>
      </c>
      <c r="P4" s="17" t="s">
        <v>82</v>
      </c>
      <c r="Q4" s="18" t="s">
        <v>116</v>
      </c>
      <c r="R4" s="16" t="s">
        <v>84</v>
      </c>
      <c r="S4" s="17" t="s">
        <v>85</v>
      </c>
      <c r="T4" s="17" t="s">
        <v>82</v>
      </c>
      <c r="U4" s="18" t="s">
        <v>116</v>
      </c>
      <c r="V4" s="16" t="s">
        <v>84</v>
      </c>
      <c r="W4" s="17" t="s">
        <v>85</v>
      </c>
      <c r="X4" s="17" t="s">
        <v>82</v>
      </c>
      <c r="Y4" s="18" t="s">
        <v>116</v>
      </c>
      <c r="Z4" s="16" t="s">
        <v>84</v>
      </c>
      <c r="AA4" s="17" t="s">
        <v>85</v>
      </c>
      <c r="AB4" s="17" t="s">
        <v>82</v>
      </c>
      <c r="AC4" s="18" t="s">
        <v>116</v>
      </c>
      <c r="AD4" s="16" t="s">
        <v>84</v>
      </c>
      <c r="AE4" s="17" t="s">
        <v>85</v>
      </c>
      <c r="AF4" s="17" t="s">
        <v>82</v>
      </c>
      <c r="AG4" s="18" t="s">
        <v>116</v>
      </c>
      <c r="AH4" s="16" t="s">
        <v>84</v>
      </c>
      <c r="AI4" s="17" t="s">
        <v>85</v>
      </c>
      <c r="AJ4" s="17" t="s">
        <v>82</v>
      </c>
      <c r="AK4" s="18" t="s">
        <v>116</v>
      </c>
      <c r="AL4" s="16" t="s">
        <v>84</v>
      </c>
      <c r="AM4" s="17" t="s">
        <v>85</v>
      </c>
      <c r="AN4" s="17" t="s">
        <v>82</v>
      </c>
      <c r="AO4" s="18" t="s">
        <v>116</v>
      </c>
      <c r="AP4" s="16" t="s">
        <v>84</v>
      </c>
      <c r="AQ4" s="17" t="s">
        <v>81</v>
      </c>
      <c r="AR4" s="17" t="s">
        <v>82</v>
      </c>
      <c r="AS4" s="18" t="s">
        <v>116</v>
      </c>
      <c r="AT4" s="16" t="s">
        <v>84</v>
      </c>
      <c r="AU4" s="17" t="s">
        <v>81</v>
      </c>
      <c r="AV4" s="17" t="s">
        <v>82</v>
      </c>
      <c r="AW4" s="18" t="s">
        <v>116</v>
      </c>
      <c r="AX4" s="16" t="s">
        <v>84</v>
      </c>
      <c r="AY4" s="17" t="s">
        <v>81</v>
      </c>
      <c r="AZ4" s="17" t="s">
        <v>82</v>
      </c>
      <c r="BA4" s="18" t="s">
        <v>116</v>
      </c>
      <c r="BB4" s="16" t="s">
        <v>84</v>
      </c>
      <c r="BC4" s="17" t="s">
        <v>81</v>
      </c>
      <c r="BD4" s="17" t="s">
        <v>82</v>
      </c>
      <c r="BE4" s="18" t="s">
        <v>116</v>
      </c>
      <c r="BF4" s="16" t="s">
        <v>84</v>
      </c>
      <c r="BG4" s="17" t="s">
        <v>81</v>
      </c>
      <c r="BH4" s="17" t="s">
        <v>82</v>
      </c>
      <c r="BI4" s="18" t="s">
        <v>116</v>
      </c>
      <c r="BJ4" s="16" t="s">
        <v>84</v>
      </c>
      <c r="BK4" s="17" t="s">
        <v>81</v>
      </c>
      <c r="BL4" s="17" t="s">
        <v>82</v>
      </c>
      <c r="BM4" s="18" t="s">
        <v>116</v>
      </c>
      <c r="BN4" s="16" t="s">
        <v>84</v>
      </c>
      <c r="BO4" s="17" t="s">
        <v>81</v>
      </c>
      <c r="BP4" s="17" t="s">
        <v>82</v>
      </c>
      <c r="BQ4" s="18" t="s">
        <v>116</v>
      </c>
      <c r="BR4" s="16" t="s">
        <v>84</v>
      </c>
      <c r="BS4" s="17" t="s">
        <v>81</v>
      </c>
      <c r="BT4" s="17" t="s">
        <v>82</v>
      </c>
      <c r="BU4" s="18" t="s">
        <v>116</v>
      </c>
      <c r="BV4" s="16" t="s">
        <v>84</v>
      </c>
      <c r="BW4" s="17" t="s">
        <v>81</v>
      </c>
      <c r="BX4" s="17" t="s">
        <v>82</v>
      </c>
      <c r="BY4" s="18" t="s">
        <v>116</v>
      </c>
      <c r="BZ4" s="16" t="s">
        <v>84</v>
      </c>
      <c r="CA4" s="17" t="s">
        <v>81</v>
      </c>
      <c r="CB4" s="17" t="s">
        <v>82</v>
      </c>
      <c r="CC4" s="18" t="s">
        <v>116</v>
      </c>
      <c r="CD4" s="16" t="s">
        <v>84</v>
      </c>
      <c r="CE4" s="17" t="s">
        <v>81</v>
      </c>
      <c r="CF4" s="17" t="s">
        <v>82</v>
      </c>
      <c r="CG4" s="18" t="s">
        <v>116</v>
      </c>
      <c r="CH4" s="16" t="s">
        <v>84</v>
      </c>
      <c r="CI4" s="17" t="s">
        <v>81</v>
      </c>
      <c r="CJ4" s="17" t="s">
        <v>82</v>
      </c>
      <c r="CK4" s="18" t="s">
        <v>116</v>
      </c>
      <c r="CL4" s="16" t="s">
        <v>84</v>
      </c>
      <c r="CM4" s="17" t="s">
        <v>81</v>
      </c>
      <c r="CN4" s="17" t="s">
        <v>82</v>
      </c>
      <c r="CO4" s="18" t="s">
        <v>116</v>
      </c>
      <c r="CP4" s="16" t="s">
        <v>84</v>
      </c>
      <c r="CQ4" s="17" t="s">
        <v>81</v>
      </c>
      <c r="CR4" s="17" t="s">
        <v>82</v>
      </c>
      <c r="CS4" s="18" t="s">
        <v>116</v>
      </c>
      <c r="CT4" s="16" t="s">
        <v>84</v>
      </c>
      <c r="CU4" s="17" t="s">
        <v>81</v>
      </c>
      <c r="CV4" s="17" t="s">
        <v>82</v>
      </c>
      <c r="CW4" s="18" t="s">
        <v>116</v>
      </c>
    </row>
    <row r="5" spans="1:101" x14ac:dyDescent="0.25">
      <c r="A5" s="64" t="s">
        <v>2</v>
      </c>
      <c r="B5" s="20">
        <f>'[2]AD ESFERA'!B5</f>
        <v>1202.3772157699991</v>
      </c>
      <c r="C5" s="34">
        <f>'[2]AD ESFERA'!C5</f>
        <v>0</v>
      </c>
      <c r="D5" s="34">
        <f>'[2]AD ESFERA'!D5</f>
        <v>0</v>
      </c>
      <c r="E5" s="65">
        <f>'[2]AD ESFERA'!E5</f>
        <v>0</v>
      </c>
      <c r="F5" s="20">
        <f>'[3]AD ESFERA'!B5</f>
        <v>1315.7550000000001</v>
      </c>
      <c r="G5" s="34">
        <f>'[3]AD ESFERA'!C5</f>
        <v>0</v>
      </c>
      <c r="H5" s="34">
        <f>'[3]AD ESFERA'!D5</f>
        <v>0</v>
      </c>
      <c r="I5" s="65">
        <f>'[3]AD ESFERA'!E5</f>
        <v>0</v>
      </c>
      <c r="J5" s="20">
        <f>'[4]AD ESFERA'!B5</f>
        <v>1488.787</v>
      </c>
      <c r="K5" s="34">
        <f>'[4]AD ESFERA'!C5</f>
        <v>0</v>
      </c>
      <c r="L5" s="34">
        <f>'[4]AD ESFERA'!D5</f>
        <v>0</v>
      </c>
      <c r="M5" s="65">
        <f>'[4]AD ESFERA'!E5</f>
        <v>0</v>
      </c>
      <c r="N5" s="20">
        <f>'[5]AD ESFERA'!B5</f>
        <v>1717.95</v>
      </c>
      <c r="O5" s="34">
        <f>'[5]AD ESFERA'!C5</f>
        <v>0</v>
      </c>
      <c r="P5" s="34">
        <f>'[5]AD ESFERA'!D5</f>
        <v>0</v>
      </c>
      <c r="Q5" s="65">
        <f>'[5]AD ESFERA'!E5</f>
        <v>0</v>
      </c>
      <c r="R5" s="20">
        <f>'[6]AD ESFERA'!B5</f>
        <v>1957.751</v>
      </c>
      <c r="S5" s="34">
        <f>'[6]AD ESFERA'!C5</f>
        <v>0</v>
      </c>
      <c r="T5" s="34">
        <f>'[6]AD ESFERA'!D5</f>
        <v>0</v>
      </c>
      <c r="U5" s="65">
        <f>'[6]AD ESFERA'!E5</f>
        <v>0</v>
      </c>
      <c r="V5" s="20">
        <f>'[7]AD ESFERA'!B5</f>
        <v>2170.585</v>
      </c>
      <c r="W5" s="34">
        <f>'[7]AD ESFERA'!C5</f>
        <v>0</v>
      </c>
      <c r="X5" s="34">
        <f>'[7]AD ESFERA'!D5</f>
        <v>0</v>
      </c>
      <c r="Y5" s="65">
        <f>'[7]AD ESFERA'!E5</f>
        <v>0</v>
      </c>
      <c r="Z5" s="20">
        <f>'[8]AD ESFERA'!B5</f>
        <v>2409.4499999999998</v>
      </c>
      <c r="AA5" s="34">
        <f>'[8]AD ESFERA'!C5</f>
        <v>0</v>
      </c>
      <c r="AB5" s="34">
        <f>'[8]AD ESFERA'!D5</f>
        <v>0</v>
      </c>
      <c r="AC5" s="65">
        <f>'[8]AD ESFERA'!E5</f>
        <v>0</v>
      </c>
      <c r="AD5" s="20">
        <f>'[9]AD ESFERA'!B5</f>
        <v>2720.2629999999999</v>
      </c>
      <c r="AE5" s="34">
        <f>'[9]AD ESFERA'!C5</f>
        <v>0</v>
      </c>
      <c r="AF5" s="34">
        <f>'[9]AD ESFERA'!D5</f>
        <v>0</v>
      </c>
      <c r="AG5" s="65">
        <f>'[9]AD ESFERA'!E5</f>
        <v>0</v>
      </c>
      <c r="AH5" s="20">
        <f>'[10]AD ESFERA'!B5</f>
        <v>3109.8029999999999</v>
      </c>
      <c r="AI5" s="34">
        <f>'[10]AD ESFERA'!C5</f>
        <v>0</v>
      </c>
      <c r="AJ5" s="34">
        <f>'[10]AD ESFERA'!D5</f>
        <v>0</v>
      </c>
      <c r="AK5" s="65">
        <f>'[10]AD ESFERA'!E5</f>
        <v>0</v>
      </c>
      <c r="AL5" s="20">
        <f>'[11]AD ESFERA'!B5</f>
        <v>3333.0390000000002</v>
      </c>
      <c r="AM5" s="34">
        <f>'[11]AD ESFERA'!C5</f>
        <v>0</v>
      </c>
      <c r="AN5" s="34">
        <f>'[11]AD ESFERA'!D5</f>
        <v>0</v>
      </c>
      <c r="AO5" s="65">
        <f>'[11]AD ESFERA'!E5</f>
        <v>0</v>
      </c>
      <c r="AP5" s="20">
        <f>'[12]AD ESFERA'!B5</f>
        <v>3885.8470000000002</v>
      </c>
      <c r="AQ5" s="34">
        <f>'[12]AD ESFERA'!C5</f>
        <v>0</v>
      </c>
      <c r="AR5" s="34">
        <f>'[12]AD ESFERA'!D5</f>
        <v>0</v>
      </c>
      <c r="AS5" s="65">
        <f>'[12]AD ESFERA'!E5</f>
        <v>0</v>
      </c>
      <c r="AT5" s="20">
        <f>'[13]AD ESFERA'!B5</f>
        <v>4376.3819999999996</v>
      </c>
      <c r="AU5" s="34">
        <f>'[13]AD ESFERA'!C5</f>
        <v>0</v>
      </c>
      <c r="AV5" s="34">
        <f>'[13]AD ESFERA'!D5</f>
        <v>0</v>
      </c>
      <c r="AW5" s="65">
        <f>'[13]AD ESFERA'!E5</f>
        <v>0</v>
      </c>
      <c r="AX5" s="20">
        <f>'[14]AD ESFERA'!B5</f>
        <v>4814.76</v>
      </c>
      <c r="AY5" s="34">
        <f>'[14]AD ESFERA'!C5</f>
        <v>0</v>
      </c>
      <c r="AZ5" s="34">
        <f>'[14]AD ESFERA'!D5</f>
        <v>0</v>
      </c>
      <c r="BA5" s="65">
        <f>'[14]AD ESFERA'!E5</f>
        <v>0</v>
      </c>
      <c r="BB5" s="20">
        <f>'[15]AD ESFERA'!B5</f>
        <v>5331.6189999999997</v>
      </c>
      <c r="BC5" s="34">
        <f>'[15]AD ESFERA'!C5</f>
        <v>0</v>
      </c>
      <c r="BD5" s="34">
        <f>'[15]AD ESFERA'!D5</f>
        <v>0</v>
      </c>
      <c r="BE5" s="65">
        <f>'[15]AD ESFERA'!E5</f>
        <v>0</v>
      </c>
      <c r="BF5" s="20">
        <f>'[16]AD ESFERA'!B5</f>
        <v>5778.9530000000004</v>
      </c>
      <c r="BG5" s="34">
        <f>'[16]AD ESFERA'!C5</f>
        <v>0</v>
      </c>
      <c r="BH5" s="34">
        <f>'[16]AD ESFERA'!D5</f>
        <v>0</v>
      </c>
      <c r="BI5" s="65">
        <f>'[16]AD ESFERA'!E5</f>
        <v>0</v>
      </c>
      <c r="BJ5" s="20">
        <f>'[17]AD ESFERA'!B5</f>
        <v>5995.7870000000003</v>
      </c>
      <c r="BK5" s="34">
        <f>'[17]AD ESFERA'!C5</f>
        <v>0</v>
      </c>
      <c r="BL5" s="34">
        <f>'[17]AD ESFERA'!D5</f>
        <v>0</v>
      </c>
      <c r="BM5" s="65">
        <f>'[17]AD ESFERA'!E5</f>
        <v>0</v>
      </c>
      <c r="BN5" s="20">
        <f>'[18]AD ESFERA'!B5</f>
        <v>6267.2049999999999</v>
      </c>
      <c r="BO5" s="34">
        <f>'[18]AD ESFERA'!C5</f>
        <v>0</v>
      </c>
      <c r="BP5" s="34">
        <f>'[18]AD ESFERA'!D5</f>
        <v>0</v>
      </c>
      <c r="BQ5" s="65">
        <f>'[18]AD ESFERA'!E5</f>
        <v>0</v>
      </c>
      <c r="BR5" s="20">
        <f>'[19]AD ESFERA'!B5</f>
        <v>6553.8426904999897</v>
      </c>
      <c r="BS5" s="34">
        <f>'[19]AD ESFERA'!C5</f>
        <v>0</v>
      </c>
      <c r="BT5" s="34">
        <f>'[19]AD ESFERA'!D5</f>
        <v>0</v>
      </c>
      <c r="BU5" s="65">
        <f>'[19]AD ESFERA'!E5</f>
        <v>0</v>
      </c>
      <c r="BV5" s="20">
        <f>'[20]AD ESFERA'!B5</f>
        <v>6889.1760999999997</v>
      </c>
      <c r="BW5" s="34">
        <f>'[20]AD ESFERA'!C5</f>
        <v>0</v>
      </c>
      <c r="BX5" s="34">
        <f>'[20]AD ESFERA'!D5</f>
        <v>0</v>
      </c>
      <c r="BY5" s="65">
        <f>'[20]AD ESFERA'!E5</f>
        <v>0</v>
      </c>
      <c r="BZ5" s="20">
        <f>'[21]AD ESFERA'!B5</f>
        <v>7389.1310000000003</v>
      </c>
      <c r="CA5" s="34">
        <f>'[21]AD ESFERA'!C5</f>
        <v>0</v>
      </c>
      <c r="CB5" s="34">
        <f>'[21]AD ESFERA'!D5</f>
        <v>0</v>
      </c>
      <c r="CC5" s="65">
        <f>'[21]AD ESFERA'!E5</f>
        <v>0</v>
      </c>
      <c r="CD5" s="20">
        <f>'[22]AD ESFERA'!B5</f>
        <v>7609.5969999999998</v>
      </c>
      <c r="CE5" s="34">
        <f>'[22]AD ESFERA'!C5</f>
        <v>0</v>
      </c>
      <c r="CF5" s="34">
        <f>'[22]AD ESFERA'!D5</f>
        <v>0</v>
      </c>
      <c r="CG5" s="65">
        <f>'[22]AD ESFERA'!E5</f>
        <v>0</v>
      </c>
      <c r="CH5" s="20">
        <f>'[23]AD ESFERA'!B5</f>
        <v>8898.7270000000008</v>
      </c>
      <c r="CI5" s="34">
        <f>'[23]AD ESFERA'!C5</f>
        <v>0</v>
      </c>
      <c r="CJ5" s="34">
        <f>'[23]AD ESFERA'!D5</f>
        <v>0</v>
      </c>
      <c r="CK5" s="65">
        <f>'[23]AD ESFERA'!E5</f>
        <v>0</v>
      </c>
      <c r="CL5" s="20">
        <f>'[24]AD ESFERA'!B5</f>
        <v>10079.675999999999</v>
      </c>
      <c r="CM5" s="34">
        <f>'[24]AD ESFERA'!C5</f>
        <v>0</v>
      </c>
      <c r="CN5" s="34">
        <f>'[24]AD ESFERA'!D5</f>
        <v>0</v>
      </c>
      <c r="CO5" s="65">
        <f>'[24]AD ESFERA'!E5</f>
        <v>0</v>
      </c>
      <c r="CP5" s="20">
        <f>'[25]AD ESFERA'!B5</f>
        <v>10943.343999999999</v>
      </c>
      <c r="CQ5" s="34">
        <f>'[25]AD ESFERA'!C5</f>
        <v>0</v>
      </c>
      <c r="CR5" s="34">
        <f>'[25]AD ESFERA'!D5</f>
        <v>0</v>
      </c>
      <c r="CS5" s="65">
        <f>'[25]AD ESFERA'!E5</f>
        <v>0</v>
      </c>
      <c r="CT5" s="20">
        <f>'[26]AD ESFERA'!B5</f>
        <v>11744.709000000001</v>
      </c>
      <c r="CU5" s="34">
        <f>'[26]AD ESFERA'!C5</f>
        <v>0</v>
      </c>
      <c r="CV5" s="34">
        <f>'[26]AD ESFERA'!D5</f>
        <v>0</v>
      </c>
      <c r="CW5" s="65">
        <f>'[26]AD ESFERA'!E5</f>
        <v>0</v>
      </c>
    </row>
    <row r="6" spans="1:101" x14ac:dyDescent="0.25">
      <c r="A6" s="64" t="s">
        <v>121</v>
      </c>
      <c r="B6" s="23">
        <f>'[2]AD ESFERA'!B6</f>
        <v>173448346</v>
      </c>
      <c r="C6" s="66">
        <f>'[2]AD ESFERA'!C6</f>
        <v>0</v>
      </c>
      <c r="D6" s="66">
        <f>'[2]AD ESFERA'!D6</f>
        <v>0</v>
      </c>
      <c r="E6" s="67">
        <f>'[2]AD ESFERA'!E6</f>
        <v>0</v>
      </c>
      <c r="F6" s="23">
        <f>'[3]AD ESFERA'!B6</f>
        <v>173448346</v>
      </c>
      <c r="G6" s="66">
        <f>'[3]AD ESFERA'!C6</f>
        <v>0</v>
      </c>
      <c r="H6" s="66">
        <f>'[3]AD ESFERA'!D6</f>
        <v>0</v>
      </c>
      <c r="I6" s="67">
        <f>'[3]AD ESFERA'!E6</f>
        <v>0</v>
      </c>
      <c r="J6" s="23">
        <f>'[4]AD ESFERA'!B6</f>
        <v>178276128</v>
      </c>
      <c r="K6" s="66">
        <f>'[4]AD ESFERA'!C6</f>
        <v>0</v>
      </c>
      <c r="L6" s="66">
        <f>'[4]AD ESFERA'!D6</f>
        <v>0</v>
      </c>
      <c r="M6" s="67">
        <f>'[4]AD ESFERA'!E6</f>
        <v>0</v>
      </c>
      <c r="N6" s="23">
        <f>'[5]AD ESFERA'!B6</f>
        <v>180619108</v>
      </c>
      <c r="O6" s="66">
        <f>'[5]AD ESFERA'!C6</f>
        <v>0</v>
      </c>
      <c r="P6" s="66">
        <f>'[5]AD ESFERA'!D6</f>
        <v>0</v>
      </c>
      <c r="Q6" s="67">
        <f>'[5]AD ESFERA'!E6</f>
        <v>0</v>
      </c>
      <c r="R6" s="23">
        <f>'[6]AD ESFERA'!B6</f>
        <v>182911487</v>
      </c>
      <c r="S6" s="66">
        <f>'[6]AD ESFERA'!C6</f>
        <v>0</v>
      </c>
      <c r="T6" s="66">
        <f>'[6]AD ESFERA'!D6</f>
        <v>0</v>
      </c>
      <c r="U6" s="67">
        <f>'[6]AD ESFERA'!E6</f>
        <v>0</v>
      </c>
      <c r="V6" s="23">
        <f>'[7]AD ESFERA'!B6</f>
        <v>185150806</v>
      </c>
      <c r="W6" s="66">
        <f>'[7]AD ESFERA'!C6</f>
        <v>0</v>
      </c>
      <c r="X6" s="66">
        <f>'[7]AD ESFERA'!D6</f>
        <v>0</v>
      </c>
      <c r="Y6" s="67">
        <f>'[7]AD ESFERA'!E6</f>
        <v>0</v>
      </c>
      <c r="Z6" s="23">
        <f>'[8]AD ESFERA'!B6</f>
        <v>187335137</v>
      </c>
      <c r="AA6" s="66">
        <f>'[8]AD ESFERA'!C6</f>
        <v>0</v>
      </c>
      <c r="AB6" s="66">
        <f>'[8]AD ESFERA'!D6</f>
        <v>0</v>
      </c>
      <c r="AC6" s="67">
        <f>'[8]AD ESFERA'!E6</f>
        <v>0</v>
      </c>
      <c r="AD6" s="23">
        <f>'[9]AD ESFERA'!B6</f>
        <v>189462755</v>
      </c>
      <c r="AE6" s="66">
        <f>'[9]AD ESFERA'!C6</f>
        <v>0</v>
      </c>
      <c r="AF6" s="66">
        <f>'[9]AD ESFERA'!D6</f>
        <v>0</v>
      </c>
      <c r="AG6" s="67">
        <f>'[9]AD ESFERA'!E6</f>
        <v>0</v>
      </c>
      <c r="AH6" s="23">
        <f>'[10]AD ESFERA'!B6</f>
        <v>191532439</v>
      </c>
      <c r="AI6" s="66">
        <f>'[10]AD ESFERA'!C6</f>
        <v>0</v>
      </c>
      <c r="AJ6" s="66">
        <f>'[10]AD ESFERA'!D6</f>
        <v>0</v>
      </c>
      <c r="AK6" s="67">
        <f>'[10]AD ESFERA'!E6</f>
        <v>0</v>
      </c>
      <c r="AL6" s="23">
        <f>'[11]AD ESFERA'!B6</f>
        <v>193543969</v>
      </c>
      <c r="AM6" s="66">
        <f>'[11]AD ESFERA'!C6</f>
        <v>0</v>
      </c>
      <c r="AN6" s="66">
        <f>'[11]AD ESFERA'!D6</f>
        <v>0</v>
      </c>
      <c r="AO6" s="67">
        <f>'[11]AD ESFERA'!E6</f>
        <v>0</v>
      </c>
      <c r="AP6" s="23">
        <f>'[12]AD ESFERA'!B6</f>
        <v>195497797</v>
      </c>
      <c r="AQ6" s="66">
        <f>'[12]AD ESFERA'!C6</f>
        <v>0</v>
      </c>
      <c r="AR6" s="66">
        <f>'[12]AD ESFERA'!D6</f>
        <v>0</v>
      </c>
      <c r="AS6" s="67">
        <f>'[12]AD ESFERA'!E6</f>
        <v>0</v>
      </c>
      <c r="AT6" s="23">
        <f>'[13]AD ESFERA'!B6</f>
        <v>197397018</v>
      </c>
      <c r="AU6" s="66">
        <f>'[13]AD ESFERA'!C6</f>
        <v>0</v>
      </c>
      <c r="AV6" s="66">
        <f>'[13]AD ESFERA'!D6</f>
        <v>0</v>
      </c>
      <c r="AW6" s="67">
        <f>'[13]AD ESFERA'!E6</f>
        <v>0</v>
      </c>
      <c r="AX6" s="23">
        <f>'[14]AD ESFERA'!B6</f>
        <v>199242462</v>
      </c>
      <c r="AY6" s="66">
        <f>'[14]AD ESFERA'!C6</f>
        <v>0</v>
      </c>
      <c r="AZ6" s="66">
        <f>'[14]AD ESFERA'!D6</f>
        <v>0</v>
      </c>
      <c r="BA6" s="67">
        <f>'[14]AD ESFERA'!E6</f>
        <v>0</v>
      </c>
      <c r="BB6" s="23">
        <f>'[15]AD ESFERA'!B6</f>
        <v>201032714</v>
      </c>
      <c r="BC6" s="66">
        <f>'[15]AD ESFERA'!C6</f>
        <v>0</v>
      </c>
      <c r="BD6" s="66">
        <f>'[15]AD ESFERA'!D6</f>
        <v>0</v>
      </c>
      <c r="BE6" s="67">
        <f>'[15]AD ESFERA'!E6</f>
        <v>0</v>
      </c>
      <c r="BF6" s="23">
        <f>'[16]AD ESFERA'!B6</f>
        <v>202768562</v>
      </c>
      <c r="BG6" s="66">
        <f>'[16]AD ESFERA'!C6</f>
        <v>0</v>
      </c>
      <c r="BH6" s="66">
        <f>'[16]AD ESFERA'!D6</f>
        <v>0</v>
      </c>
      <c r="BI6" s="67">
        <f>'[16]AD ESFERA'!E6</f>
        <v>0</v>
      </c>
      <c r="BJ6" s="23">
        <f>'[17]AD ESFERA'!B6</f>
        <v>204450649</v>
      </c>
      <c r="BK6" s="66">
        <f>'[17]AD ESFERA'!C6</f>
        <v>0</v>
      </c>
      <c r="BL6" s="66">
        <f>'[17]AD ESFERA'!D6</f>
        <v>0</v>
      </c>
      <c r="BM6" s="67">
        <f>'[17]AD ESFERA'!E6</f>
        <v>0</v>
      </c>
      <c r="BN6" s="23">
        <f>'[18]AD ESFERA'!B6</f>
        <v>206081432</v>
      </c>
      <c r="BO6" s="66">
        <f>'[18]AD ESFERA'!C6</f>
        <v>0</v>
      </c>
      <c r="BP6" s="66">
        <f>'[18]AD ESFERA'!D6</f>
        <v>0</v>
      </c>
      <c r="BQ6" s="67">
        <f>'[18]AD ESFERA'!E6</f>
        <v>0</v>
      </c>
      <c r="BR6" s="23">
        <f>'[19]AD ESFERA'!B6</f>
        <v>207660929</v>
      </c>
      <c r="BS6" s="66">
        <f>'[19]AD ESFERA'!C6</f>
        <v>0</v>
      </c>
      <c r="BT6" s="66">
        <f>'[19]AD ESFERA'!D6</f>
        <v>0</v>
      </c>
      <c r="BU6" s="67">
        <f>'[19]AD ESFERA'!E6</f>
        <v>0</v>
      </c>
      <c r="BV6" s="23">
        <f>'[20]AD ESFERA'!B6</f>
        <v>208494900</v>
      </c>
      <c r="BW6" s="66">
        <f>'[20]AD ESFERA'!C6</f>
        <v>0</v>
      </c>
      <c r="BX6" s="66">
        <f>'[20]AD ESFERA'!D6</f>
        <v>0</v>
      </c>
      <c r="BY6" s="67">
        <f>'[20]AD ESFERA'!E6</f>
        <v>0</v>
      </c>
      <c r="BZ6" s="23">
        <f>'[21]AD ESFERA'!B6</f>
        <v>210147125</v>
      </c>
      <c r="CA6" s="66">
        <f>'[21]AD ESFERA'!C6</f>
        <v>0</v>
      </c>
      <c r="CB6" s="66">
        <f>'[21]AD ESFERA'!D6</f>
        <v>0</v>
      </c>
      <c r="CC6" s="67">
        <f>'[21]AD ESFERA'!E6</f>
        <v>0</v>
      </c>
      <c r="CD6" s="23">
        <f>'[22]AD ESFERA'!B6</f>
        <v>211755692</v>
      </c>
      <c r="CE6" s="66">
        <f>'[22]AD ESFERA'!C6</f>
        <v>0</v>
      </c>
      <c r="CF6" s="66">
        <f>'[22]AD ESFERA'!D6</f>
        <v>0</v>
      </c>
      <c r="CG6" s="67">
        <f>'[22]AD ESFERA'!E6</f>
        <v>0</v>
      </c>
      <c r="CH6" s="23">
        <f>'[23]AD ESFERA'!B6</f>
        <v>213317639</v>
      </c>
      <c r="CI6" s="66">
        <f>'[23]AD ESFERA'!C6</f>
        <v>0</v>
      </c>
      <c r="CJ6" s="66">
        <f>'[23]AD ESFERA'!D6</f>
        <v>0</v>
      </c>
      <c r="CK6" s="67">
        <f>'[23]AD ESFERA'!E6</f>
        <v>0</v>
      </c>
      <c r="CL6" s="23">
        <f>'[24]AD ESFERA'!B6</f>
        <v>203080756</v>
      </c>
      <c r="CM6" s="66">
        <f>'[24]AD ESFERA'!C6</f>
        <v>0</v>
      </c>
      <c r="CN6" s="66">
        <f>'[24]AD ESFERA'!D6</f>
        <v>0</v>
      </c>
      <c r="CO6" s="67">
        <f>'[24]AD ESFERA'!E6</f>
        <v>0</v>
      </c>
      <c r="CP6" s="23">
        <f>'[25]AD ESFERA'!B6</f>
        <v>207832253</v>
      </c>
      <c r="CQ6" s="66">
        <f>'[25]AD ESFERA'!C6</f>
        <v>0</v>
      </c>
      <c r="CR6" s="66">
        <f>'[25]AD ESFERA'!D6</f>
        <v>0</v>
      </c>
      <c r="CS6" s="67">
        <f>'[25]AD ESFERA'!E6</f>
        <v>0</v>
      </c>
      <c r="CT6" s="23">
        <f>'[26]AD ESFERA'!B6</f>
        <v>212583750</v>
      </c>
      <c r="CU6" s="66">
        <f>'[26]AD ESFERA'!C6</f>
        <v>0</v>
      </c>
      <c r="CV6" s="66">
        <f>'[26]AD ESFERA'!D6</f>
        <v>0</v>
      </c>
      <c r="CW6" s="67">
        <f>'[26]AD ESFERA'!E6</f>
        <v>0</v>
      </c>
    </row>
    <row r="7" spans="1:101" x14ac:dyDescent="0.25">
      <c r="A7" s="68" t="s">
        <v>14</v>
      </c>
      <c r="B7" s="69">
        <f>'[2]AD ESFERA'!B7</f>
        <v>367.44514574477853</v>
      </c>
      <c r="C7" s="70">
        <f>'[2]AD ESFERA'!C7</f>
        <v>30.559889269813521</v>
      </c>
      <c r="D7" s="70">
        <f>'[2]AD ESFERA'!D7</f>
        <v>100</v>
      </c>
      <c r="E7" s="71">
        <f>'[2]AD ESFERA'!E7</f>
        <v>2118.4701625507487</v>
      </c>
      <c r="F7" s="69">
        <f>'[3]AD ESFERA'!B7</f>
        <v>421.64663452730179</v>
      </c>
      <c r="G7" s="70">
        <f>'[3]AD ESFERA'!C7</f>
        <v>32.045983828851256</v>
      </c>
      <c r="H7" s="70">
        <f>'[3]AD ESFERA'!D7</f>
        <v>99.999999999999986</v>
      </c>
      <c r="I7" s="71">
        <f>'[3]AD ESFERA'!E7</f>
        <v>2430.9637090877868</v>
      </c>
      <c r="J7" s="69">
        <f>'[4]AD ESFERA'!B7</f>
        <v>495.42481028470354</v>
      </c>
      <c r="K7" s="70">
        <f>'[4]AD ESFERA'!C7</f>
        <v>33.277077935574638</v>
      </c>
      <c r="L7" s="70">
        <f>'[4]AD ESFERA'!D7</f>
        <v>100.00000000000001</v>
      </c>
      <c r="M7" s="71">
        <f>'[4]AD ESFERA'!E7</f>
        <v>2778.9744810068096</v>
      </c>
      <c r="N7" s="69">
        <f>'[5]AD ESFERA'!B7</f>
        <v>560.01486740093776</v>
      </c>
      <c r="O7" s="70">
        <f>'[5]AD ESFERA'!C7</f>
        <v>32.597856014490397</v>
      </c>
      <c r="P7" s="70">
        <f>'[5]AD ESFERA'!D7</f>
        <v>99.999999999999972</v>
      </c>
      <c r="Q7" s="71">
        <f>'[5]AD ESFERA'!E7</f>
        <v>3100.5294711174065</v>
      </c>
      <c r="R7" s="69">
        <f>'[6]AD ESFERA'!B7</f>
        <v>658.25295701947584</v>
      </c>
      <c r="S7" s="70">
        <f>'[6]AD ESFERA'!C7</f>
        <v>33.622915121457012</v>
      </c>
      <c r="T7" s="70">
        <f>'[6]AD ESFERA'!D7</f>
        <v>99.999999999999986</v>
      </c>
      <c r="U7" s="71">
        <f>'[6]AD ESFERA'!E7</f>
        <v>3598.7513294858068</v>
      </c>
      <c r="V7" s="69">
        <f>'[7]AD ESFERA'!B7</f>
        <v>754.1842911243757</v>
      </c>
      <c r="W7" s="70">
        <f>'[7]AD ESFERA'!C7</f>
        <v>34.745669537215804</v>
      </c>
      <c r="X7" s="70">
        <f>'[7]AD ESFERA'!D7</f>
        <v>99.999999999999986</v>
      </c>
      <c r="Y7" s="71">
        <f>'[7]AD ESFERA'!E7</f>
        <v>4073.3513799792786</v>
      </c>
      <c r="Z7" s="69">
        <f>'[8]AD ESFERA'!B7</f>
        <v>829.53576664493539</v>
      </c>
      <c r="AA7" s="70">
        <f>'[8]AD ESFERA'!C7</f>
        <v>34.428428340282451</v>
      </c>
      <c r="AB7" s="70">
        <f>'[8]AD ESFERA'!D7</f>
        <v>99.999999999999986</v>
      </c>
      <c r="AC7" s="71">
        <f>'[8]AD ESFERA'!E7</f>
        <v>4428.084234112127</v>
      </c>
      <c r="AD7" s="69">
        <f>'[9]AD ESFERA'!B7</f>
        <v>940.81947852322855</v>
      </c>
      <c r="AE7" s="70">
        <f>'[9]AD ESFERA'!C7</f>
        <v>34.585607293237032</v>
      </c>
      <c r="AF7" s="70">
        <f>'[9]AD ESFERA'!D7</f>
        <v>99.999999999999986</v>
      </c>
      <c r="AG7" s="71">
        <f>'[9]AD ESFERA'!E7</f>
        <v>4965.7225691837348</v>
      </c>
      <c r="AH7" s="69">
        <f>'[10]AD ESFERA'!B7</f>
        <v>1080.8858871867772</v>
      </c>
      <c r="AI7" s="70">
        <f>'[10]AD ESFERA'!C7</f>
        <v>34.757374894383254</v>
      </c>
      <c r="AJ7" s="70">
        <f>'[10]AD ESFERA'!D7</f>
        <v>100</v>
      </c>
      <c r="AK7" s="71">
        <f>'[10]AD ESFERA'!E7</f>
        <v>5643.3567746024319</v>
      </c>
      <c r="AL7" s="69">
        <f>'[11]AD ESFERA'!B7</f>
        <v>1105.3740756788609</v>
      </c>
      <c r="AM7" s="70">
        <f>'[11]AD ESFERA'!C7</f>
        <v>33.164150664869538</v>
      </c>
      <c r="AN7" s="70">
        <f>'[11]AD ESFERA'!D7</f>
        <v>99.999999999999986</v>
      </c>
      <c r="AO7" s="71">
        <f>'[11]AD ESFERA'!E7</f>
        <v>5711.229760297314</v>
      </c>
      <c r="AP7" s="69">
        <f>'[12]AD ESFERA'!B7</f>
        <v>1291.3620855079682</v>
      </c>
      <c r="AQ7" s="70">
        <f>'[12]AD ESFERA'!C7</f>
        <v>33.232448048211062</v>
      </c>
      <c r="AR7" s="70">
        <f>'[12]AD ESFERA'!D7</f>
        <v>100</v>
      </c>
      <c r="AS7" s="71">
        <f>'[12]AD ESFERA'!E7</f>
        <v>6605.5070968803211</v>
      </c>
      <c r="AT7" s="69">
        <f>'[13]AD ESFERA'!B7</f>
        <v>1491.6039399458757</v>
      </c>
      <c r="AU7" s="70">
        <f>'[13]AD ESFERA'!C7</f>
        <v>34.08303799681736</v>
      </c>
      <c r="AV7" s="70">
        <f>'[13]AD ESFERA'!D7</f>
        <v>100</v>
      </c>
      <c r="AW7" s="71">
        <f>'[13]AD ESFERA'!E7</f>
        <v>7556.365111583782</v>
      </c>
      <c r="AX7" s="69">
        <f>'[14]AD ESFERA'!B7</f>
        <v>1638.1111399890101</v>
      </c>
      <c r="AY7" s="70">
        <f>'[14]AD ESFERA'!C7</f>
        <v>34.022695627383506</v>
      </c>
      <c r="AZ7" s="70">
        <f>'[14]AD ESFERA'!D7</f>
        <v>100</v>
      </c>
      <c r="BA7" s="71">
        <f>'[14]AD ESFERA'!E7</f>
        <v>8221.6969392247829</v>
      </c>
      <c r="BB7" s="69">
        <f>'[15]AD ESFERA'!B7</f>
        <v>1792.2460733358776</v>
      </c>
      <c r="BC7" s="70">
        <f>'[15]AD ESFERA'!C7</f>
        <v>33.61541913133474</v>
      </c>
      <c r="BD7" s="70">
        <f>'[15]AD ESFERA'!D7</f>
        <v>99.999999999999986</v>
      </c>
      <c r="BE7" s="71">
        <f>'[15]AD ESFERA'!E7</f>
        <v>8915.1961274117675</v>
      </c>
      <c r="BF7" s="69">
        <f>'[16]AD ESFERA'!B7</f>
        <v>1899.7812754348608</v>
      </c>
      <c r="BG7" s="70">
        <f>'[16]AD ESFERA'!C7</f>
        <v>32.87414304000847</v>
      </c>
      <c r="BH7" s="70">
        <f>'[16]AD ESFERA'!D7</f>
        <v>99.999999999999986</v>
      </c>
      <c r="BI7" s="71">
        <f>'[16]AD ESFERA'!E7</f>
        <v>9369.2101807915406</v>
      </c>
      <c r="BJ7" s="69">
        <f>'[17]AD ESFERA'!B7</f>
        <v>1969.0309956733588</v>
      </c>
      <c r="BK7" s="70">
        <f>'[17]AD ESFERA'!C7</f>
        <v>32.840242584891008</v>
      </c>
      <c r="BL7" s="70">
        <f>'[17]AD ESFERA'!D7</f>
        <v>99.999999999999986</v>
      </c>
      <c r="BM7" s="71">
        <f>'[17]AD ESFERA'!E7</f>
        <v>9630.8375899230286</v>
      </c>
      <c r="BN7" s="69">
        <f>'[18]AD ESFERA'!B7</f>
        <v>2086.156491382068</v>
      </c>
      <c r="BO7" s="70">
        <f>'[18]AD ESFERA'!C7</f>
        <v>33.286871761527955</v>
      </c>
      <c r="BP7" s="70">
        <f>'[18]AD ESFERA'!D7</f>
        <v>100.00000000000001</v>
      </c>
      <c r="BQ7" s="71">
        <f>'[18]AD ESFERA'!E7</f>
        <v>10122.97163861938</v>
      </c>
      <c r="BR7" s="69">
        <f>'[19]AD ESFERA'!B7</f>
        <v>2203.4044596355438</v>
      </c>
      <c r="BS7" s="70">
        <f>'[19]AD ESFERA'!C7</f>
        <v>33.620038864061399</v>
      </c>
      <c r="BT7" s="70">
        <f>'[19]AD ESFERA'!D7</f>
        <v>100.00000000000001</v>
      </c>
      <c r="BU7" s="71">
        <f>'[19]AD ESFERA'!E7</f>
        <v>10610.587510352243</v>
      </c>
      <c r="BV7" s="69">
        <f>'[20]AD ESFERA'!B7</f>
        <v>2372.799531465751</v>
      </c>
      <c r="BW7" s="70">
        <f>'[20]AD ESFERA'!C7</f>
        <v>34.442428194944114</v>
      </c>
      <c r="BX7" s="70">
        <f>'[20]AD ESFERA'!D7</f>
        <v>100.00000000000001</v>
      </c>
      <c r="BY7" s="71">
        <f>'[20]AD ESFERA'!E7</f>
        <v>11380.61185892677</v>
      </c>
      <c r="BZ7" s="69">
        <f>'[21]AD ESFERA'!B7</f>
        <v>2496.9242893211767</v>
      </c>
      <c r="CA7" s="70">
        <f>'[21]AD ESFERA'!C7</f>
        <v>33.791853051748248</v>
      </c>
      <c r="CB7" s="70">
        <f>'[21]AD ESFERA'!D7</f>
        <v>100.00000000000001</v>
      </c>
      <c r="CC7" s="71">
        <f>'[21]AD ESFERA'!E7</f>
        <v>11881.791337003429</v>
      </c>
      <c r="CD7" s="69">
        <f>'[22]AD ESFERA'!B7</f>
        <v>2451.5573404858737</v>
      </c>
      <c r="CE7" s="70">
        <f>'[22]AD ESFERA'!C7</f>
        <v>32.216651426953014</v>
      </c>
      <c r="CF7" s="70">
        <f>'[22]AD ESFERA'!D7</f>
        <v>100</v>
      </c>
      <c r="CG7" s="71">
        <f>'[22]AD ESFERA'!E7</f>
        <v>11577.291346132379</v>
      </c>
      <c r="CH7" s="69">
        <f>'[23]AD ESFERA'!B7</f>
        <v>3060.9656125131296</v>
      </c>
      <c r="CI7" s="70">
        <f>'[23]AD ESFERA'!C7</f>
        <v>34.397792094454971</v>
      </c>
      <c r="CJ7" s="70">
        <f>'[23]AD ESFERA'!D7</f>
        <v>99.999999999999986</v>
      </c>
      <c r="CK7" s="71">
        <f>'[23]AD ESFERA'!E7</f>
        <v>14349.33194864926</v>
      </c>
      <c r="CL7" s="69">
        <f>'[24]AD ESFERA'!B7</f>
        <v>3518.4966363961889</v>
      </c>
      <c r="CM7" s="70">
        <f>'[24]AD ESFERA'!C7</f>
        <v>34.906842604823694</v>
      </c>
      <c r="CN7" s="70">
        <f>'[24]AD ESFERA'!D7</f>
        <v>100.00000000000001</v>
      </c>
      <c r="CO7" s="71">
        <f>'[24]AD ESFERA'!E7</f>
        <v>17325.603398857689</v>
      </c>
      <c r="CP7" s="69">
        <f>'[25]AD ESFERA'!B7</f>
        <v>3783.9875168681046</v>
      </c>
      <c r="CQ7" s="70">
        <f>'[25]AD ESFERA'!C7</f>
        <v>34.577981984922573</v>
      </c>
      <c r="CR7" s="70">
        <f>'[25]AD ESFERA'!D7</f>
        <v>100</v>
      </c>
      <c r="CS7" s="71">
        <f>'[25]AD ESFERA'!E7</f>
        <v>18206.931129539862</v>
      </c>
      <c r="CT7" s="69">
        <f>'[26]AD ESFERA'!B7</f>
        <v>4222.2219899236061</v>
      </c>
      <c r="CU7" s="70">
        <f>'[26]AD ESFERA'!C7</f>
        <v>35.949992374639557</v>
      </c>
      <c r="CV7" s="70">
        <f>'[26]AD ESFERA'!D7</f>
        <v>100</v>
      </c>
      <c r="CW7" s="71">
        <f>'[26]AD ESFERA'!E7</f>
        <v>19861.452203771954</v>
      </c>
    </row>
    <row r="8" spans="1:101" x14ac:dyDescent="0.25">
      <c r="A8" s="72"/>
      <c r="B8" s="72">
        <f>'[2]AD ESFERA'!B8</f>
        <v>0</v>
      </c>
      <c r="C8" s="34">
        <f>'[2]AD ESFERA'!C8</f>
        <v>0</v>
      </c>
      <c r="D8" s="34">
        <f>'[2]AD ESFERA'!D8</f>
        <v>0</v>
      </c>
      <c r="E8" s="65">
        <f>'[2]AD ESFERA'!E8</f>
        <v>0</v>
      </c>
      <c r="F8" s="72">
        <f>'[3]AD ESFERA'!B8</f>
        <v>0</v>
      </c>
      <c r="G8" s="34">
        <f>'[3]AD ESFERA'!C8</f>
        <v>0</v>
      </c>
      <c r="H8" s="34">
        <f>'[3]AD ESFERA'!D8</f>
        <v>0</v>
      </c>
      <c r="I8" s="65">
        <f>'[3]AD ESFERA'!E8</f>
        <v>0</v>
      </c>
      <c r="J8" s="72">
        <f>'[4]AD ESFERA'!B8</f>
        <v>0</v>
      </c>
      <c r="K8" s="34">
        <f>'[4]AD ESFERA'!C8</f>
        <v>0</v>
      </c>
      <c r="L8" s="34">
        <f>'[4]AD ESFERA'!D8</f>
        <v>0</v>
      </c>
      <c r="M8" s="65">
        <f>'[4]AD ESFERA'!E8</f>
        <v>0</v>
      </c>
      <c r="N8" s="72">
        <f>'[5]AD ESFERA'!B8</f>
        <v>0</v>
      </c>
      <c r="O8" s="34">
        <f>'[5]AD ESFERA'!C8</f>
        <v>0</v>
      </c>
      <c r="P8" s="34">
        <f>'[5]AD ESFERA'!D8</f>
        <v>0</v>
      </c>
      <c r="Q8" s="65">
        <f>'[5]AD ESFERA'!E8</f>
        <v>0</v>
      </c>
      <c r="R8" s="72">
        <f>'[6]AD ESFERA'!B8</f>
        <v>0</v>
      </c>
      <c r="S8" s="34">
        <f>'[6]AD ESFERA'!C8</f>
        <v>0</v>
      </c>
      <c r="T8" s="34">
        <f>'[6]AD ESFERA'!D8</f>
        <v>0</v>
      </c>
      <c r="U8" s="65">
        <f>'[6]AD ESFERA'!E8</f>
        <v>0</v>
      </c>
      <c r="V8" s="72">
        <f>'[7]AD ESFERA'!B8</f>
        <v>0</v>
      </c>
      <c r="W8" s="34">
        <f>'[7]AD ESFERA'!C8</f>
        <v>0</v>
      </c>
      <c r="X8" s="34">
        <f>'[7]AD ESFERA'!D8</f>
        <v>0</v>
      </c>
      <c r="Y8" s="65">
        <f>'[7]AD ESFERA'!E8</f>
        <v>0</v>
      </c>
      <c r="Z8" s="72">
        <f>'[8]AD ESFERA'!B8</f>
        <v>0</v>
      </c>
      <c r="AA8" s="34">
        <f>'[8]AD ESFERA'!C8</f>
        <v>0</v>
      </c>
      <c r="AB8" s="34">
        <f>'[8]AD ESFERA'!D8</f>
        <v>0</v>
      </c>
      <c r="AC8" s="65">
        <f>'[8]AD ESFERA'!E8</f>
        <v>0</v>
      </c>
      <c r="AD8" s="72">
        <f>'[9]AD ESFERA'!B8</f>
        <v>0</v>
      </c>
      <c r="AE8" s="34">
        <f>'[9]AD ESFERA'!C8</f>
        <v>0</v>
      </c>
      <c r="AF8" s="34">
        <f>'[9]AD ESFERA'!D8</f>
        <v>0</v>
      </c>
      <c r="AG8" s="65">
        <f>'[9]AD ESFERA'!E8</f>
        <v>0</v>
      </c>
      <c r="AH8" s="72">
        <f>'[10]AD ESFERA'!B8</f>
        <v>0</v>
      </c>
      <c r="AI8" s="34">
        <f>'[10]AD ESFERA'!C8</f>
        <v>0</v>
      </c>
      <c r="AJ8" s="34">
        <f>'[10]AD ESFERA'!D8</f>
        <v>0</v>
      </c>
      <c r="AK8" s="65">
        <f>'[10]AD ESFERA'!E8</f>
        <v>0</v>
      </c>
      <c r="AL8" s="72">
        <f>'[11]AD ESFERA'!B8</f>
        <v>0</v>
      </c>
      <c r="AM8" s="34">
        <f>'[11]AD ESFERA'!C8</f>
        <v>0</v>
      </c>
      <c r="AN8" s="34">
        <f>'[11]AD ESFERA'!D8</f>
        <v>0</v>
      </c>
      <c r="AO8" s="65">
        <f>'[11]AD ESFERA'!E8</f>
        <v>0</v>
      </c>
      <c r="AP8" s="72">
        <f>'[12]AD ESFERA'!B8</f>
        <v>0</v>
      </c>
      <c r="AQ8" s="34">
        <f>'[12]AD ESFERA'!C8</f>
        <v>0</v>
      </c>
      <c r="AR8" s="34">
        <f>'[12]AD ESFERA'!D8</f>
        <v>0</v>
      </c>
      <c r="AS8" s="65">
        <f>'[12]AD ESFERA'!E8</f>
        <v>0</v>
      </c>
      <c r="AT8" s="72">
        <f>'[13]AD ESFERA'!B8</f>
        <v>0</v>
      </c>
      <c r="AU8" s="34">
        <f>'[13]AD ESFERA'!C8</f>
        <v>0</v>
      </c>
      <c r="AV8" s="34">
        <f>'[13]AD ESFERA'!D8</f>
        <v>0</v>
      </c>
      <c r="AW8" s="65">
        <f>'[13]AD ESFERA'!E8</f>
        <v>0</v>
      </c>
      <c r="AX8" s="72">
        <f>'[14]AD ESFERA'!B8</f>
        <v>0</v>
      </c>
      <c r="AY8" s="34">
        <f>'[14]AD ESFERA'!C8</f>
        <v>0</v>
      </c>
      <c r="AZ8" s="34">
        <f>'[14]AD ESFERA'!D8</f>
        <v>0</v>
      </c>
      <c r="BA8" s="65">
        <f>'[14]AD ESFERA'!E8</f>
        <v>0</v>
      </c>
      <c r="BB8" s="72">
        <f>'[15]AD ESFERA'!B8</f>
        <v>0</v>
      </c>
      <c r="BC8" s="34">
        <f>'[15]AD ESFERA'!C8</f>
        <v>0</v>
      </c>
      <c r="BD8" s="34">
        <f>'[15]AD ESFERA'!D8</f>
        <v>0</v>
      </c>
      <c r="BE8" s="65">
        <f>'[15]AD ESFERA'!E8</f>
        <v>0</v>
      </c>
      <c r="BF8" s="72">
        <f>'[16]AD ESFERA'!B8</f>
        <v>0</v>
      </c>
      <c r="BG8" s="34">
        <f>'[16]AD ESFERA'!C8</f>
        <v>0</v>
      </c>
      <c r="BH8" s="34">
        <f>'[16]AD ESFERA'!D8</f>
        <v>0</v>
      </c>
      <c r="BI8" s="65">
        <f>'[16]AD ESFERA'!E8</f>
        <v>0</v>
      </c>
      <c r="BJ8" s="72">
        <f>'[17]AD ESFERA'!B8</f>
        <v>0</v>
      </c>
      <c r="BK8" s="34">
        <f>'[17]AD ESFERA'!C8</f>
        <v>0</v>
      </c>
      <c r="BL8" s="34">
        <f>'[17]AD ESFERA'!D8</f>
        <v>0</v>
      </c>
      <c r="BM8" s="65">
        <f>'[17]AD ESFERA'!E8</f>
        <v>0</v>
      </c>
      <c r="BN8" s="72">
        <f>'[18]AD ESFERA'!B8</f>
        <v>0</v>
      </c>
      <c r="BO8" s="34">
        <f>'[18]AD ESFERA'!C8</f>
        <v>0</v>
      </c>
      <c r="BP8" s="34">
        <f>'[18]AD ESFERA'!D8</f>
        <v>0</v>
      </c>
      <c r="BQ8" s="65">
        <f>'[18]AD ESFERA'!E8</f>
        <v>0</v>
      </c>
      <c r="BR8" s="72">
        <f>'[19]AD ESFERA'!B8</f>
        <v>0</v>
      </c>
      <c r="BS8" s="34">
        <f>'[19]AD ESFERA'!C8</f>
        <v>0</v>
      </c>
      <c r="BT8" s="34">
        <f>'[19]AD ESFERA'!D8</f>
        <v>0</v>
      </c>
      <c r="BU8" s="65">
        <f>'[19]AD ESFERA'!E8</f>
        <v>0</v>
      </c>
      <c r="BV8" s="72">
        <f>'[20]AD ESFERA'!B8</f>
        <v>0</v>
      </c>
      <c r="BW8" s="34">
        <f>'[20]AD ESFERA'!C8</f>
        <v>0</v>
      </c>
      <c r="BX8" s="34">
        <f>'[20]AD ESFERA'!D8</f>
        <v>0</v>
      </c>
      <c r="BY8" s="65">
        <f>'[20]AD ESFERA'!E8</f>
        <v>0</v>
      </c>
      <c r="BZ8" s="72">
        <f>'[21]AD ESFERA'!B8</f>
        <v>0</v>
      </c>
      <c r="CA8" s="34">
        <f>'[21]AD ESFERA'!C8</f>
        <v>0</v>
      </c>
      <c r="CB8" s="34">
        <f>'[21]AD ESFERA'!D8</f>
        <v>0</v>
      </c>
      <c r="CC8" s="65">
        <f>'[21]AD ESFERA'!E8</f>
        <v>0</v>
      </c>
      <c r="CD8" s="72">
        <f>'[22]AD ESFERA'!B8</f>
        <v>0</v>
      </c>
      <c r="CE8" s="34">
        <f>'[22]AD ESFERA'!C8</f>
        <v>0</v>
      </c>
      <c r="CF8" s="34">
        <f>'[22]AD ESFERA'!D8</f>
        <v>0</v>
      </c>
      <c r="CG8" s="65">
        <f>'[22]AD ESFERA'!E8</f>
        <v>0</v>
      </c>
      <c r="CH8" s="72">
        <f>'[23]AD ESFERA'!B8</f>
        <v>0</v>
      </c>
      <c r="CI8" s="34">
        <f>'[23]AD ESFERA'!C8</f>
        <v>0</v>
      </c>
      <c r="CJ8" s="34">
        <f>'[23]AD ESFERA'!D8</f>
        <v>0</v>
      </c>
      <c r="CK8" s="65">
        <f>'[23]AD ESFERA'!E8</f>
        <v>0</v>
      </c>
      <c r="CL8" s="72">
        <f>'[24]AD ESFERA'!B8</f>
        <v>0</v>
      </c>
      <c r="CM8" s="34">
        <f>'[24]AD ESFERA'!C8</f>
        <v>0</v>
      </c>
      <c r="CN8" s="34">
        <f>'[24]AD ESFERA'!D8</f>
        <v>0</v>
      </c>
      <c r="CO8" s="65">
        <f>'[24]AD ESFERA'!E8</f>
        <v>0</v>
      </c>
      <c r="CP8" s="72">
        <f>'[25]AD ESFERA'!B8</f>
        <v>0</v>
      </c>
      <c r="CQ8" s="34">
        <f>'[25]AD ESFERA'!C8</f>
        <v>0</v>
      </c>
      <c r="CR8" s="34">
        <f>'[25]AD ESFERA'!D8</f>
        <v>0</v>
      </c>
      <c r="CS8" s="65">
        <f>'[25]AD ESFERA'!E8</f>
        <v>0</v>
      </c>
      <c r="CT8" s="72">
        <f>'[26]AD ESFERA'!B8</f>
        <v>0</v>
      </c>
      <c r="CU8" s="34">
        <f>'[26]AD ESFERA'!C8</f>
        <v>0</v>
      </c>
      <c r="CV8" s="34">
        <f>'[26]AD ESFERA'!D8</f>
        <v>0</v>
      </c>
      <c r="CW8" s="65">
        <f>'[26]AD ESFERA'!E8</f>
        <v>0</v>
      </c>
    </row>
    <row r="9" spans="1:101" s="9" customFormat="1" ht="11.4" x14ac:dyDescent="0.25">
      <c r="A9" s="73" t="s">
        <v>1</v>
      </c>
      <c r="B9" s="33">
        <f>'[2]AD ESFERA'!B9</f>
        <v>245.03203954924999</v>
      </c>
      <c r="C9" s="34">
        <f>'[2]AD ESFERA'!C9</f>
        <v>20.378965630376833</v>
      </c>
      <c r="D9" s="35">
        <f>'[2]AD ESFERA'!D9</f>
        <v>66.685338583693067</v>
      </c>
      <c r="E9" s="22">
        <f>'[2]AD ESFERA'!E9</f>
        <v>1412.7090006914796</v>
      </c>
      <c r="F9" s="33">
        <f>'[3]AD ESFERA'!B9</f>
        <v>281.98372694996993</v>
      </c>
      <c r="G9" s="34">
        <f>'[3]AD ESFERA'!C9</f>
        <v>21.431324748906139</v>
      </c>
      <c r="H9" s="35">
        <f>'[3]AD ESFERA'!D9</f>
        <v>66.876788253295388</v>
      </c>
      <c r="I9" s="22">
        <f>'[3]AD ESFERA'!E9</f>
        <v>1625.750452241095</v>
      </c>
      <c r="J9" s="33">
        <f>'[4]AD ESFERA'!B9</f>
        <v>337.12694509391997</v>
      </c>
      <c r="K9" s="34">
        <f>'[4]AD ESFERA'!C9</f>
        <v>22.644404142024342</v>
      </c>
      <c r="L9" s="35">
        <f>'[4]AD ESFERA'!D9</f>
        <v>68.048054537314101</v>
      </c>
      <c r="M9" s="22">
        <f>'[4]AD ESFERA'!E9</f>
        <v>1891.0380704135553</v>
      </c>
      <c r="N9" s="33">
        <f>'[5]AD ESFERA'!B9</f>
        <v>377.00184365503003</v>
      </c>
      <c r="O9" s="34">
        <f>'[5]AD ESFERA'!C9</f>
        <v>21.944867059869612</v>
      </c>
      <c r="P9" s="35">
        <f>'[5]AD ESFERA'!D9</f>
        <v>67.319970522339503</v>
      </c>
      <c r="Q9" s="22">
        <f>'[5]AD ESFERA'!E9</f>
        <v>2087.2755259926876</v>
      </c>
      <c r="R9" s="33">
        <f>'[6]AD ESFERA'!B9</f>
        <v>443.44386237532001</v>
      </c>
      <c r="S9" s="34">
        <f>'[6]AD ESFERA'!C9</f>
        <v>22.650677352498864</v>
      </c>
      <c r="T9" s="35">
        <f>'[6]AD ESFERA'!D9</f>
        <v>67.366786225040798</v>
      </c>
      <c r="U9" s="22">
        <f>'[6]AD ESFERA'!E9</f>
        <v>2424.3631149055173</v>
      </c>
      <c r="V9" s="33">
        <f>'[7]AD ESFERA'!B9</f>
        <v>515.78385678532015</v>
      </c>
      <c r="W9" s="34">
        <f>'[7]AD ESFERA'!C9</f>
        <v>23.762435324362791</v>
      </c>
      <c r="X9" s="35">
        <f>'[7]AD ESFERA'!D9</f>
        <v>68.389631401147824</v>
      </c>
      <c r="Y9" s="22">
        <f>'[7]AD ESFERA'!E9</f>
        <v>2785.7499944413967</v>
      </c>
      <c r="Z9" s="33">
        <f>'[8]AD ESFERA'!B9</f>
        <v>564.59653388898994</v>
      </c>
      <c r="AA9" s="34">
        <f>'[8]AD ESFERA'!C9</f>
        <v>23.432589756541535</v>
      </c>
      <c r="AB9" s="35">
        <f>'[8]AD ESFERA'!D9</f>
        <v>68.061746893989337</v>
      </c>
      <c r="AC9" s="22">
        <f>'[8]AD ESFERA'!E9</f>
        <v>3013.8314836740424</v>
      </c>
      <c r="AD9" s="33">
        <f>'[9]AD ESFERA'!B9</f>
        <v>646.59570142054008</v>
      </c>
      <c r="AE9" s="34">
        <f>'[9]AD ESFERA'!C9</f>
        <v>23.769602476692143</v>
      </c>
      <c r="AF9" s="35">
        <f>'[9]AD ESFERA'!D9</f>
        <v>68.7268616542122</v>
      </c>
      <c r="AG9" s="22">
        <f>'[9]AD ESFERA'!E9</f>
        <v>3412.7852802548978</v>
      </c>
      <c r="AH9" s="33">
        <f>'[10]AD ESFERA'!B9</f>
        <v>738.74106788094014</v>
      </c>
      <c r="AI9" s="34">
        <f>'[10]AD ESFERA'!C9</f>
        <v>23.755236839148338</v>
      </c>
      <c r="AJ9" s="35">
        <f>'[10]AD ESFERA'!D9</f>
        <v>68.345888926689781</v>
      </c>
      <c r="AK9" s="22">
        <f>'[10]AD ESFERA'!E9</f>
        <v>3857.002352906602</v>
      </c>
      <c r="AL9" s="33">
        <f>'[11]AD ESFERA'!B9</f>
        <v>745.83668001186993</v>
      </c>
      <c r="AM9" s="34">
        <f>'[11]AD ESFERA'!C9</f>
        <v>22.377076296193056</v>
      </c>
      <c r="AN9" s="35">
        <f>'[11]AD ESFERA'!D9</f>
        <v>67.473690257645799</v>
      </c>
      <c r="AO9" s="22">
        <f>'[11]AD ESFERA'!E9</f>
        <v>3853.577478365497</v>
      </c>
      <c r="AP9" s="33">
        <f>'[12]AD ESFERA'!B9</f>
        <v>868.73678569674996</v>
      </c>
      <c r="AQ9" s="34">
        <f>'[12]AD ESFERA'!C9</f>
        <v>22.35643311990281</v>
      </c>
      <c r="AR9" s="35">
        <f>'[12]AD ESFERA'!D9</f>
        <v>67.272904744994506</v>
      </c>
      <c r="AS9" s="22">
        <f>'[12]AD ESFERA'!E9</f>
        <v>4443.71649720815</v>
      </c>
      <c r="AT9" s="33">
        <f>'[13]AD ESFERA'!B9</f>
        <v>1017.00709511825</v>
      </c>
      <c r="AU9" s="34">
        <f>'[13]AD ESFERA'!C9</f>
        <v>23.238535738385043</v>
      </c>
      <c r="AV9" s="35">
        <f>'[13]AD ESFERA'!D9</f>
        <v>68.182113755689954</v>
      </c>
      <c r="AW9" s="22">
        <f>'[13]AD ESFERA'!E9</f>
        <v>5152.0894561753212</v>
      </c>
      <c r="AX9" s="33">
        <f>'[14]AD ESFERA'!B9</f>
        <v>1111.1551610718998</v>
      </c>
      <c r="AY9" s="34">
        <f>'[14]AD ESFERA'!C9</f>
        <v>23.078100696024308</v>
      </c>
      <c r="AZ9" s="35">
        <f>'[14]AD ESFERA'!D9</f>
        <v>67.83148798312638</v>
      </c>
      <c r="BA9" s="22">
        <f>'[14]AD ESFERA'!E9</f>
        <v>5576.8993713393274</v>
      </c>
      <c r="BB9" s="33">
        <f>'[15]AD ESFERA'!B9</f>
        <v>1208.3874362288898</v>
      </c>
      <c r="BC9" s="34">
        <f>'[15]AD ESFERA'!C9</f>
        <v>22.664549665474787</v>
      </c>
      <c r="BD9" s="35">
        <f>'[15]AD ESFERA'!D9</f>
        <v>67.423076228574928</v>
      </c>
      <c r="BE9" s="22">
        <f>'[15]AD ESFERA'!E9</f>
        <v>6010.8994809117976</v>
      </c>
      <c r="BF9" s="33">
        <f>'[16]AD ESFERA'!B9</f>
        <v>1266.1929959723002</v>
      </c>
      <c r="BG9" s="34">
        <f>'[16]AD ESFERA'!C9</f>
        <v>21.910422112315153</v>
      </c>
      <c r="BH9" s="35">
        <f>'[16]AD ESFERA'!D9</f>
        <v>66.649409189616733</v>
      </c>
      <c r="BI9" s="22">
        <f>'[16]AD ESFERA'!E9</f>
        <v>6244.5232312309845</v>
      </c>
      <c r="BJ9" s="33">
        <f>'[17]AD ESFERA'!B9</f>
        <v>1299.1238138973797</v>
      </c>
      <c r="BK9" s="34">
        <f>'[17]AD ESFERA'!C9</f>
        <v>21.66727760504801</v>
      </c>
      <c r="BL9" s="35">
        <f>'[17]AD ESFERA'!D9</f>
        <v>65.977824460458137</v>
      </c>
      <c r="BM9" s="22">
        <f>'[17]AD ESFERA'!E9</f>
        <v>6354.2171191512316</v>
      </c>
      <c r="BN9" s="33">
        <f>'[18]AD ESFERA'!B9</f>
        <v>1374.54539537134</v>
      </c>
      <c r="BO9" s="34">
        <f>'[18]AD ESFERA'!C9</f>
        <v>21.932350950245603</v>
      </c>
      <c r="BP9" s="35">
        <f>'[18]AD ESFERA'!D9</f>
        <v>65.888891895195783</v>
      </c>
      <c r="BQ9" s="22">
        <f>'[18]AD ESFERA'!E9</f>
        <v>6669.91383955125</v>
      </c>
      <c r="BR9" s="33">
        <f>'[19]AD ESFERA'!B9</f>
        <v>1439.7472453330997</v>
      </c>
      <c r="BS9" s="34">
        <f>'[19]AD ESFERA'!C9</f>
        <v>21.967986009491206</v>
      </c>
      <c r="BT9" s="35">
        <f>'[19]AD ESFERA'!D9</f>
        <v>65.341941150978826</v>
      </c>
      <c r="BU9" s="22">
        <f>'[19]AD ESFERA'!E9</f>
        <v>6933.16384678747</v>
      </c>
      <c r="BV9" s="33">
        <f>'[20]AD ESFERA'!B9</f>
        <v>1550.4920455762199</v>
      </c>
      <c r="BW9" s="34">
        <f>'[20]AD ESFERA'!C9</f>
        <v>22.506204269857754</v>
      </c>
      <c r="BX9" s="35">
        <f>'[20]AD ESFERA'!D9</f>
        <v>65.344418060401139</v>
      </c>
      <c r="BY9" s="22">
        <f>'[20]AD ESFERA'!E9</f>
        <v>7436.5945909286984</v>
      </c>
      <c r="BZ9" s="33">
        <f>'[21]AD ESFERA'!B9</f>
        <v>1610.62250906908</v>
      </c>
      <c r="CA9" s="34">
        <f>'[21]AD ESFERA'!C9</f>
        <v>21.797184392441814</v>
      </c>
      <c r="CB9" s="35">
        <f>'[21]AD ESFERA'!D9</f>
        <v>64.504258937981263</v>
      </c>
      <c r="CC9" s="22">
        <f>'[21]AD ESFERA'!E9</f>
        <v>7664.2614504913172</v>
      </c>
      <c r="CD9" s="33">
        <f>'[22]AD ESFERA'!B9</f>
        <v>1541.6975596177699</v>
      </c>
      <c r="CE9" s="34">
        <f>'[22]AD ESFERA'!C9</f>
        <v>20.259910736636513</v>
      </c>
      <c r="CF9" s="35">
        <f>'[22]AD ESFERA'!D9</f>
        <v>62.886457279935428</v>
      </c>
      <c r="CG9" s="22">
        <f>'[22]AD ESFERA'!E9</f>
        <v>7280.5483765591998</v>
      </c>
      <c r="CH9" s="33">
        <f>'[23]AD ESFERA'!B9</f>
        <v>1962.2414599582899</v>
      </c>
      <c r="CI9" s="34">
        <f>'[23]AD ESFERA'!C9</f>
        <v>22.050810862703059</v>
      </c>
      <c r="CJ9" s="35">
        <f>'[23]AD ESFERA'!D9</f>
        <v>64.105308858639546</v>
      </c>
      <c r="CK9" s="22">
        <f>'[23]AD ESFERA'!E9</f>
        <v>9198.6835648330507</v>
      </c>
      <c r="CL9" s="33">
        <f>'[24]AD ESFERA'!B9</f>
        <v>2292.7228653501902</v>
      </c>
      <c r="CM9" s="34">
        <f>'[24]AD ESFERA'!C9</f>
        <v>22.745997642684053</v>
      </c>
      <c r="CN9" s="35">
        <f>'[24]AD ESFERA'!D9</f>
        <v>65.162002476674402</v>
      </c>
      <c r="CO9" s="22">
        <f>'[24]AD ESFERA'!E9</f>
        <v>11289.710115862432</v>
      </c>
      <c r="CP9" s="33">
        <f>'[25]AD ESFERA'!B9</f>
        <v>2470.28269669975</v>
      </c>
      <c r="CQ9" s="34">
        <f>'[25]AD ESFERA'!C9</f>
        <v>22.573380647631566</v>
      </c>
      <c r="CR9" s="35">
        <f>'[25]AD ESFERA'!D9</f>
        <v>65.282527642806031</v>
      </c>
      <c r="CS9" s="22">
        <f>'[25]AD ESFERA'!E9</f>
        <v>11885.944847548519</v>
      </c>
      <c r="CT9" s="33">
        <f>'[26]AD ESFERA'!B9</f>
        <v>2735.21391600692</v>
      </c>
      <c r="CU9" s="34">
        <f>'[26]AD ESFERA'!C9</f>
        <v>23.288903250024497</v>
      </c>
      <c r="CV9" s="35">
        <f>'[26]AD ESFERA'!D9</f>
        <v>64.781385785364847</v>
      </c>
      <c r="CW9" s="22">
        <f>'[26]AD ESFERA'!E9</f>
        <v>12866.523974701358</v>
      </c>
    </row>
    <row r="10" spans="1:101" x14ac:dyDescent="0.25">
      <c r="A10" s="75" t="s">
        <v>3</v>
      </c>
      <c r="B10" s="38">
        <f>'[2]AD ESFERA'!B10</f>
        <v>77.357529826849998</v>
      </c>
      <c r="C10" s="39">
        <f>'[2]AD ESFERA'!C10</f>
        <v>6.4337155438620357</v>
      </c>
      <c r="D10" s="55">
        <f>'[2]AD ESFERA'!D10</f>
        <v>21.052810391617282</v>
      </c>
      <c r="E10" s="74">
        <f>'[2]AD ESFERA'!E10</f>
        <v>445.99750652479554</v>
      </c>
      <c r="F10" s="38">
        <f>'[3]AD ESFERA'!B10</f>
        <v>90.128571071179991</v>
      </c>
      <c r="G10" s="39">
        <f>'[3]AD ESFERA'!C10</f>
        <v>6.8499508701224761</v>
      </c>
      <c r="H10" s="55">
        <f>'[3]AD ESFERA'!D10</f>
        <v>21.375380162163754</v>
      </c>
      <c r="I10" s="74">
        <f>'[3]AD ESFERA'!E10</f>
        <v>519.62773442175114</v>
      </c>
      <c r="J10" s="38">
        <f>'[4]AD ESFERA'!B10</f>
        <v>106.15865746573</v>
      </c>
      <c r="K10" s="39">
        <f>'[4]AD ESFERA'!C10</f>
        <v>7.1305470470745647</v>
      </c>
      <c r="L10" s="55">
        <f>'[4]AD ESFERA'!D10</f>
        <v>21.42780403038844</v>
      </c>
      <c r="M10" s="74">
        <f>'[4]AD ESFERA'!E10</f>
        <v>595.47320584464342</v>
      </c>
      <c r="N10" s="38">
        <f>'[5]AD ESFERA'!B10</f>
        <v>113.12019706142</v>
      </c>
      <c r="O10" s="39">
        <f>'[5]AD ESFERA'!C10</f>
        <v>6.584603571781483</v>
      </c>
      <c r="P10" s="55">
        <f>'[5]AD ESFERA'!D10</f>
        <v>20.199498914451599</v>
      </c>
      <c r="Q10" s="74">
        <f>'[5]AD ESFERA'!E10</f>
        <v>626.29141686061257</v>
      </c>
      <c r="R10" s="38">
        <f>'[6]AD ESFERA'!B10</f>
        <v>126.10838230923999</v>
      </c>
      <c r="S10" s="39">
        <f>'[6]AD ESFERA'!C10</f>
        <v>6.441492422133356</v>
      </c>
      <c r="T10" s="55">
        <f>'[6]AD ESFERA'!D10</f>
        <v>19.158042658896676</v>
      </c>
      <c r="U10" s="74">
        <f>'[6]AD ESFERA'!E10</f>
        <v>689.45031489050211</v>
      </c>
      <c r="V10" s="38">
        <f>'[7]AD ESFERA'!B10</f>
        <v>151.80948295773001</v>
      </c>
      <c r="W10" s="39">
        <f>'[7]AD ESFERA'!C10</f>
        <v>6.9939432437674647</v>
      </c>
      <c r="X10" s="55">
        <f>'[7]AD ESFERA'!D10</f>
        <v>20.128963801593489</v>
      </c>
      <c r="Y10" s="74">
        <f>'[7]AD ESFERA'!E10</f>
        <v>819.92342478773764</v>
      </c>
      <c r="Z10" s="38">
        <f>'[8]AD ESFERA'!B10</f>
        <v>165.84367293374996</v>
      </c>
      <c r="AA10" s="39">
        <f>'[8]AD ESFERA'!C10</f>
        <v>6.8830510254933683</v>
      </c>
      <c r="AB10" s="55">
        <f>'[8]AD ESFERA'!D10</f>
        <v>19.992347479422872</v>
      </c>
      <c r="AC10" s="74">
        <f>'[8]AD ESFERA'!E10</f>
        <v>885.27798676523753</v>
      </c>
      <c r="AD10" s="38">
        <f>'[9]AD ESFERA'!B10</f>
        <v>195.54627122188998</v>
      </c>
      <c r="AE10" s="39">
        <f>'[9]AD ESFERA'!C10</f>
        <v>7.1885060827533946</v>
      </c>
      <c r="AF10" s="55">
        <f>'[9]AD ESFERA'!D10</f>
        <v>20.784675029138654</v>
      </c>
      <c r="AG10" s="74">
        <f>'[9]AD ESFERA'!E10</f>
        <v>1032.1092988534342</v>
      </c>
      <c r="AH10" s="38">
        <f>'[10]AD ESFERA'!B10</f>
        <v>248.65944787470005</v>
      </c>
      <c r="AI10" s="39">
        <f>'[10]AD ESFERA'!C10</f>
        <v>7.9959871372784725</v>
      </c>
      <c r="AJ10" s="55">
        <f>'[10]AD ESFERA'!D10</f>
        <v>23.005152608837022</v>
      </c>
      <c r="AK10" s="74">
        <f>'[10]AD ESFERA'!E10</f>
        <v>1298.2628382584323</v>
      </c>
      <c r="AL10" s="38">
        <f>'[11]AD ESFERA'!B10</f>
        <v>235.60912041977002</v>
      </c>
      <c r="AM10" s="39">
        <f>'[11]AD ESFERA'!C10</f>
        <v>7.0688977962685113</v>
      </c>
      <c r="AN10" s="55">
        <f>'[11]AD ESFERA'!D10</f>
        <v>21.314876619941682</v>
      </c>
      <c r="AO10" s="74">
        <f>'[11]AD ESFERA'!E10</f>
        <v>1217.3415768887637</v>
      </c>
      <c r="AP10" s="38">
        <f>'[12]AD ESFERA'!B10</f>
        <v>275.89119608768999</v>
      </c>
      <c r="AQ10" s="39">
        <f>'[12]AD ESFERA'!C10</f>
        <v>7.0998985829264507</v>
      </c>
      <c r="AR10" s="55">
        <f>'[12]AD ESFERA'!D10</f>
        <v>21.364356223852266</v>
      </c>
      <c r="AS10" s="74">
        <f>'[12]AD ESFERA'!E10</f>
        <v>1411.2240665693537</v>
      </c>
      <c r="AT10" s="38">
        <f>'[13]AD ESFERA'!B10</f>
        <v>331.50073697284</v>
      </c>
      <c r="AU10" s="39">
        <f>'[13]AD ESFERA'!C10</f>
        <v>7.5747669415704575</v>
      </c>
      <c r="AV10" s="55">
        <f>'[13]AD ESFERA'!D10</f>
        <v>22.22444766302165</v>
      </c>
      <c r="AW10" s="74">
        <f>'[13]AD ESFERA'!E10</f>
        <v>1679.360409450765</v>
      </c>
      <c r="AX10" s="38">
        <f>'[14]AD ESFERA'!B10</f>
        <v>340.90147742067001</v>
      </c>
      <c r="AY10" s="39">
        <f>'[14]AD ESFERA'!C10</f>
        <v>7.0803420610927645</v>
      </c>
      <c r="AZ10" s="55">
        <f>'[14]AD ESFERA'!D10</f>
        <v>20.810643984934813</v>
      </c>
      <c r="BA10" s="74">
        <f>'[14]AD ESFERA'!E10</f>
        <v>1710.9880795423517</v>
      </c>
      <c r="BB10" s="38">
        <f>'[15]AD ESFERA'!B10</f>
        <v>369.19480467438001</v>
      </c>
      <c r="BC10" s="39">
        <f>'[15]AD ESFERA'!C10</f>
        <v>6.9246284228933099</v>
      </c>
      <c r="BD10" s="55">
        <f>'[15]AD ESFERA'!D10</f>
        <v>20.599559969307332</v>
      </c>
      <c r="BE10" s="74">
        <f>'[15]AD ESFERA'!E10</f>
        <v>1836.4911726475523</v>
      </c>
      <c r="BF10" s="38">
        <f>'[16]AD ESFERA'!B10</f>
        <v>393.7066939632</v>
      </c>
      <c r="BG10" s="39">
        <f>'[16]AD ESFERA'!C10</f>
        <v>6.8127685752626812</v>
      </c>
      <c r="BH10" s="55">
        <f>'[16]AD ESFERA'!D10</f>
        <v>20.723790630744077</v>
      </c>
      <c r="BI10" s="74">
        <f>'[16]AD ESFERA'!E10</f>
        <v>1941.6555016215975</v>
      </c>
      <c r="BJ10" s="38">
        <f>'[17]AD ESFERA'!B10</f>
        <v>417.30468433293004</v>
      </c>
      <c r="BK10" s="39">
        <f>'[17]AD ESFERA'!C10</f>
        <v>6.9599651277293546</v>
      </c>
      <c r="BL10" s="55">
        <f>'[17]AD ESFERA'!D10</f>
        <v>21.193403519289056</v>
      </c>
      <c r="BM10" s="74">
        <f>'[17]AD ESFERA'!E10</f>
        <v>2041.1022727197605</v>
      </c>
      <c r="BN10" s="38">
        <f>'[18]AD ESFERA'!B10</f>
        <v>441.73013502215002</v>
      </c>
      <c r="BO10" s="39">
        <f>'[18]AD ESFERA'!C10</f>
        <v>7.0482796561170415</v>
      </c>
      <c r="BP10" s="55">
        <f>'[18]AD ESFERA'!D10</f>
        <v>21.174352779714336</v>
      </c>
      <c r="BQ10" s="74">
        <f>'[18]AD ESFERA'!E10</f>
        <v>2143.4737265516965</v>
      </c>
      <c r="BR10" s="38">
        <f>'[19]AD ESFERA'!B10</f>
        <v>467.76634124989999</v>
      </c>
      <c r="BS10" s="39">
        <f>'[19]AD ESFERA'!C10</f>
        <v>7.13728362641268</v>
      </c>
      <c r="BT10" s="55">
        <f>'[19]AD ESFERA'!D10</f>
        <v>21.229254538554912</v>
      </c>
      <c r="BU10" s="74">
        <f>'[19]AD ESFERA'!E10</f>
        <v>2252.5486306087942</v>
      </c>
      <c r="BV10" s="38">
        <f>'[20]AD ESFERA'!B10</f>
        <v>483.28507124713997</v>
      </c>
      <c r="BW10" s="39">
        <f>'[20]AD ESFERA'!C10</f>
        <v>7.0151359789908687</v>
      </c>
      <c r="BX10" s="55">
        <f>'[20]AD ESFERA'!D10</f>
        <v>20.367716060218534</v>
      </c>
      <c r="BY10" s="74">
        <f>'[20]AD ESFERA'!E10</f>
        <v>2317.9707093417633</v>
      </c>
      <c r="BZ10" s="38">
        <f>'[21]AD ESFERA'!B10</f>
        <v>525.8809631549999</v>
      </c>
      <c r="CA10" s="39">
        <f>'[21]AD ESFERA'!C10</f>
        <v>7.1169527669085841</v>
      </c>
      <c r="CB10" s="55">
        <f>'[21]AD ESFERA'!D10</f>
        <v>21.061149727450008</v>
      </c>
      <c r="CC10" s="74">
        <f>'[21]AD ESFERA'!E10</f>
        <v>2502.4418637894755</v>
      </c>
      <c r="CD10" s="38">
        <f>'[22]AD ESFERA'!B10</f>
        <v>500.00670893922995</v>
      </c>
      <c r="CE10" s="39">
        <f>'[22]AD ESFERA'!C10</f>
        <v>6.570738357619069</v>
      </c>
      <c r="CF10" s="55">
        <f>'[22]AD ESFERA'!D10</f>
        <v>20.395472734083945</v>
      </c>
      <c r="CG10" s="74">
        <f>'[22]AD ESFERA'!E10</f>
        <v>2361.2432998458903</v>
      </c>
      <c r="CH10" s="38">
        <f>'[23]AD ESFERA'!B10</f>
        <v>689.60086864986999</v>
      </c>
      <c r="CI10" s="39">
        <f>'[23]AD ESFERA'!C10</f>
        <v>7.7494327969592725</v>
      </c>
      <c r="CJ10" s="55">
        <f>'[23]AD ESFERA'!D10</f>
        <v>22.52886689843243</v>
      </c>
      <c r="CK10" s="74">
        <f>'[23]AD ESFERA'!E10</f>
        <v>3232.7418955254329</v>
      </c>
      <c r="CL10" s="38">
        <f>'[24]AD ESFERA'!B10</f>
        <v>832.28759074416007</v>
      </c>
      <c r="CM10" s="39">
        <f>'[24]AD ESFERA'!C10</f>
        <v>8.2570867431072195</v>
      </c>
      <c r="CN10" s="55">
        <f>'[24]AD ESFERA'!D10</f>
        <v>23.654636532397781</v>
      </c>
      <c r="CO10" s="74">
        <f>'[24]AD ESFERA'!E10</f>
        <v>4098.3085110445427</v>
      </c>
      <c r="CP10" s="38">
        <f>'[25]AD ESFERA'!B10</f>
        <v>913.98154368477992</v>
      </c>
      <c r="CQ10" s="39">
        <f>'[25]AD ESFERA'!C10</f>
        <v>8.3519401718960857</v>
      </c>
      <c r="CR10" s="55">
        <f>'[25]AD ESFERA'!D10</f>
        <v>24.153925973869374</v>
      </c>
      <c r="CS10" s="74">
        <f>'[25]AD ESFERA'!E10</f>
        <v>4397.6886671424381</v>
      </c>
      <c r="CT10" s="38">
        <f>'[26]AD ESFERA'!B10</f>
        <v>994.87939435793999</v>
      </c>
      <c r="CU10" s="39">
        <f>'[26]AD ESFERA'!C10</f>
        <v>8.4708730915166974</v>
      </c>
      <c r="CV10" s="55">
        <f>'[26]AD ESFERA'!D10</f>
        <v>23.562934320654715</v>
      </c>
      <c r="CW10" s="74">
        <f>'[26]AD ESFERA'!E10</f>
        <v>4679.9409379030149</v>
      </c>
    </row>
    <row r="11" spans="1:101" x14ac:dyDescent="0.25">
      <c r="A11" s="75" t="s">
        <v>4</v>
      </c>
      <c r="B11" s="38">
        <f>'[2]AD ESFERA'!B11</f>
        <v>82.011452707099977</v>
      </c>
      <c r="C11" s="39">
        <f>'[2]AD ESFERA'!C11</f>
        <v>6.820775679334548</v>
      </c>
      <c r="D11" s="55">
        <f>'[2]AD ESFERA'!D11</f>
        <v>22.319373015765407</v>
      </c>
      <c r="E11" s="74">
        <f>'[2]AD ESFERA'!E11</f>
        <v>472.82925780739345</v>
      </c>
      <c r="F11" s="38">
        <f>'[3]AD ESFERA'!B11</f>
        <v>95.601596763239982</v>
      </c>
      <c r="G11" s="39">
        <f>'[3]AD ESFERA'!C11</f>
        <v>7.2659117208933255</v>
      </c>
      <c r="H11" s="55">
        <f>'[3]AD ESFERA'!D11</f>
        <v>22.67339258391489</v>
      </c>
      <c r="I11" s="74">
        <f>'[3]AD ESFERA'!E11</f>
        <v>551.18194533397264</v>
      </c>
      <c r="J11" s="38">
        <f>'[4]AD ESFERA'!B11</f>
        <v>111.83498708641</v>
      </c>
      <c r="K11" s="39">
        <f>'[4]AD ESFERA'!C11</f>
        <v>7.5118191579057303</v>
      </c>
      <c r="L11" s="55">
        <f>'[4]AD ESFERA'!D11</f>
        <v>22.573554001492631</v>
      </c>
      <c r="M11" s="74">
        <f>'[4]AD ESFERA'!E11</f>
        <v>627.31330515777177</v>
      </c>
      <c r="N11" s="38">
        <f>'[5]AD ESFERA'!B11</f>
        <v>130.34993889512</v>
      </c>
      <c r="O11" s="39">
        <f>'[5]AD ESFERA'!C11</f>
        <v>7.5875280942472134</v>
      </c>
      <c r="P11" s="55">
        <f>'[5]AD ESFERA'!D11</f>
        <v>23.276156845635509</v>
      </c>
      <c r="Q11" s="74">
        <f>'[5]AD ESFERA'!E11</f>
        <v>721.68410274244081</v>
      </c>
      <c r="R11" s="38">
        <f>'[6]AD ESFERA'!B11</f>
        <v>164.50134603179004</v>
      </c>
      <c r="S11" s="39">
        <f>'[6]AD ESFERA'!C11</f>
        <v>8.4025673352632708</v>
      </c>
      <c r="T11" s="55">
        <f>'[6]AD ESFERA'!D11</f>
        <v>24.990597349784924</v>
      </c>
      <c r="U11" s="74">
        <f>'[6]AD ESFERA'!E11</f>
        <v>899.34945437182978</v>
      </c>
      <c r="V11" s="38">
        <f>'[7]AD ESFERA'!B11</f>
        <v>184.08686897776005</v>
      </c>
      <c r="W11" s="39">
        <f>'[7]AD ESFERA'!C11</f>
        <v>8.4809795045004019</v>
      </c>
      <c r="X11" s="55">
        <f>'[7]AD ESFERA'!D11</f>
        <v>24.408738175030685</v>
      </c>
      <c r="Y11" s="74">
        <f>'[7]AD ESFERA'!E11</f>
        <v>994.25367328814139</v>
      </c>
      <c r="Z11" s="38">
        <f>'[8]AD ESFERA'!B11</f>
        <v>196.42126276306004</v>
      </c>
      <c r="AA11" s="39">
        <f>'[8]AD ESFERA'!C11</f>
        <v>8.1521203080811002</v>
      </c>
      <c r="AB11" s="55">
        <f>'[8]AD ESFERA'!D11</f>
        <v>23.678456151141926</v>
      </c>
      <c r="AC11" s="74">
        <f>'[8]AD ESFERA'!E11</f>
        <v>1048.5019837098687</v>
      </c>
      <c r="AD11" s="38">
        <f>'[9]AD ESFERA'!B11</f>
        <v>223.50805398548999</v>
      </c>
      <c r="AE11" s="39">
        <f>'[9]AD ESFERA'!C11</f>
        <v>8.2164134124343846</v>
      </c>
      <c r="AF11" s="55">
        <f>'[9]AD ESFERA'!D11</f>
        <v>23.756741764777527</v>
      </c>
      <c r="AG11" s="74">
        <f>'[9]AD ESFERA'!E11</f>
        <v>1179.6938875162562</v>
      </c>
      <c r="AH11" s="38">
        <f>'[10]AD ESFERA'!B11</f>
        <v>223.52544679297003</v>
      </c>
      <c r="AI11" s="39">
        <f>'[10]AD ESFERA'!C11</f>
        <v>7.1877687040937968</v>
      </c>
      <c r="AJ11" s="55">
        <f>'[10]AD ESFERA'!D11</f>
        <v>20.679837663043223</v>
      </c>
      <c r="AK11" s="74">
        <f>'[10]AD ESFERA'!E11</f>
        <v>1167.0370197341351</v>
      </c>
      <c r="AL11" s="38">
        <f>'[11]AD ESFERA'!B11</f>
        <v>224.19242063798001</v>
      </c>
      <c r="AM11" s="39">
        <f>'[11]AD ESFERA'!C11</f>
        <v>6.7263665573064095</v>
      </c>
      <c r="AN11" s="55">
        <f>'[11]AD ESFERA'!D11</f>
        <v>20.282040765276054</v>
      </c>
      <c r="AO11" s="74">
        <f>'[11]AD ESFERA'!E11</f>
        <v>1158.3539481820796</v>
      </c>
      <c r="AP11" s="38">
        <f>'[12]AD ESFERA'!B11</f>
        <v>265.08427309762999</v>
      </c>
      <c r="AQ11" s="39">
        <f>'[12]AD ESFERA'!C11</f>
        <v>6.8217887399485866</v>
      </c>
      <c r="AR11" s="55">
        <f>'[12]AD ESFERA'!D11</f>
        <v>20.527493882039817</v>
      </c>
      <c r="AS11" s="74">
        <f>'[12]AD ESFERA'!E11</f>
        <v>1355.9450651898137</v>
      </c>
      <c r="AT11" s="38">
        <f>'[13]AD ESFERA'!B11</f>
        <v>303.39884716211998</v>
      </c>
      <c r="AU11" s="39">
        <f>'[13]AD ESFERA'!C11</f>
        <v>6.9326408700639028</v>
      </c>
      <c r="AV11" s="55">
        <f>'[13]AD ESFERA'!D11</f>
        <v>20.340442864017184</v>
      </c>
      <c r="AW11" s="74">
        <f>'[13]AD ESFERA'!E11</f>
        <v>1536.9981281182272</v>
      </c>
      <c r="AX11" s="38">
        <f>'[14]AD ESFERA'!B11</f>
        <v>325.12107483531997</v>
      </c>
      <c r="AY11" s="39">
        <f>'[14]AD ESFERA'!C11</f>
        <v>6.7525915068522622</v>
      </c>
      <c r="AZ11" s="55">
        <f>'[14]AD ESFERA'!D11</f>
        <v>19.84731480658273</v>
      </c>
      <c r="BA11" s="74">
        <f>'[14]AD ESFERA'!E11</f>
        <v>1631.7860739711193</v>
      </c>
      <c r="BB11" s="38">
        <f>'[15]AD ESFERA'!B11</f>
        <v>360.11835855981997</v>
      </c>
      <c r="BC11" s="39">
        <f>'[15]AD ESFERA'!C11</f>
        <v>6.7543903373406833</v>
      </c>
      <c r="BD11" s="55">
        <f>'[15]AD ESFERA'!D11</f>
        <v>20.093131401846936</v>
      </c>
      <c r="BE11" s="74">
        <f>'[15]AD ESFERA'!E11</f>
        <v>1791.3420726132163</v>
      </c>
      <c r="BF11" s="38">
        <f>'[16]AD ESFERA'!B11</f>
        <v>369.95556075542004</v>
      </c>
      <c r="BG11" s="39">
        <f>'[16]AD ESFERA'!C11</f>
        <v>6.4017748674443276</v>
      </c>
      <c r="BH11" s="55">
        <f>'[16]AD ESFERA'!D11</f>
        <v>19.473587067055234</v>
      </c>
      <c r="BI11" s="74">
        <f>'[16]AD ESFERA'!E11</f>
        <v>1824.521302051844</v>
      </c>
      <c r="BJ11" s="38">
        <f>'[17]AD ESFERA'!B11</f>
        <v>380.11726438948</v>
      </c>
      <c r="BK11" s="39">
        <f>'[17]AD ESFERA'!C11</f>
        <v>6.3397392934318715</v>
      </c>
      <c r="BL11" s="55">
        <f>'[17]AD ESFERA'!D11</f>
        <v>19.304788254970536</v>
      </c>
      <c r="BM11" s="74">
        <f>'[17]AD ESFERA'!E11</f>
        <v>1859.2128039147481</v>
      </c>
      <c r="BN11" s="38">
        <f>'[18]AD ESFERA'!B11</f>
        <v>386.03046865878002</v>
      </c>
      <c r="BO11" s="39">
        <f>'[18]AD ESFERA'!C11</f>
        <v>6.1595315401168467</v>
      </c>
      <c r="BP11" s="55">
        <f>'[18]AD ESFERA'!D11</f>
        <v>18.504386907380894</v>
      </c>
      <c r="BQ11" s="74">
        <f>'[18]AD ESFERA'!E11</f>
        <v>1873.1938385345654</v>
      </c>
      <c r="BR11" s="38">
        <f>'[19]AD ESFERA'!B11</f>
        <v>407.32041120053992</v>
      </c>
      <c r="BS11" s="39">
        <f>'[19]AD ESFERA'!C11</f>
        <v>6.214986084285548</v>
      </c>
      <c r="BT11" s="55">
        <f>'[19]AD ESFERA'!D11</f>
        <v>18.485957465472005</v>
      </c>
      <c r="BU11" s="74">
        <f>'[19]AD ESFERA'!E11</f>
        <v>1961.4686940004005</v>
      </c>
      <c r="BV11" s="38">
        <f>'[20]AD ESFERA'!B11</f>
        <v>451.00779074517999</v>
      </c>
      <c r="BW11" s="39">
        <f>'[20]AD ESFERA'!C11</f>
        <v>6.5466143439878097</v>
      </c>
      <c r="BX11" s="55">
        <f>'[20]AD ESFERA'!D11</f>
        <v>19.007412331482492</v>
      </c>
      <c r="BY11" s="74">
        <f>'[20]AD ESFERA'!E11</f>
        <v>2163.1598218718059</v>
      </c>
      <c r="BZ11" s="38">
        <f>'[21]AD ESFERA'!B11</f>
        <v>446.51980498051995</v>
      </c>
      <c r="CA11" s="39">
        <f>'[21]AD ESFERA'!C11</f>
        <v>6.0429271720926314</v>
      </c>
      <c r="CB11" s="55">
        <f>'[21]AD ESFERA'!D11</f>
        <v>17.882793118325292</v>
      </c>
      <c r="CC11" s="74">
        <f>'[21]AD ESFERA'!E11</f>
        <v>2124.7961635474194</v>
      </c>
      <c r="CD11" s="38">
        <f>'[22]AD ESFERA'!B11</f>
        <v>419.90936778695004</v>
      </c>
      <c r="CE11" s="39">
        <f>'[22]AD ESFERA'!C11</f>
        <v>5.5181551373476161</v>
      </c>
      <c r="CF11" s="55">
        <f>'[22]AD ESFERA'!D11</f>
        <v>17.128270297921251</v>
      </c>
      <c r="CG11" s="74">
        <f>'[22]AD ESFERA'!E11</f>
        <v>1982.9897549433997</v>
      </c>
      <c r="CH11" s="38">
        <f>'[23]AD ESFERA'!B11</f>
        <v>527.06352283502008</v>
      </c>
      <c r="CI11" s="39">
        <f>'[23]AD ESFERA'!C11</f>
        <v>5.9229092299945831</v>
      </c>
      <c r="CJ11" s="55">
        <f>'[23]AD ESFERA'!D11</f>
        <v>17.218864553080934</v>
      </c>
      <c r="CK11" s="74">
        <f>'[23]AD ESFERA'!E11</f>
        <v>2470.7920325098858</v>
      </c>
      <c r="CL11" s="38">
        <f>'[24]AD ESFERA'!B11</f>
        <v>585.32521989007</v>
      </c>
      <c r="CM11" s="39">
        <f>'[24]AD ESFERA'!C11</f>
        <v>5.806984469441975</v>
      </c>
      <c r="CN11" s="55">
        <f>'[24]AD ESFERA'!D11</f>
        <v>16.635662340424687</v>
      </c>
      <c r="CO11" s="74">
        <f>'[24]AD ESFERA'!E11</f>
        <v>2882.2288798751069</v>
      </c>
      <c r="CP11" s="38">
        <f>'[25]AD ESFERA'!B11</f>
        <v>656.81181693718997</v>
      </c>
      <c r="CQ11" s="39">
        <f>'[25]AD ESFERA'!C11</f>
        <v>6.0019297294975837</v>
      </c>
      <c r="CR11" s="55">
        <f>'[25]AD ESFERA'!D11</f>
        <v>17.357663417473791</v>
      </c>
      <c r="CS11" s="74">
        <f>'[25]AD ESFERA'!E11</f>
        <v>3160.2978241167889</v>
      </c>
      <c r="CT11" s="38">
        <f>'[26]AD ESFERA'!B11</f>
        <v>710.86420611845017</v>
      </c>
      <c r="CU11" s="39">
        <f>'[26]AD ESFERA'!C11</f>
        <v>6.0526336252217927</v>
      </c>
      <c r="CV11" s="55">
        <f>'[26]AD ESFERA'!D11</f>
        <v>16.836258439630551</v>
      </c>
      <c r="CW11" s="74">
        <f>'[26]AD ESFERA'!E11</f>
        <v>3343.9254228907439</v>
      </c>
    </row>
    <row r="12" spans="1:101" x14ac:dyDescent="0.25">
      <c r="A12" s="75" t="s">
        <v>5</v>
      </c>
      <c r="B12" s="38">
        <f>'[2]AD ESFERA'!B12</f>
        <v>55.712837299949996</v>
      </c>
      <c r="C12" s="39">
        <f>'[2]AD ESFERA'!C12</f>
        <v>4.6335573037511066</v>
      </c>
      <c r="D12" s="55">
        <f>'[2]AD ESFERA'!D12</f>
        <v>15.162218890393842</v>
      </c>
      <c r="E12" s="74">
        <f>'[2]AD ESFERA'!E12</f>
        <v>321.20708317362681</v>
      </c>
      <c r="F12" s="38">
        <f>'[3]AD ESFERA'!B12</f>
        <v>62.433581904580009</v>
      </c>
      <c r="G12" s="39">
        <f>'[3]AD ESFERA'!C12</f>
        <v>4.7450765457535793</v>
      </c>
      <c r="H12" s="55">
        <f>'[3]AD ESFERA'!D12</f>
        <v>14.807086501371661</v>
      </c>
      <c r="I12" s="74">
        <f>'[3]AD ESFERA'!E12</f>
        <v>359.95489922158157</v>
      </c>
      <c r="J12" s="38">
        <f>'[4]AD ESFERA'!B12</f>
        <v>69.251553640630007</v>
      </c>
      <c r="K12" s="39">
        <f>'[4]AD ESFERA'!C12</f>
        <v>4.6515420701974159</v>
      </c>
      <c r="L12" s="55">
        <f>'[4]AD ESFERA'!D12</f>
        <v>13.978216714829747</v>
      </c>
      <c r="M12" s="74">
        <f>'[4]AD ESFERA'!E12</f>
        <v>388.45107540494712</v>
      </c>
      <c r="N12" s="38">
        <f>'[5]AD ESFERA'!B12</f>
        <v>79.375176293060008</v>
      </c>
      <c r="O12" s="39">
        <f>'[5]AD ESFERA'!C12</f>
        <v>4.6203426347134666</v>
      </c>
      <c r="P12" s="55">
        <f>'[5]AD ESFERA'!D12</f>
        <v>14.17376232553341</v>
      </c>
      <c r="Q12" s="74">
        <f>'[5]AD ESFERA'!E12</f>
        <v>439.46167806929935</v>
      </c>
      <c r="R12" s="38">
        <f>'[6]AD ESFERA'!B12</f>
        <v>93.32754625681001</v>
      </c>
      <c r="S12" s="39">
        <f>'[6]AD ESFERA'!C12</f>
        <v>4.7670794833873158</v>
      </c>
      <c r="T12" s="55">
        <f>'[6]AD ESFERA'!D12</f>
        <v>14.178067149047187</v>
      </c>
      <c r="U12" s="74">
        <f>'[6]AD ESFERA'!E12</f>
        <v>510.23338002172608</v>
      </c>
      <c r="V12" s="38">
        <f>'[7]AD ESFERA'!B12</f>
        <v>106.65170452274</v>
      </c>
      <c r="W12" s="39">
        <f>'[7]AD ESFERA'!C12</f>
        <v>4.9135004859399656</v>
      </c>
      <c r="X12" s="55">
        <f>'[7]AD ESFERA'!D12</f>
        <v>14.141332003049056</v>
      </c>
      <c r="Y12" s="74">
        <f>'[7]AD ESFERA'!E12</f>
        <v>576.02614229365008</v>
      </c>
      <c r="Z12" s="38">
        <f>'[8]AD ESFERA'!B12</f>
        <v>121.05943461399001</v>
      </c>
      <c r="AA12" s="39">
        <f>'[8]AD ESFERA'!C12</f>
        <v>5.0243596926265335</v>
      </c>
      <c r="AB12" s="55">
        <f>'[8]AD ESFERA'!D12</f>
        <v>14.593636523186449</v>
      </c>
      <c r="AC12" s="74">
        <f>'[8]AD ESFERA'!E12</f>
        <v>646.21851806684833</v>
      </c>
      <c r="AD12" s="38">
        <f>'[9]AD ESFERA'!B12</f>
        <v>138.11807317168004</v>
      </c>
      <c r="AE12" s="39">
        <f>'[9]AD ESFERA'!C12</f>
        <v>5.0773793994066025</v>
      </c>
      <c r="AF12" s="55">
        <f>'[9]AD ESFERA'!D12</f>
        <v>14.68061369100044</v>
      </c>
      <c r="AG12" s="74">
        <f>'[9]AD ESFERA'!E12</f>
        <v>728.9985473486862</v>
      </c>
      <c r="AH12" s="38">
        <f>'[10]AD ESFERA'!B12</f>
        <v>158.09568003677003</v>
      </c>
      <c r="AI12" s="39">
        <f>'[10]AD ESFERA'!C12</f>
        <v>5.0837844081046306</v>
      </c>
      <c r="AJ12" s="55">
        <f>'[10]AD ESFERA'!D12</f>
        <v>14.626491280059714</v>
      </c>
      <c r="AK12" s="74">
        <f>'[10]AD ESFERA'!E12</f>
        <v>825.42508653988386</v>
      </c>
      <c r="AL12" s="38">
        <f>'[11]AD ESFERA'!B12</f>
        <v>178.24284120388998</v>
      </c>
      <c r="AM12" s="39">
        <f>'[11]AD ESFERA'!C12</f>
        <v>5.3477574430989243</v>
      </c>
      <c r="AN12" s="55">
        <f>'[11]AD ESFERA'!D12</f>
        <v>16.125115028993495</v>
      </c>
      <c r="AO12" s="74">
        <f>'[11]AD ESFERA'!E12</f>
        <v>920.94236841805173</v>
      </c>
      <c r="AP12" s="38">
        <f>'[12]AD ESFERA'!B12</f>
        <v>210.40369872757987</v>
      </c>
      <c r="AQ12" s="39">
        <f>'[12]AD ESFERA'!C12</f>
        <v>5.4146161371659733</v>
      </c>
      <c r="AR12" s="55">
        <f>'[12]AD ESFERA'!D12</f>
        <v>16.293160616126947</v>
      </c>
      <c r="AS12" s="74">
        <f>'[12]AD ESFERA'!E12</f>
        <v>1076.2458808043748</v>
      </c>
      <c r="AT12" s="38">
        <f>'[13]AD ESFERA'!B12</f>
        <v>242.23413878350001</v>
      </c>
      <c r="AU12" s="39">
        <f>'[13]AD ESFERA'!C12</f>
        <v>5.5350318775531937</v>
      </c>
      <c r="AV12" s="55">
        <f>'[13]AD ESFERA'!D12</f>
        <v>16.239843050581491</v>
      </c>
      <c r="AW12" s="74">
        <f>'[13]AD ESFERA'!E12</f>
        <v>1227.141834450103</v>
      </c>
      <c r="AX12" s="38">
        <f>'[14]AD ESFERA'!B12</f>
        <v>269.00561462611</v>
      </c>
      <c r="AY12" s="39">
        <f>'[14]AD ESFERA'!C12</f>
        <v>5.5871032954105706</v>
      </c>
      <c r="AZ12" s="55">
        <f>'[14]AD ESFERA'!D12</f>
        <v>16.421694966796618</v>
      </c>
      <c r="BA12" s="74">
        <f>'[14]AD ESFERA'!E12</f>
        <v>1350.141992453948</v>
      </c>
      <c r="BB12" s="38">
        <f>'[15]AD ESFERA'!B12</f>
        <v>292.73610093637996</v>
      </c>
      <c r="BC12" s="39">
        <f>'[15]AD ESFERA'!C12</f>
        <v>5.4905667666121678</v>
      </c>
      <c r="BD12" s="55">
        <f>'[15]AD ESFERA'!D12</f>
        <v>16.33347704266497</v>
      </c>
      <c r="BE12" s="74">
        <f>'[15]AD ESFERA'!E12</f>
        <v>1456.1615127793575</v>
      </c>
      <c r="BF12" s="38">
        <f>'[16]AD ESFERA'!B12</f>
        <v>312.81126375150006</v>
      </c>
      <c r="BG12" s="39">
        <f>'[16]AD ESFERA'!C12</f>
        <v>5.4129400905579272</v>
      </c>
      <c r="BH12" s="55">
        <f>'[16]AD ESFERA'!D12</f>
        <v>16.465646219188969</v>
      </c>
      <c r="BI12" s="74">
        <f>'[16]AD ESFERA'!E12</f>
        <v>1542.7010019013701</v>
      </c>
      <c r="BJ12" s="38">
        <f>'[17]AD ESFERA'!B12</f>
        <v>315.9469649211199</v>
      </c>
      <c r="BK12" s="39">
        <f>'[17]AD ESFERA'!C12</f>
        <v>5.2694828038607753</v>
      </c>
      <c r="BL12" s="55">
        <f>'[17]AD ESFERA'!D12</f>
        <v>16.045809619826422</v>
      </c>
      <c r="BM12" s="74">
        <f>'[17]AD ESFERA'!E12</f>
        <v>1545.3458644737286</v>
      </c>
      <c r="BN12" s="38">
        <f>'[18]AD ESFERA'!B12</f>
        <v>333.76555300312998</v>
      </c>
      <c r="BO12" s="39">
        <f>'[18]AD ESFERA'!C12</f>
        <v>5.325588567840529</v>
      </c>
      <c r="BP12" s="55">
        <f>'[18]AD ESFERA'!D12</f>
        <v>15.9990659560737</v>
      </c>
      <c r="BQ12" s="74">
        <f>'[18]AD ESFERA'!E12</f>
        <v>1619.580909177349</v>
      </c>
      <c r="BR12" s="38">
        <f>'[19]AD ESFERA'!B12</f>
        <v>351.88658371320003</v>
      </c>
      <c r="BS12" s="39">
        <f>'[19]AD ESFERA'!C12</f>
        <v>5.3691643258888586</v>
      </c>
      <c r="BT12" s="55">
        <f>'[19]AD ESFERA'!D12</f>
        <v>15.970131229170887</v>
      </c>
      <c r="BU12" s="74">
        <f>'[19]AD ESFERA'!E12</f>
        <v>1694.5247495892693</v>
      </c>
      <c r="BV12" s="38">
        <f>'[20]AD ESFERA'!B12</f>
        <v>371.29670191572995</v>
      </c>
      <c r="BW12" s="39">
        <f>'[20]AD ESFERA'!C12</f>
        <v>5.3895661328171007</v>
      </c>
      <c r="BX12" s="55">
        <f>'[20]AD ESFERA'!D12</f>
        <v>15.648043460560219</v>
      </c>
      <c r="BY12" s="74">
        <f>'[20]AD ESFERA'!E12</f>
        <v>1780.8430897625312</v>
      </c>
      <c r="BZ12" s="38">
        <f>'[21]AD ESFERA'!B12</f>
        <v>394.94102854339002</v>
      </c>
      <c r="CA12" s="39">
        <f>'[21]AD ESFERA'!C12</f>
        <v>5.3448914161000802</v>
      </c>
      <c r="CB12" s="55">
        <f>'[21]AD ESFERA'!D12</f>
        <v>15.817100671913456</v>
      </c>
      <c r="CC12" s="74">
        <f>'[21]AD ESFERA'!E12</f>
        <v>1879.3548974005237</v>
      </c>
      <c r="CD12" s="38">
        <f>'[22]AD ESFERA'!B12</f>
        <v>386.78781830195993</v>
      </c>
      <c r="CE12" s="39">
        <f>'[22]AD ESFERA'!C12</f>
        <v>5.0828949062868896</v>
      </c>
      <c r="CF12" s="55">
        <f>'[22]AD ESFERA'!D12</f>
        <v>15.777229107164287</v>
      </c>
      <c r="CG12" s="74">
        <f>'[22]AD ESFERA'!E12</f>
        <v>1826.57578008321</v>
      </c>
      <c r="CH12" s="38">
        <f>'[23]AD ESFERA'!B12</f>
        <v>443.13287608433996</v>
      </c>
      <c r="CI12" s="39">
        <f>'[23]AD ESFERA'!C12</f>
        <v>4.9797333493244587</v>
      </c>
      <c r="CJ12" s="55">
        <f>'[23]AD ESFERA'!D12</f>
        <v>14.476898213845555</v>
      </c>
      <c r="CK12" s="74">
        <f>'[23]AD ESFERA'!E12</f>
        <v>2077.3381805727745</v>
      </c>
      <c r="CL12" s="38">
        <f>'[24]AD ESFERA'!B12</f>
        <v>514.64479360614007</v>
      </c>
      <c r="CM12" s="39">
        <f>'[24]AD ESFERA'!C12</f>
        <v>5.1057672251185471</v>
      </c>
      <c r="CN12" s="55">
        <f>'[24]AD ESFERA'!D12</f>
        <v>14.626837731846287</v>
      </c>
      <c r="CO12" s="74">
        <f>'[24]AD ESFERA'!E12</f>
        <v>2534.1878952141583</v>
      </c>
      <c r="CP12" s="38">
        <f>'[25]AD ESFERA'!B12</f>
        <v>534.84267549474009</v>
      </c>
      <c r="CQ12" s="39">
        <f>'[25]AD ESFERA'!C12</f>
        <v>4.887378807563211</v>
      </c>
      <c r="CR12" s="55">
        <f>'[25]AD ESFERA'!D12</f>
        <v>14.134366805137184</v>
      </c>
      <c r="CS12" s="74">
        <f>'[25]AD ESFERA'!E12</f>
        <v>2573.4344298078709</v>
      </c>
      <c r="CT12" s="38">
        <f>'[26]AD ESFERA'!B12</f>
        <v>611.64220833006004</v>
      </c>
      <c r="CU12" s="39">
        <f>'[26]AD ESFERA'!C12</f>
        <v>5.2078106688727663</v>
      </c>
      <c r="CV12" s="55">
        <f>'[26]AD ESFERA'!D12</f>
        <v>14.486263625876447</v>
      </c>
      <c r="CW12" s="74">
        <f>'[26]AD ESFERA'!E12</f>
        <v>2877.1823261658524</v>
      </c>
    </row>
    <row r="13" spans="1:101" x14ac:dyDescent="0.25">
      <c r="A13" s="75" t="s">
        <v>6</v>
      </c>
      <c r="B13" s="38">
        <f>'[2]AD ESFERA'!B13</f>
        <v>18.708530527099995</v>
      </c>
      <c r="C13" s="39">
        <f>'[2]AD ESFERA'!C13</f>
        <v>1.5559618297589832</v>
      </c>
      <c r="D13" s="55">
        <f>'[2]AD ESFERA'!D13</f>
        <v>5.0915165824764061</v>
      </c>
      <c r="E13" s="74">
        <f>'[2]AD ESFERA'!E13</f>
        <v>107.86225962108624</v>
      </c>
      <c r="F13" s="38">
        <f>'[3]AD ESFERA'!B13</f>
        <v>21.074052206149997</v>
      </c>
      <c r="G13" s="39">
        <f>'[3]AD ESFERA'!C13</f>
        <v>1.601669931419603</v>
      </c>
      <c r="H13" s="55">
        <f>'[3]AD ESFERA'!D13</f>
        <v>4.9980363841337487</v>
      </c>
      <c r="I13" s="74">
        <f>'[3]AD ESFERA'!E13</f>
        <v>121.50045066529489</v>
      </c>
      <c r="J13" s="38">
        <f>'[4]AD ESFERA'!B13</f>
        <v>22.421996700430004</v>
      </c>
      <c r="K13" s="39">
        <f>'[4]AD ESFERA'!C13</f>
        <v>1.5060580660920604</v>
      </c>
      <c r="L13" s="55">
        <f>'[4]AD ESFERA'!D13</f>
        <v>4.5258122393072826</v>
      </c>
      <c r="M13" s="74">
        <f>'[4]AD ESFERA'!E13</f>
        <v>125.77116718863226</v>
      </c>
      <c r="N13" s="38">
        <f>'[5]AD ESFERA'!B13</f>
        <v>24.956352242580003</v>
      </c>
      <c r="O13" s="39">
        <f>'[5]AD ESFERA'!C13</f>
        <v>1.4526821061486075</v>
      </c>
      <c r="P13" s="55">
        <f>'[5]AD ESFERA'!D13</f>
        <v>4.4563731599491128</v>
      </c>
      <c r="Q13" s="74">
        <f>'[5]AD ESFERA'!E13</f>
        <v>138.17116316718827</v>
      </c>
      <c r="R13" s="38">
        <f>'[6]AD ESFERA'!B13</f>
        <v>28.269333316919997</v>
      </c>
      <c r="S13" s="39">
        <f>'[6]AD ESFERA'!C13</f>
        <v>1.4439698060131241</v>
      </c>
      <c r="T13" s="55">
        <f>'[6]AD ESFERA'!D13</f>
        <v>4.2946002772128198</v>
      </c>
      <c r="U13" s="74">
        <f>'[6]AD ESFERA'!E13</f>
        <v>154.55198457229753</v>
      </c>
      <c r="V13" s="38">
        <f>'[7]AD ESFERA'!B13</f>
        <v>32.24787701727</v>
      </c>
      <c r="W13" s="39">
        <f>'[7]AD ESFERA'!C13</f>
        <v>1.4856767653545011</v>
      </c>
      <c r="X13" s="55">
        <f>'[7]AD ESFERA'!D13</f>
        <v>4.2758616689288571</v>
      </c>
      <c r="Y13" s="74">
        <f>'[7]AD ESFERA'!E13</f>
        <v>174.1708702973186</v>
      </c>
      <c r="Z13" s="38">
        <f>'[8]AD ESFERA'!B13</f>
        <v>36.505404629329995</v>
      </c>
      <c r="AA13" s="39">
        <f>'[8]AD ESFERA'!C13</f>
        <v>1.5150928481325612</v>
      </c>
      <c r="AB13" s="55">
        <f>'[8]AD ESFERA'!D13</f>
        <v>4.400702910855359</v>
      </c>
      <c r="AC13" s="74">
        <f>'[8]AD ESFERA'!E13</f>
        <v>194.86683178569962</v>
      </c>
      <c r="AD13" s="38">
        <f>'[9]AD ESFERA'!B13</f>
        <v>41.630508849160002</v>
      </c>
      <c r="AE13" s="39">
        <f>'[9]AD ESFERA'!C13</f>
        <v>1.5303854388035276</v>
      </c>
      <c r="AF13" s="55">
        <f>'[9]AD ESFERA'!D13</f>
        <v>4.4249199553676295</v>
      </c>
      <c r="AG13" s="74">
        <f>'[9]AD ESFERA'!E13</f>
        <v>219.72924889200522</v>
      </c>
      <c r="AH13" s="38">
        <f>'[10]AD ESFERA'!B13</f>
        <v>48.714379836640006</v>
      </c>
      <c r="AI13" s="39">
        <f>'[10]AD ESFERA'!C13</f>
        <v>1.5664779999453344</v>
      </c>
      <c r="AJ13" s="55">
        <f>'[10]AD ESFERA'!D13</f>
        <v>4.5068938741932296</v>
      </c>
      <c r="AK13" s="74">
        <f>'[10]AD ESFERA'!E13</f>
        <v>254.34010077342569</v>
      </c>
      <c r="AL13" s="38">
        <f>'[11]AD ESFERA'!B13</f>
        <v>54.725947860410002</v>
      </c>
      <c r="AM13" s="39">
        <f>'[11]AD ESFERA'!C13</f>
        <v>1.6419234176500783</v>
      </c>
      <c r="AN13" s="55">
        <f>'[11]AD ESFERA'!D13</f>
        <v>4.9508984392274868</v>
      </c>
      <c r="AO13" s="74">
        <f>'[11]AD ESFERA'!E13</f>
        <v>282.75718506325558</v>
      </c>
      <c r="AP13" s="38">
        <f>'[12]AD ESFERA'!B13</f>
        <v>61.797213442769994</v>
      </c>
      <c r="AQ13" s="39">
        <f>'[12]AD ESFERA'!C13</f>
        <v>1.5903151473223212</v>
      </c>
      <c r="AR13" s="55">
        <f>'[12]AD ESFERA'!D13</f>
        <v>4.7854288225026789</v>
      </c>
      <c r="AS13" s="74">
        <f>'[12]AD ESFERA'!E13</f>
        <v>316.10184048657078</v>
      </c>
      <c r="AT13" s="38">
        <f>'[13]AD ESFERA'!B13</f>
        <v>72.26093929261998</v>
      </c>
      <c r="AU13" s="39">
        <f>'[13]AD ESFERA'!C13</f>
        <v>1.651157035483191</v>
      </c>
      <c r="AV13" s="55">
        <f>'[13]AD ESFERA'!D13</f>
        <v>4.8445124980859235</v>
      </c>
      <c r="AW13" s="74">
        <f>'[13]AD ESFERA'!E13</f>
        <v>366.06905223168053</v>
      </c>
      <c r="AX13" s="38">
        <f>'[14]AD ESFERA'!B13</f>
        <v>83.033513518829992</v>
      </c>
      <c r="AY13" s="39">
        <f>'[14]AD ESFERA'!C13</f>
        <v>1.7245618373258478</v>
      </c>
      <c r="AZ13" s="55">
        <f>'[14]AD ESFERA'!D13</f>
        <v>5.0688571423418223</v>
      </c>
      <c r="BA13" s="74">
        <f>'[14]AD ESFERA'!E13</f>
        <v>416.7460725255944</v>
      </c>
      <c r="BB13" s="38">
        <f>'[15]AD ESFERA'!B13</f>
        <v>94.415141165540021</v>
      </c>
      <c r="BC13" s="39">
        <f>'[15]AD ESFERA'!C13</f>
        <v>1.7708531154521736</v>
      </c>
      <c r="BD13" s="55">
        <f>'[15]AD ESFERA'!D13</f>
        <v>5.267978687201512</v>
      </c>
      <c r="BE13" s="74">
        <f>'[15]AD ESFERA'!E13</f>
        <v>469.65063191426657</v>
      </c>
      <c r="BF13" s="38">
        <f>'[16]AD ESFERA'!B13</f>
        <v>104.74419295153999</v>
      </c>
      <c r="BG13" s="39">
        <f>'[16]AD ESFERA'!C13</f>
        <v>1.8125115907940414</v>
      </c>
      <c r="BH13" s="55">
        <f>'[16]AD ESFERA'!D13</f>
        <v>5.5134869632591776</v>
      </c>
      <c r="BI13" s="74">
        <f>'[16]AD ESFERA'!E13</f>
        <v>516.57018187829328</v>
      </c>
      <c r="BJ13" s="38">
        <f>'[17]AD ESFERA'!B13</f>
        <v>113.52938475098</v>
      </c>
      <c r="BK13" s="39">
        <f>'[17]AD ESFERA'!C13</f>
        <v>1.8934859552379031</v>
      </c>
      <c r="BL13" s="55">
        <f>'[17]AD ESFERA'!D13</f>
        <v>5.7657489902618737</v>
      </c>
      <c r="BM13" s="74">
        <f>'[17]AD ESFERA'!E13</f>
        <v>555.28992109474791</v>
      </c>
      <c r="BN13" s="38">
        <f>'[18]AD ESFERA'!B13</f>
        <v>119.08933892390002</v>
      </c>
      <c r="BO13" s="39">
        <f>'[18]AD ESFERA'!C13</f>
        <v>1.9001985561969015</v>
      </c>
      <c r="BP13" s="55">
        <f>'[18]AD ESFERA'!D13</f>
        <v>5.70855251827268</v>
      </c>
      <c r="BQ13" s="74">
        <f>'[18]AD ESFERA'!E13</f>
        <v>577.87515240043558</v>
      </c>
      <c r="BR13" s="38">
        <f>'[19]AD ESFERA'!B13</f>
        <v>123.53500958701999</v>
      </c>
      <c r="BS13" s="39">
        <f>'[19]AD ESFERA'!C13</f>
        <v>1.8849248512798153</v>
      </c>
      <c r="BT13" s="55">
        <f>'[19]AD ESFERA'!D13</f>
        <v>5.6065516726535725</v>
      </c>
      <c r="BU13" s="74">
        <f>'[19]AD ESFERA'!E13</f>
        <v>594.88807154002473</v>
      </c>
      <c r="BV13" s="38">
        <f>'[20]AD ESFERA'!B13</f>
        <v>120.65828096146998</v>
      </c>
      <c r="BW13" s="39">
        <f>'[20]AD ESFERA'!C13</f>
        <v>1.7514181552344119</v>
      </c>
      <c r="BX13" s="55">
        <f>'[20]AD ESFERA'!D13</f>
        <v>5.0850600466418534</v>
      </c>
      <c r="BY13" s="74">
        <f>'[20]AD ESFERA'!E13</f>
        <v>578.71094670166985</v>
      </c>
      <c r="BZ13" s="38">
        <f>'[21]AD ESFERA'!B13</f>
        <v>128.70962267991001</v>
      </c>
      <c r="CA13" s="39">
        <f>'[21]AD ESFERA'!C13</f>
        <v>1.7418776670749241</v>
      </c>
      <c r="CB13" s="55">
        <f>'[21]AD ESFERA'!D13</f>
        <v>5.1547266863626664</v>
      </c>
      <c r="CC13" s="74">
        <f>'[21]AD ESFERA'!E13</f>
        <v>612.47386886644301</v>
      </c>
      <c r="CD13" s="38">
        <f>'[22]AD ESFERA'!B13</f>
        <v>127.27413977588</v>
      </c>
      <c r="CE13" s="39">
        <f>'[22]AD ESFERA'!C13</f>
        <v>1.6725477022749038</v>
      </c>
      <c r="CF13" s="55">
        <f>'[22]AD ESFERA'!D13</f>
        <v>5.1915628353467591</v>
      </c>
      <c r="CG13" s="74">
        <f>'[22]AD ESFERA'!E13</f>
        <v>601.04235486562504</v>
      </c>
      <c r="CH13" s="38">
        <f>'[23]AD ESFERA'!B13</f>
        <v>137.16133031404999</v>
      </c>
      <c r="CI13" s="39">
        <f>'[23]AD ESFERA'!C13</f>
        <v>1.5413590091487241</v>
      </c>
      <c r="CJ13" s="55">
        <f>'[23]AD ESFERA'!D13</f>
        <v>4.4809823982778125</v>
      </c>
      <c r="CK13" s="74">
        <f>'[23]AD ESFERA'!E13</f>
        <v>642.99103888942807</v>
      </c>
      <c r="CL13" s="38">
        <f>'[24]AD ESFERA'!B13</f>
        <v>156.29750849627999</v>
      </c>
      <c r="CM13" s="39">
        <f>'[24]AD ESFERA'!C13</f>
        <v>1.5506203621652124</v>
      </c>
      <c r="CN13" s="55">
        <f>'[24]AD ESFERA'!D13</f>
        <v>4.442167341571408</v>
      </c>
      <c r="CO13" s="74">
        <f>'[24]AD ESFERA'!E13</f>
        <v>769.63229591424215</v>
      </c>
      <c r="CP13" s="38">
        <f>'[25]AD ESFERA'!B13</f>
        <v>175.43329096683996</v>
      </c>
      <c r="CQ13" s="39">
        <f>'[25]AD ESFERA'!C13</f>
        <v>1.6031049646875759</v>
      </c>
      <c r="CR13" s="55">
        <f>'[25]AD ESFERA'!D13</f>
        <v>4.636201630814071</v>
      </c>
      <c r="CS13" s="74">
        <f>'[25]AD ESFERA'!E13</f>
        <v>844.11003794892201</v>
      </c>
      <c r="CT13" s="38">
        <f>'[26]AD ESFERA'!B13</f>
        <v>191.995</v>
      </c>
      <c r="CU13" s="39">
        <f>'[26]AD ESFERA'!C13</f>
        <v>1.6347361181958615</v>
      </c>
      <c r="CV13" s="55">
        <f>'[26]AD ESFERA'!D13</f>
        <v>4.5472502501810386</v>
      </c>
      <c r="CW13" s="74">
        <f>'[26]AD ESFERA'!E13</f>
        <v>903.14993502560753</v>
      </c>
    </row>
    <row r="14" spans="1:101" x14ac:dyDescent="0.25">
      <c r="A14" s="75" t="s">
        <v>7</v>
      </c>
      <c r="B14" s="38">
        <f>'[2]AD ESFERA'!B14</f>
        <v>11.24168918825</v>
      </c>
      <c r="C14" s="39">
        <f>'[2]AD ESFERA'!C14</f>
        <v>0.93495527367015618</v>
      </c>
      <c r="D14" s="55">
        <f>'[2]AD ESFERA'!D14</f>
        <v>3.0594197034401147</v>
      </c>
      <c r="E14" s="74">
        <f>'[2]AD ESFERA'!E14</f>
        <v>64.812893564577436</v>
      </c>
      <c r="F14" s="38">
        <f>'[3]AD ESFERA'!B14</f>
        <v>12.745925004819998</v>
      </c>
      <c r="G14" s="39">
        <f>'[3]AD ESFERA'!C14</f>
        <v>0.96871568071715453</v>
      </c>
      <c r="H14" s="55">
        <f>'[3]AD ESFERA'!D14</f>
        <v>3.0228926217113425</v>
      </c>
      <c r="I14" s="74">
        <f>'[3]AD ESFERA'!E14</f>
        <v>73.485422598495106</v>
      </c>
      <c r="J14" s="38">
        <f>'[4]AD ESFERA'!B14</f>
        <v>27.459750200720002</v>
      </c>
      <c r="K14" s="39">
        <f>'[4]AD ESFERA'!C14</f>
        <v>1.8444378007545743</v>
      </c>
      <c r="L14" s="55">
        <f>'[4]AD ESFERA'!D14</f>
        <v>5.5426675512959944</v>
      </c>
      <c r="M14" s="74">
        <f>'[4]AD ESFERA'!E14</f>
        <v>154.0293168175607</v>
      </c>
      <c r="N14" s="38">
        <f>'[5]AD ESFERA'!B14</f>
        <v>29.200179162849999</v>
      </c>
      <c r="O14" s="39">
        <f>'[5]AD ESFERA'!C14</f>
        <v>1.6997106529788408</v>
      </c>
      <c r="P14" s="55">
        <f>'[5]AD ESFERA'!D14</f>
        <v>5.214179276769876</v>
      </c>
      <c r="Q14" s="74">
        <f>'[5]AD ESFERA'!E14</f>
        <v>161.66716515314647</v>
      </c>
      <c r="R14" s="38">
        <f>'[6]AD ESFERA'!B14</f>
        <v>31.237254460560003</v>
      </c>
      <c r="S14" s="39">
        <f>'[6]AD ESFERA'!C14</f>
        <v>1.595568305701798</v>
      </c>
      <c r="T14" s="55">
        <f>'[6]AD ESFERA'!D14</f>
        <v>4.745478790099197</v>
      </c>
      <c r="U14" s="74">
        <f>'[6]AD ESFERA'!E14</f>
        <v>170.77798104916178</v>
      </c>
      <c r="V14" s="38">
        <f>'[7]AD ESFERA'!B14</f>
        <v>40.987923309819998</v>
      </c>
      <c r="W14" s="39">
        <f>'[7]AD ESFERA'!C14</f>
        <v>1.8883353248004571</v>
      </c>
      <c r="X14" s="55">
        <f>'[7]AD ESFERA'!D14</f>
        <v>5.4347357525457278</v>
      </c>
      <c r="Y14" s="74">
        <f>'[7]AD ESFERA'!E14</f>
        <v>221.37588377454861</v>
      </c>
      <c r="Z14" s="38">
        <f>'[8]AD ESFERA'!B14</f>
        <v>44.766758948860002</v>
      </c>
      <c r="AA14" s="39">
        <f>'[8]AD ESFERA'!C14</f>
        <v>1.857965882207973</v>
      </c>
      <c r="AB14" s="55">
        <f>'[8]AD ESFERA'!D14</f>
        <v>5.396603829382733</v>
      </c>
      <c r="AC14" s="74">
        <f>'[8]AD ESFERA'!E14</f>
        <v>238.96616334638813</v>
      </c>
      <c r="AD14" s="38">
        <f>'[9]AD ESFERA'!B14</f>
        <v>47.792794192320002</v>
      </c>
      <c r="AE14" s="39">
        <f>'[9]AD ESFERA'!C14</f>
        <v>1.7569181432942331</v>
      </c>
      <c r="AF14" s="55">
        <f>'[9]AD ESFERA'!D14</f>
        <v>5.0799112139279563</v>
      </c>
      <c r="AG14" s="74">
        <f>'[9]AD ESFERA'!E14</f>
        <v>252.25429764451593</v>
      </c>
      <c r="AH14" s="38">
        <f>'[10]AD ESFERA'!B14</f>
        <v>59.746113339860003</v>
      </c>
      <c r="AI14" s="39">
        <f>'[10]AD ESFERA'!C14</f>
        <v>1.9212185897261018</v>
      </c>
      <c r="AJ14" s="55">
        <f>'[10]AD ESFERA'!D14</f>
        <v>5.5275135005565916</v>
      </c>
      <c r="AK14" s="74">
        <f>'[10]AD ESFERA'!E14</f>
        <v>311.93730760072447</v>
      </c>
      <c r="AL14" s="38">
        <f>'[11]AD ESFERA'!B14</f>
        <v>53.066349889820003</v>
      </c>
      <c r="AM14" s="39">
        <f>'[11]AD ESFERA'!C14</f>
        <v>1.592131081869129</v>
      </c>
      <c r="AN14" s="55">
        <f>'[11]AD ESFERA'!D14</f>
        <v>4.8007594042070796</v>
      </c>
      <c r="AO14" s="74">
        <f>'[11]AD ESFERA'!E14</f>
        <v>274.18239981334682</v>
      </c>
      <c r="AP14" s="38">
        <f>'[12]AD ESFERA'!B14</f>
        <v>55.560404341080002</v>
      </c>
      <c r="AQ14" s="39">
        <f>'[12]AD ESFERA'!C14</f>
        <v>1.4298145125394797</v>
      </c>
      <c r="AR14" s="55">
        <f>'[12]AD ESFERA'!D14</f>
        <v>4.3024652004727892</v>
      </c>
      <c r="AS14" s="74">
        <f>'[12]AD ESFERA'!E14</f>
        <v>284.19964415803622</v>
      </c>
      <c r="AT14" s="38">
        <f>'[13]AD ESFERA'!B14</f>
        <v>67.612432907170017</v>
      </c>
      <c r="AU14" s="39">
        <f>'[13]AD ESFERA'!C14</f>
        <v>1.5449390137142969</v>
      </c>
      <c r="AV14" s="55">
        <f>'[13]AD ESFERA'!D14</f>
        <v>4.5328676799836964</v>
      </c>
      <c r="AW14" s="74">
        <f>'[13]AD ESFERA'!E14</f>
        <v>342.52003192454521</v>
      </c>
      <c r="AX14" s="38">
        <f>'[14]AD ESFERA'!B14</f>
        <v>93.093480670969996</v>
      </c>
      <c r="AY14" s="39">
        <f>'[14]AD ESFERA'!C14</f>
        <v>1.9335019953428623</v>
      </c>
      <c r="AZ14" s="55">
        <f>'[14]AD ESFERA'!D14</f>
        <v>5.6829770824703969</v>
      </c>
      <c r="BA14" s="74">
        <f>'[14]AD ESFERA'!E14</f>
        <v>467.23715284631447</v>
      </c>
      <c r="BB14" s="38">
        <f>'[15]AD ESFERA'!B14</f>
        <v>91.923030892770015</v>
      </c>
      <c r="BC14" s="39">
        <f>'[15]AD ESFERA'!C14</f>
        <v>1.72411102317645</v>
      </c>
      <c r="BD14" s="55">
        <f>'[15]AD ESFERA'!D14</f>
        <v>5.1289291275541871</v>
      </c>
      <c r="BE14" s="74">
        <f>'[15]AD ESFERA'!E14</f>
        <v>457.2540909574052</v>
      </c>
      <c r="BF14" s="38">
        <f>'[16]AD ESFERA'!B14</f>
        <v>84.975284550639998</v>
      </c>
      <c r="BG14" s="39">
        <f>'[16]AD ESFERA'!C14</f>
        <v>1.4704269882561771</v>
      </c>
      <c r="BH14" s="55">
        <f>'[16]AD ESFERA'!D14</f>
        <v>4.4728983093692785</v>
      </c>
      <c r="BI14" s="74">
        <f>'[16]AD ESFERA'!E14</f>
        <v>419.07524377787911</v>
      </c>
      <c r="BJ14" s="38">
        <f>'[17]AD ESFERA'!B14</f>
        <v>72.225515502869996</v>
      </c>
      <c r="BK14" s="39">
        <f>'[17]AD ESFERA'!C14</f>
        <v>1.2046044247881054</v>
      </c>
      <c r="BL14" s="55">
        <f>'[17]AD ESFERA'!D14</f>
        <v>3.668074076110249</v>
      </c>
      <c r="BM14" s="74">
        <f>'[17]AD ESFERA'!E14</f>
        <v>353.26625694824764</v>
      </c>
      <c r="BN14" s="38">
        <f>'[18]AD ESFERA'!B14</f>
        <v>93.929899763379922</v>
      </c>
      <c r="BO14" s="39">
        <f>'[18]AD ESFERA'!C14</f>
        <v>1.4987526299742855</v>
      </c>
      <c r="BP14" s="55">
        <f>'[18]AD ESFERA'!D14</f>
        <v>4.5025337337541655</v>
      </c>
      <c r="BQ14" s="74">
        <f>'[18]AD ESFERA'!E14</f>
        <v>455.79021288720435</v>
      </c>
      <c r="BR14" s="38">
        <f>'[19]AD ESFERA'!B14</f>
        <v>89.238899582440013</v>
      </c>
      <c r="BS14" s="39">
        <f>'[19]AD ESFERA'!C14</f>
        <v>1.3616271216243065</v>
      </c>
      <c r="BT14" s="55">
        <f>'[19]AD ESFERA'!D14</f>
        <v>4.0500462451274455</v>
      </c>
      <c r="BU14" s="74">
        <f>'[19]AD ESFERA'!E14</f>
        <v>429.73370104898265</v>
      </c>
      <c r="BV14" s="38">
        <f>'[20]AD ESFERA'!B14</f>
        <v>124.24420070670001</v>
      </c>
      <c r="BW14" s="39">
        <f>'[20]AD ESFERA'!C14</f>
        <v>1.8034696588275632</v>
      </c>
      <c r="BX14" s="55">
        <f>'[20]AD ESFERA'!D14</f>
        <v>5.2361861614980407</v>
      </c>
      <c r="BY14" s="74">
        <f>'[20]AD ESFERA'!E14</f>
        <v>595.91002325092848</v>
      </c>
      <c r="BZ14" s="38">
        <f>'[21]AD ESFERA'!B14</f>
        <v>114.57108971026003</v>
      </c>
      <c r="CA14" s="39">
        <f>'[21]AD ESFERA'!C14</f>
        <v>1.5505353702655971</v>
      </c>
      <c r="CB14" s="55">
        <f>'[21]AD ESFERA'!D14</f>
        <v>4.5884887339298457</v>
      </c>
      <c r="CC14" s="74">
        <f>'[21]AD ESFERA'!E14</f>
        <v>545.19465688745458</v>
      </c>
      <c r="CD14" s="38">
        <f>'[22]AD ESFERA'!B14</f>
        <v>107.71952481374998</v>
      </c>
      <c r="CE14" s="39">
        <f>'[22]AD ESFERA'!C14</f>
        <v>1.4155746331080343</v>
      </c>
      <c r="CF14" s="55">
        <f>'[22]AD ESFERA'!D14</f>
        <v>4.3939223054191778</v>
      </c>
      <c r="CG14" s="74">
        <f>'[22]AD ESFERA'!E14</f>
        <v>508.69718682107487</v>
      </c>
      <c r="CH14" s="38">
        <f>'[23]AD ESFERA'!B14</f>
        <v>165.28286207501</v>
      </c>
      <c r="CI14" s="39">
        <f>'[23]AD ESFERA'!C14</f>
        <v>1.8573764772760193</v>
      </c>
      <c r="CJ14" s="55">
        <f>'[23]AD ESFERA'!D14</f>
        <v>5.3996967950028223</v>
      </c>
      <c r="CK14" s="74">
        <f>'[23]AD ESFERA'!E14</f>
        <v>774.82041733553035</v>
      </c>
      <c r="CL14" s="38">
        <f>'[24]AD ESFERA'!B14</f>
        <v>204.16775261353999</v>
      </c>
      <c r="CM14" s="39">
        <f>'[24]AD ESFERA'!C14</f>
        <v>2.0255388428510996</v>
      </c>
      <c r="CN14" s="55">
        <f>'[24]AD ESFERA'!D14</f>
        <v>5.8026985304342453</v>
      </c>
      <c r="CO14" s="74">
        <f>'[24]AD ESFERA'!E14</f>
        <v>1005.3525338143806</v>
      </c>
      <c r="CP14" s="38">
        <f>'[25]AD ESFERA'!B14</f>
        <v>189.2133696162</v>
      </c>
      <c r="CQ14" s="39">
        <f>'[25]AD ESFERA'!C14</f>
        <v>1.7290269739871107</v>
      </c>
      <c r="CR14" s="55">
        <f>'[25]AD ESFERA'!D14</f>
        <v>5.0003698155116103</v>
      </c>
      <c r="CS14" s="74">
        <f>'[25]AD ESFERA'!E14</f>
        <v>910.41388853249839</v>
      </c>
      <c r="CT14" s="38">
        <f>'[26]AD ESFERA'!B14</f>
        <v>225.83310720046995</v>
      </c>
      <c r="CU14" s="39">
        <f>'[26]AD ESFERA'!C14</f>
        <v>1.9228497462173815</v>
      </c>
      <c r="CV14" s="55">
        <f>'[26]AD ESFERA'!D14</f>
        <v>5.348679149022102</v>
      </c>
      <c r="CW14" s="74">
        <f>'[26]AD ESFERA'!E14</f>
        <v>1062.325352716141</v>
      </c>
    </row>
    <row r="15" spans="1:101" x14ac:dyDescent="0.25">
      <c r="A15" s="75"/>
      <c r="B15" s="38">
        <f>'[2]AD ESFERA'!B15</f>
        <v>0</v>
      </c>
      <c r="C15" s="39">
        <f>'[2]AD ESFERA'!C15</f>
        <v>0</v>
      </c>
      <c r="D15" s="55">
        <f>'[2]AD ESFERA'!D15</f>
        <v>0</v>
      </c>
      <c r="E15" s="74">
        <f>'[2]AD ESFERA'!E15</f>
        <v>0</v>
      </c>
      <c r="F15" s="38">
        <f>'[3]AD ESFERA'!B15</f>
        <v>0</v>
      </c>
      <c r="G15" s="39">
        <f>'[3]AD ESFERA'!C15</f>
        <v>0</v>
      </c>
      <c r="H15" s="55">
        <f>'[3]AD ESFERA'!D15</f>
        <v>0</v>
      </c>
      <c r="I15" s="74">
        <f>'[3]AD ESFERA'!E15</f>
        <v>0</v>
      </c>
      <c r="J15" s="38">
        <f>'[4]AD ESFERA'!B15</f>
        <v>0</v>
      </c>
      <c r="K15" s="39">
        <f>'[4]AD ESFERA'!C15</f>
        <v>0</v>
      </c>
      <c r="L15" s="55">
        <f>'[4]AD ESFERA'!D15</f>
        <v>0</v>
      </c>
      <c r="M15" s="74">
        <f>'[4]AD ESFERA'!E15</f>
        <v>0</v>
      </c>
      <c r="N15" s="38">
        <f>'[5]AD ESFERA'!B15</f>
        <v>0</v>
      </c>
      <c r="O15" s="39">
        <f>'[5]AD ESFERA'!C15</f>
        <v>0</v>
      </c>
      <c r="P15" s="55">
        <f>'[5]AD ESFERA'!D15</f>
        <v>0</v>
      </c>
      <c r="Q15" s="74">
        <f>'[5]AD ESFERA'!E15</f>
        <v>0</v>
      </c>
      <c r="R15" s="38">
        <f>'[6]AD ESFERA'!B15</f>
        <v>0</v>
      </c>
      <c r="S15" s="39">
        <f>'[6]AD ESFERA'!C15</f>
        <v>0</v>
      </c>
      <c r="T15" s="55">
        <f>'[6]AD ESFERA'!D15</f>
        <v>0</v>
      </c>
      <c r="U15" s="74">
        <f>'[6]AD ESFERA'!E15</f>
        <v>0</v>
      </c>
      <c r="V15" s="38">
        <f>'[7]AD ESFERA'!B15</f>
        <v>0</v>
      </c>
      <c r="W15" s="39">
        <f>'[7]AD ESFERA'!C15</f>
        <v>0</v>
      </c>
      <c r="X15" s="55">
        <f>'[7]AD ESFERA'!D15</f>
        <v>0</v>
      </c>
      <c r="Y15" s="74">
        <f>'[7]AD ESFERA'!E15</f>
        <v>0</v>
      </c>
      <c r="Z15" s="38">
        <f>'[8]AD ESFERA'!B15</f>
        <v>0</v>
      </c>
      <c r="AA15" s="39">
        <f>'[8]AD ESFERA'!C15</f>
        <v>0</v>
      </c>
      <c r="AB15" s="55">
        <f>'[8]AD ESFERA'!D15</f>
        <v>0</v>
      </c>
      <c r="AC15" s="74">
        <f>'[8]AD ESFERA'!E15</f>
        <v>0</v>
      </c>
      <c r="AD15" s="38">
        <f>'[9]AD ESFERA'!B15</f>
        <v>0</v>
      </c>
      <c r="AE15" s="39">
        <f>'[9]AD ESFERA'!C15</f>
        <v>0</v>
      </c>
      <c r="AF15" s="55">
        <f>'[9]AD ESFERA'!D15</f>
        <v>0</v>
      </c>
      <c r="AG15" s="74">
        <f>'[9]AD ESFERA'!E15</f>
        <v>0</v>
      </c>
      <c r="AH15" s="38">
        <f>'[10]AD ESFERA'!B15</f>
        <v>0</v>
      </c>
      <c r="AI15" s="39">
        <f>'[10]AD ESFERA'!C15</f>
        <v>0</v>
      </c>
      <c r="AJ15" s="55">
        <f>'[10]AD ESFERA'!D15</f>
        <v>0</v>
      </c>
      <c r="AK15" s="74">
        <f>'[10]AD ESFERA'!E15</f>
        <v>0</v>
      </c>
      <c r="AL15" s="38">
        <f>'[11]AD ESFERA'!B15</f>
        <v>0</v>
      </c>
      <c r="AM15" s="39">
        <f>'[11]AD ESFERA'!C15</f>
        <v>0</v>
      </c>
      <c r="AN15" s="55">
        <f>'[11]AD ESFERA'!D15</f>
        <v>0</v>
      </c>
      <c r="AO15" s="74">
        <f>'[11]AD ESFERA'!E15</f>
        <v>0</v>
      </c>
      <c r="AP15" s="38">
        <f>'[12]AD ESFERA'!B15</f>
        <v>0</v>
      </c>
      <c r="AQ15" s="39">
        <f>'[12]AD ESFERA'!C15</f>
        <v>0</v>
      </c>
      <c r="AR15" s="55">
        <f>'[12]AD ESFERA'!D15</f>
        <v>0</v>
      </c>
      <c r="AS15" s="74">
        <f>'[12]AD ESFERA'!E15</f>
        <v>0</v>
      </c>
      <c r="AT15" s="38">
        <f>'[13]AD ESFERA'!B15</f>
        <v>0</v>
      </c>
      <c r="AU15" s="39">
        <f>'[13]AD ESFERA'!C15</f>
        <v>0</v>
      </c>
      <c r="AV15" s="55">
        <f>'[13]AD ESFERA'!D15</f>
        <v>0</v>
      </c>
      <c r="AW15" s="74">
        <f>'[13]AD ESFERA'!E15</f>
        <v>0</v>
      </c>
      <c r="AX15" s="38">
        <f>'[14]AD ESFERA'!B15</f>
        <v>0</v>
      </c>
      <c r="AY15" s="39">
        <f>'[14]AD ESFERA'!C15</f>
        <v>0</v>
      </c>
      <c r="AZ15" s="55">
        <f>'[14]AD ESFERA'!D15</f>
        <v>0</v>
      </c>
      <c r="BA15" s="74">
        <f>'[14]AD ESFERA'!E15</f>
        <v>0</v>
      </c>
      <c r="BB15" s="38">
        <f>'[15]AD ESFERA'!B15</f>
        <v>0</v>
      </c>
      <c r="BC15" s="39">
        <f>'[15]AD ESFERA'!C15</f>
        <v>0</v>
      </c>
      <c r="BD15" s="55">
        <f>'[15]AD ESFERA'!D15</f>
        <v>0</v>
      </c>
      <c r="BE15" s="74">
        <f>'[15]AD ESFERA'!E15</f>
        <v>0</v>
      </c>
      <c r="BF15" s="38">
        <f>'[16]AD ESFERA'!B15</f>
        <v>0</v>
      </c>
      <c r="BG15" s="39">
        <f>'[16]AD ESFERA'!C15</f>
        <v>0</v>
      </c>
      <c r="BH15" s="55">
        <f>'[16]AD ESFERA'!D15</f>
        <v>0</v>
      </c>
      <c r="BI15" s="74">
        <f>'[16]AD ESFERA'!E15</f>
        <v>0</v>
      </c>
      <c r="BJ15" s="38">
        <f>'[17]AD ESFERA'!B15</f>
        <v>0</v>
      </c>
      <c r="BK15" s="39">
        <f>'[17]AD ESFERA'!C15</f>
        <v>0</v>
      </c>
      <c r="BL15" s="55">
        <f>'[17]AD ESFERA'!D15</f>
        <v>0</v>
      </c>
      <c r="BM15" s="74">
        <f>'[17]AD ESFERA'!E15</f>
        <v>0</v>
      </c>
      <c r="BN15" s="38">
        <f>'[18]AD ESFERA'!B15</f>
        <v>0</v>
      </c>
      <c r="BO15" s="39">
        <f>'[18]AD ESFERA'!C15</f>
        <v>0</v>
      </c>
      <c r="BP15" s="55">
        <f>'[18]AD ESFERA'!D15</f>
        <v>0</v>
      </c>
      <c r="BQ15" s="74">
        <f>'[18]AD ESFERA'!E15</f>
        <v>0</v>
      </c>
      <c r="BR15" s="38">
        <f>'[19]AD ESFERA'!B15</f>
        <v>0</v>
      </c>
      <c r="BS15" s="39">
        <f>'[19]AD ESFERA'!C15</f>
        <v>0</v>
      </c>
      <c r="BT15" s="55">
        <f>'[19]AD ESFERA'!D15</f>
        <v>0</v>
      </c>
      <c r="BU15" s="74">
        <f>'[19]AD ESFERA'!E15</f>
        <v>0</v>
      </c>
      <c r="BV15" s="38">
        <f>'[20]AD ESFERA'!B15</f>
        <v>0</v>
      </c>
      <c r="BW15" s="39">
        <f>'[20]AD ESFERA'!C15</f>
        <v>0</v>
      </c>
      <c r="BX15" s="55">
        <f>'[20]AD ESFERA'!D15</f>
        <v>0</v>
      </c>
      <c r="BY15" s="74">
        <f>'[20]AD ESFERA'!E15</f>
        <v>0</v>
      </c>
      <c r="BZ15" s="38">
        <f>'[21]AD ESFERA'!B15</f>
        <v>0</v>
      </c>
      <c r="CA15" s="39">
        <f>'[21]AD ESFERA'!C15</f>
        <v>0</v>
      </c>
      <c r="CB15" s="55">
        <f>'[21]AD ESFERA'!D15</f>
        <v>0</v>
      </c>
      <c r="CC15" s="74">
        <f>'[21]AD ESFERA'!E15</f>
        <v>0</v>
      </c>
      <c r="CD15" s="38">
        <f>'[22]AD ESFERA'!B15</f>
        <v>0</v>
      </c>
      <c r="CE15" s="39">
        <f>'[22]AD ESFERA'!C15</f>
        <v>0</v>
      </c>
      <c r="CF15" s="55">
        <f>'[22]AD ESFERA'!D15</f>
        <v>0</v>
      </c>
      <c r="CG15" s="74">
        <f>'[22]AD ESFERA'!E15</f>
        <v>0</v>
      </c>
      <c r="CH15" s="38">
        <f>'[23]AD ESFERA'!B15</f>
        <v>0</v>
      </c>
      <c r="CI15" s="39">
        <f>'[23]AD ESFERA'!C15</f>
        <v>0</v>
      </c>
      <c r="CJ15" s="55">
        <f>'[23]AD ESFERA'!D15</f>
        <v>0</v>
      </c>
      <c r="CK15" s="74">
        <f>'[23]AD ESFERA'!E15</f>
        <v>0</v>
      </c>
      <c r="CL15" s="38">
        <f>'[24]AD ESFERA'!B15</f>
        <v>0</v>
      </c>
      <c r="CM15" s="39">
        <f>'[24]AD ESFERA'!C15</f>
        <v>0</v>
      </c>
      <c r="CN15" s="55">
        <f>'[24]AD ESFERA'!D15</f>
        <v>0</v>
      </c>
      <c r="CO15" s="74">
        <f>'[24]AD ESFERA'!E15</f>
        <v>0</v>
      </c>
      <c r="CP15" s="38">
        <f>'[25]AD ESFERA'!B15</f>
        <v>0</v>
      </c>
      <c r="CQ15" s="39">
        <f>'[25]AD ESFERA'!C15</f>
        <v>0</v>
      </c>
      <c r="CR15" s="55">
        <f>'[25]AD ESFERA'!D15</f>
        <v>0</v>
      </c>
      <c r="CS15" s="74">
        <f>'[25]AD ESFERA'!E15</f>
        <v>0</v>
      </c>
      <c r="CT15" s="38">
        <f>'[26]AD ESFERA'!B15</f>
        <v>0</v>
      </c>
      <c r="CU15" s="39">
        <f>'[26]AD ESFERA'!C15</f>
        <v>0</v>
      </c>
      <c r="CV15" s="55">
        <f>'[26]AD ESFERA'!D15</f>
        <v>0</v>
      </c>
      <c r="CW15" s="74">
        <f>'[26]AD ESFERA'!E15</f>
        <v>0</v>
      </c>
    </row>
    <row r="16" spans="1:101" s="9" customFormat="1" ht="11.4" x14ac:dyDescent="0.25">
      <c r="A16" s="73" t="s">
        <v>8</v>
      </c>
      <c r="B16" s="33">
        <f>'[2]AD ESFERA'!B16</f>
        <v>101.552713948</v>
      </c>
      <c r="C16" s="34">
        <f>'[2]AD ESFERA'!C16</f>
        <v>8.4459945361627575</v>
      </c>
      <c r="D16" s="35">
        <f>'[2]AD ESFERA'!D16</f>
        <v>27.637516816873909</v>
      </c>
      <c r="E16" s="22">
        <f>'[2]AD ESFERA'!E16</f>
        <v>585.49254743541917</v>
      </c>
      <c r="F16" s="33">
        <f>'[3]AD ESFERA'!B16</f>
        <v>116.59915859715318</v>
      </c>
      <c r="G16" s="34">
        <f>'[3]AD ESFERA'!C16</f>
        <v>8.8617682317113111</v>
      </c>
      <c r="H16" s="35">
        <f>'[3]AD ESFERA'!D16</f>
        <v>27.653288097003252</v>
      </c>
      <c r="I16" s="22">
        <f>'[3]AD ESFERA'!E16</f>
        <v>672.24139800764192</v>
      </c>
      <c r="J16" s="33">
        <f>'[4]AD ESFERA'!B16</f>
        <v>131.2089591895936</v>
      </c>
      <c r="K16" s="34">
        <f>'[4]AD ESFERA'!C16</f>
        <v>8.8131451436366373</v>
      </c>
      <c r="L16" s="35">
        <f>'[4]AD ESFERA'!D16</f>
        <v>26.48413169178837</v>
      </c>
      <c r="M16" s="22">
        <f>'[4]AD ESFERA'!E16</f>
        <v>735.98726123103597</v>
      </c>
      <c r="N16" s="33">
        <f>'[5]AD ESFERA'!B16</f>
        <v>150.58469448876269</v>
      </c>
      <c r="O16" s="34">
        <f>'[5]AD ESFERA'!C16</f>
        <v>8.7653711975763375</v>
      </c>
      <c r="P16" s="35">
        <f>'[5]AD ESFERA'!D16</f>
        <v>26.889410130776561</v>
      </c>
      <c r="Q16" s="22">
        <f>'[5]AD ESFERA'!E16</f>
        <v>833.714085714357</v>
      </c>
      <c r="R16" s="33">
        <f>'[6]AD ESFERA'!B16</f>
        <v>176.27545444093033</v>
      </c>
      <c r="S16" s="34">
        <f>'[6]AD ESFERA'!C16</f>
        <v>9.0039772392367734</v>
      </c>
      <c r="T16" s="35">
        <f>'[6]AD ESFERA'!D16</f>
        <v>26.779287895506535</v>
      </c>
      <c r="U16" s="22">
        <f>'[6]AD ESFERA'!E16</f>
        <v>963.71997916637315</v>
      </c>
      <c r="V16" s="33">
        <f>'[7]AD ESFERA'!B16</f>
        <v>196.79825842423548</v>
      </c>
      <c r="W16" s="34">
        <f>'[7]AD ESFERA'!C16</f>
        <v>9.0665999453712018</v>
      </c>
      <c r="X16" s="35">
        <f>'[7]AD ESFERA'!D16</f>
        <v>26.094186890426847</v>
      </c>
      <c r="Y16" s="22">
        <f>'[7]AD ESFERA'!E16</f>
        <v>1062.9079217955739</v>
      </c>
      <c r="Z16" s="33">
        <f>'[8]AD ESFERA'!B16</f>
        <v>217.05425168865548</v>
      </c>
      <c r="AA16" s="34">
        <f>'[8]AD ESFERA'!C16</f>
        <v>9.0084563567891216</v>
      </c>
      <c r="AB16" s="35">
        <f>'[8]AD ESFERA'!D16</f>
        <v>26.165749617588311</v>
      </c>
      <c r="AC16" s="22">
        <f>'[8]AD ESFERA'!E16</f>
        <v>1158.6414335536824</v>
      </c>
      <c r="AD16" s="33">
        <f>'[9]AD ESFERA'!B16</f>
        <v>238.87843811845849</v>
      </c>
      <c r="AE16" s="34">
        <f>'[9]AD ESFERA'!C16</f>
        <v>8.7814464306744782</v>
      </c>
      <c r="AF16" s="35">
        <f>'[9]AD ESFERA'!D16</f>
        <v>25.390464756683997</v>
      </c>
      <c r="AG16" s="22">
        <f>'[9]AD ESFERA'!E16</f>
        <v>1260.8200388432992</v>
      </c>
      <c r="AH16" s="33">
        <f>'[10]AD ESFERA'!B16</f>
        <v>278.976772997647</v>
      </c>
      <c r="AI16" s="34">
        <f>'[10]AD ESFERA'!C16</f>
        <v>8.9708824963397049</v>
      </c>
      <c r="AJ16" s="35">
        <f>'[10]AD ESFERA'!D16</f>
        <v>25.810011612210069</v>
      </c>
      <c r="AK16" s="22">
        <f>'[10]AD ESFERA'!E16</f>
        <v>1456.5510388433315</v>
      </c>
      <c r="AL16" s="33">
        <f>'[11]AD ESFERA'!B16</f>
        <v>291.37989606752097</v>
      </c>
      <c r="AM16" s="34">
        <f>'[11]AD ESFERA'!C16</f>
        <v>8.7421688155320396</v>
      </c>
      <c r="AN16" s="35">
        <f>'[11]AD ESFERA'!D16</f>
        <v>26.3602976113377</v>
      </c>
      <c r="AO16" s="22">
        <f>'[11]AD ESFERA'!E16</f>
        <v>1505.4971620816611</v>
      </c>
      <c r="AP16" s="33">
        <f>'[12]AD ESFERA'!B16</f>
        <v>342.2934883801783</v>
      </c>
      <c r="AQ16" s="34">
        <f>'[12]AD ESFERA'!C16</f>
        <v>8.8087227412756661</v>
      </c>
      <c r="AR16" s="35">
        <f>'[12]AD ESFERA'!D16</f>
        <v>26.506391369352791</v>
      </c>
      <c r="AS16" s="22">
        <f>'[12]AD ESFERA'!E16</f>
        <v>1750.8815630294712</v>
      </c>
      <c r="AT16" s="33">
        <f>'[13]AD ESFERA'!B16</f>
        <v>381.20877272706548</v>
      </c>
      <c r="AU16" s="34">
        <f>'[13]AD ESFERA'!C16</f>
        <v>8.7105918250981169</v>
      </c>
      <c r="AV16" s="35">
        <f>'[13]AD ESFERA'!D16</f>
        <v>25.556970085564274</v>
      </c>
      <c r="AW16" s="22">
        <f>'[13]AD ESFERA'!E16</f>
        <v>1931.1779711234822</v>
      </c>
      <c r="AX16" s="33">
        <f>'[14]AD ESFERA'!B16</f>
        <v>421.75593081329021</v>
      </c>
      <c r="AY16" s="34">
        <f>'[14]AD ESFERA'!C16</f>
        <v>8.7596459805533442</v>
      </c>
      <c r="AZ16" s="35">
        <f>'[14]AD ESFERA'!D16</f>
        <v>25.746478399269034</v>
      </c>
      <c r="BA16" s="22">
        <f>'[14]AD ESFERA'!E16</f>
        <v>2116.7974265108719</v>
      </c>
      <c r="BB16" s="33">
        <f>'[15]AD ESFERA'!B16</f>
        <v>467.13275870090774</v>
      </c>
      <c r="BC16" s="34">
        <f>'[15]AD ESFERA'!C16</f>
        <v>8.7615555181438847</v>
      </c>
      <c r="BD16" s="35">
        <f>'[15]AD ESFERA'!D16</f>
        <v>26.064097204656797</v>
      </c>
      <c r="BE16" s="22">
        <f>'[15]AD ESFERA'!E16</f>
        <v>2323.665384634402</v>
      </c>
      <c r="BF16" s="33">
        <f>'[16]AD ESFERA'!B16</f>
        <v>503.87861612930863</v>
      </c>
      <c r="BG16" s="34">
        <f>'[16]AD ESFERA'!C16</f>
        <v>8.7192025290620734</v>
      </c>
      <c r="BH16" s="35">
        <f>'[16]AD ESFERA'!D16</f>
        <v>26.522980442260153</v>
      </c>
      <c r="BI16" s="22">
        <f>'[16]AD ESFERA'!E16</f>
        <v>2484.9937838455876</v>
      </c>
      <c r="BJ16" s="33">
        <f>'[17]AD ESFERA'!B16</f>
        <v>527.86464452284918</v>
      </c>
      <c r="BK16" s="34">
        <f>'[17]AD ESFERA'!C16</f>
        <v>8.8039258986826798</v>
      </c>
      <c r="BL16" s="35">
        <f>'[17]AD ESFERA'!D16</f>
        <v>26.808346119626865</v>
      </c>
      <c r="BM16" s="22">
        <f>'[17]AD ESFERA'!E16</f>
        <v>2581.8682753256958</v>
      </c>
      <c r="BN16" s="33">
        <f>'[18]AD ESFERA'!B16</f>
        <v>560.81875335838004</v>
      </c>
      <c r="BO16" s="34">
        <f>'[18]AD ESFERA'!C16</f>
        <v>8.9484667145622314</v>
      </c>
      <c r="BP16" s="35">
        <f>'[18]AD ESFERA'!D16</f>
        <v>26.882870756586453</v>
      </c>
      <c r="BQ16" s="22">
        <f>'[18]AD ESFERA'!E16</f>
        <v>2721.3453823359496</v>
      </c>
      <c r="BR16" s="33">
        <f>'[19]AD ESFERA'!B16</f>
        <v>599.89914551421998</v>
      </c>
      <c r="BS16" s="34">
        <f>'[19]AD ESFERA'!C16</f>
        <v>9.153395555004602</v>
      </c>
      <c r="BT16" s="35">
        <f>'[19]AD ESFERA'!D16</f>
        <v>27.226011225076981</v>
      </c>
      <c r="BU16" s="22">
        <f>'[19]AD ESFERA'!E16</f>
        <v>2888.8397466151177</v>
      </c>
      <c r="BV16" s="33">
        <f>'[20]AD ESFERA'!B16</f>
        <v>650.27291626083002</v>
      </c>
      <c r="BW16" s="34">
        <f>'[20]AD ESFERA'!C16</f>
        <v>9.439052026276844</v>
      </c>
      <c r="BX16" s="35">
        <f>'[20]AD ESFERA'!D16</f>
        <v>27.405303635538758</v>
      </c>
      <c r="BY16" s="22">
        <f>'[20]AD ESFERA'!E16</f>
        <v>3118.8912355210127</v>
      </c>
      <c r="BZ16" s="33">
        <f>'[21]AD ESFERA'!B16</f>
        <v>694.77879676619909</v>
      </c>
      <c r="CA16" s="34">
        <f>'[21]AD ESFERA'!C16</f>
        <v>9.4027132116915926</v>
      </c>
      <c r="CB16" s="35">
        <f>'[21]AD ESFERA'!D16</f>
        <v>27.825385004167849</v>
      </c>
      <c r="CC16" s="22">
        <f>'[21]AD ESFERA'!E16</f>
        <v>3306.1541849130654</v>
      </c>
      <c r="CD16" s="33">
        <f>'[22]AD ESFERA'!B16</f>
        <v>712.17638438832</v>
      </c>
      <c r="CE16" s="34">
        <f>'[22]AD ESFERA'!C16</f>
        <v>9.3589237956795888</v>
      </c>
      <c r="CF16" s="35">
        <f>'[22]AD ESFERA'!D16</f>
        <v>29.049958270491604</v>
      </c>
      <c r="CG16" s="22">
        <f>'[22]AD ESFERA'!E16</f>
        <v>3363.1983049046917</v>
      </c>
      <c r="CH16" s="33">
        <f>'[23]AD ESFERA'!B16</f>
        <v>858.14660776840014</v>
      </c>
      <c r="CI16" s="34">
        <f>'[23]AD ESFERA'!C16</f>
        <v>9.6434760586362529</v>
      </c>
      <c r="CJ16" s="35">
        <f>'[23]AD ESFERA'!D16</f>
        <v>28.03516002467731</v>
      </c>
      <c r="CK16" s="22">
        <f>'[23]AD ESFERA'!E16</f>
        <v>4022.8581742759684</v>
      </c>
      <c r="CL16" s="33">
        <f>'[24]AD ESFERA'!B16</f>
        <v>950.18729783647007</v>
      </c>
      <c r="CM16" s="34">
        <f>'[24]AD ESFERA'!C16</f>
        <v>9.4267642911981504</v>
      </c>
      <c r="CN16" s="35">
        <f>'[24]AD ESFERA'!D16</f>
        <v>27.005491152314899</v>
      </c>
      <c r="CO16" s="22">
        <f>'[24]AD ESFERA'!E16</f>
        <v>4678.8642929636826</v>
      </c>
      <c r="CP16" s="33">
        <f>'[25]AD ESFERA'!B16</f>
        <v>995.58126685782486</v>
      </c>
      <c r="CQ16" s="34">
        <f>'[25]AD ESFERA'!C16</f>
        <v>9.0975963732641958</v>
      </c>
      <c r="CR16" s="35">
        <f>'[25]AD ESFERA'!D16</f>
        <v>26.310373975066341</v>
      </c>
      <c r="CS16" s="22">
        <f>'[25]AD ESFERA'!E16</f>
        <v>4790.3116695647086</v>
      </c>
      <c r="CT16" s="33">
        <f>'[26]AD ESFERA'!B16</f>
        <v>1127.2113864583002</v>
      </c>
      <c r="CU16" s="34">
        <f>'[26]AD ESFERA'!C16</f>
        <v>9.597610178832868</v>
      </c>
      <c r="CV16" s="35">
        <f>'[26]AD ESFERA'!D16</f>
        <v>26.697113253362954</v>
      </c>
      <c r="CW16" s="22">
        <f>'[26]AD ESFERA'!E16</f>
        <v>5302.4343886035522</v>
      </c>
    </row>
    <row r="17" spans="1:101" x14ac:dyDescent="0.25">
      <c r="A17" s="75" t="s">
        <v>9</v>
      </c>
      <c r="B17" s="38">
        <f>'[2]AD ESFERA'!B17</f>
        <v>82.274923999999999</v>
      </c>
      <c r="C17" s="39">
        <f>'[2]AD ESFERA'!C17</f>
        <v>6.8426882113955703</v>
      </c>
      <c r="D17" s="55">
        <f>'[2]AD ESFERA'!D17</f>
        <v>22.391076587291984</v>
      </c>
      <c r="E17" s="74">
        <f>'[2]AD ESFERA'!E17</f>
        <v>474.34827657566711</v>
      </c>
      <c r="F17" s="38">
        <f>'[3]AD ESFERA'!B17</f>
        <v>92.126565580019985</v>
      </c>
      <c r="G17" s="39">
        <f>'[3]AD ESFERA'!C17</f>
        <v>7.0018024313052178</v>
      </c>
      <c r="H17" s="55">
        <f>'[3]AD ESFERA'!D17</f>
        <v>21.849235363469912</v>
      </c>
      <c r="I17" s="74">
        <f>'[3]AD ESFERA'!E17</f>
        <v>531.14698239912877</v>
      </c>
      <c r="J17" s="38">
        <f>'[4]AD ESFERA'!B17</f>
        <v>102.95167753705</v>
      </c>
      <c r="K17" s="39">
        <f>'[4]AD ESFERA'!C17</f>
        <v>6.9151381317172982</v>
      </c>
      <c r="L17" s="55">
        <f>'[4]AD ESFERA'!D17</f>
        <v>20.780484828340999</v>
      </c>
      <c r="M17" s="74">
        <f>'[4]AD ESFERA'!E17</f>
        <v>577.48437040908811</v>
      </c>
      <c r="N17" s="38">
        <f>'[5]AD ESFERA'!B17</f>
        <v>117.13526413602999</v>
      </c>
      <c r="O17" s="39">
        <f>'[5]AD ESFERA'!C17</f>
        <v>6.8183162569358817</v>
      </c>
      <c r="P17" s="55">
        <f>'[5]AD ESFERA'!D17</f>
        <v>20.916456143327352</v>
      </c>
      <c r="Q17" s="74">
        <f>'[5]AD ESFERA'!E17</f>
        <v>648.52088703721199</v>
      </c>
      <c r="R17" s="38">
        <f>'[6]AD ESFERA'!B17</f>
        <v>136.58038502532997</v>
      </c>
      <c r="S17" s="39">
        <f>'[6]AD ESFERA'!C17</f>
        <v>6.9763920450215569</v>
      </c>
      <c r="T17" s="55">
        <f>'[6]AD ESFERA'!D17</f>
        <v>20.748920847048918</v>
      </c>
      <c r="U17" s="74">
        <f>'[6]AD ESFERA'!E17</f>
        <v>746.70206483713059</v>
      </c>
      <c r="V17" s="38">
        <f>'[7]AD ESFERA'!B17</f>
        <v>152.3675467411</v>
      </c>
      <c r="W17" s="39">
        <f>'[7]AD ESFERA'!C17</f>
        <v>7.0196535376914522</v>
      </c>
      <c r="X17" s="55">
        <f>'[7]AD ESFERA'!D17</f>
        <v>20.202959480095089</v>
      </c>
      <c r="Y17" s="74">
        <f>'[7]AD ESFERA'!E17</f>
        <v>822.93752877910777</v>
      </c>
      <c r="Z17" s="38">
        <f>'[8]AD ESFERA'!B17</f>
        <v>165.66635759885997</v>
      </c>
      <c r="AA17" s="39">
        <f>'[8]AD ESFERA'!C17</f>
        <v>6.8756918632409878</v>
      </c>
      <c r="AB17" s="55">
        <f>'[8]AD ESFERA'!D17</f>
        <v>19.970972230516228</v>
      </c>
      <c r="AC17" s="74">
        <f>'[8]AD ESFERA'!E17</f>
        <v>884.33147273840029</v>
      </c>
      <c r="AD17" s="38">
        <f>'[9]AD ESFERA'!B17</f>
        <v>183.53723294322998</v>
      </c>
      <c r="AE17" s="39">
        <f>'[9]AD ESFERA'!C17</f>
        <v>6.7470400083826449</v>
      </c>
      <c r="AF17" s="55">
        <f>'[9]AD ESFERA'!D17</f>
        <v>19.508230551446701</v>
      </c>
      <c r="AG17" s="74">
        <f>'[9]AD ESFERA'!E17</f>
        <v>968.72460734158528</v>
      </c>
      <c r="AH17" s="38">
        <f>'[10]AD ESFERA'!B17</f>
        <v>217.29792170537999</v>
      </c>
      <c r="AI17" s="39">
        <f>'[10]AD ESFERA'!C17</f>
        <v>6.9875140549218075</v>
      </c>
      <c r="AJ17" s="55">
        <f>'[10]AD ESFERA'!D17</f>
        <v>20.103687566033592</v>
      </c>
      <c r="AK17" s="74">
        <f>'[10]AD ESFERA'!E17</f>
        <v>1134.5228142026635</v>
      </c>
      <c r="AL17" s="38">
        <f>'[11]AD ESFERA'!B17</f>
        <v>225.33715246026</v>
      </c>
      <c r="AM17" s="39">
        <f>'[11]AD ESFERA'!C17</f>
        <v>6.760711544637191</v>
      </c>
      <c r="AN17" s="55">
        <f>'[11]AD ESFERA'!D17</f>
        <v>20.38560134693498</v>
      </c>
      <c r="AO17" s="74">
        <f>'[11]AD ESFERA'!E17</f>
        <v>1164.2685309417211</v>
      </c>
      <c r="AP17" s="38">
        <f>'[12]AD ESFERA'!B17</f>
        <v>264.74599347458002</v>
      </c>
      <c r="AQ17" s="39">
        <f>'[12]AD ESFERA'!C17</f>
        <v>6.8130833116841707</v>
      </c>
      <c r="AR17" s="55">
        <f>'[12]AD ESFERA'!D17</f>
        <v>20.50129831482856</v>
      </c>
      <c r="AS17" s="74">
        <f>'[12]AD ESFERA'!E17</f>
        <v>1354.2147151386059</v>
      </c>
      <c r="AT17" s="38">
        <f>'[13]AD ESFERA'!B17</f>
        <v>294.37887302168997</v>
      </c>
      <c r="AU17" s="39">
        <f>'[13]AD ESFERA'!C17</f>
        <v>6.7265351384246159</v>
      </c>
      <c r="AV17" s="55">
        <f>'[13]AD ESFERA'!D17</f>
        <v>19.735726430996948</v>
      </c>
      <c r="AW17" s="74">
        <f>'[13]AD ESFERA'!E17</f>
        <v>1491.303546549472</v>
      </c>
      <c r="AX17" s="38">
        <f>'[14]AD ESFERA'!B17</f>
        <v>323.41528234080005</v>
      </c>
      <c r="AY17" s="39">
        <f>'[14]AD ESFERA'!C17</f>
        <v>6.7171631055504335</v>
      </c>
      <c r="AZ17" s="55">
        <f>'[14]AD ESFERA'!D17</f>
        <v>19.743183136094771</v>
      </c>
      <c r="BA17" s="74">
        <f>'[14]AD ESFERA'!E17</f>
        <v>1623.2246836058473</v>
      </c>
      <c r="BB17" s="38">
        <f>'[15]AD ESFERA'!B17</f>
        <v>357.38315919538002</v>
      </c>
      <c r="BC17" s="39">
        <f>'[15]AD ESFERA'!C17</f>
        <v>6.7030888590385027</v>
      </c>
      <c r="BD17" s="55">
        <f>'[15]AD ESFERA'!D17</f>
        <v>19.940518465200967</v>
      </c>
      <c r="BE17" s="74">
        <f>'[15]AD ESFERA'!E17</f>
        <v>1777.7363299954256</v>
      </c>
      <c r="BF17" s="38">
        <f>'[16]AD ESFERA'!B17</f>
        <v>381.24976108563999</v>
      </c>
      <c r="BG17" s="39">
        <f>'[16]AD ESFERA'!C17</f>
        <v>6.5972116590261241</v>
      </c>
      <c r="BH17" s="55">
        <f>'[16]AD ESFERA'!D17</f>
        <v>20.068087101151775</v>
      </c>
      <c r="BI17" s="74">
        <f>'[16]AD ESFERA'!E17</f>
        <v>1880.2212597712264</v>
      </c>
      <c r="BJ17" s="38">
        <f>'[17]AD ESFERA'!B17</f>
        <v>391.98353599254995</v>
      </c>
      <c r="BK17" s="39">
        <f>'[17]AD ESFERA'!C17</f>
        <v>6.537649452733227</v>
      </c>
      <c r="BL17" s="55">
        <f>'[17]AD ESFERA'!D17</f>
        <v>19.907433496672887</v>
      </c>
      <c r="BM17" s="74">
        <f>'[17]AD ESFERA'!E17</f>
        <v>1917.2525883865007</v>
      </c>
      <c r="BN17" s="38">
        <f>'[18]AD ESFERA'!B17</f>
        <v>411.93840124417</v>
      </c>
      <c r="BO17" s="39">
        <f>'[18]AD ESFERA'!C17</f>
        <v>6.5729204843972706</v>
      </c>
      <c r="BP17" s="55">
        <f>'[18]AD ESFERA'!D17</f>
        <v>19.746284756004229</v>
      </c>
      <c r="BQ17" s="74">
        <f>'[18]AD ESFERA'!E17</f>
        <v>1998.91080553133</v>
      </c>
      <c r="BR17" s="38">
        <f>'[19]AD ESFERA'!B17</f>
        <v>445.13303929963001</v>
      </c>
      <c r="BS17" s="39">
        <f>'[19]AD ESFERA'!C17</f>
        <v>6.7919396348170666</v>
      </c>
      <c r="BT17" s="55">
        <f>'[19]AD ESFERA'!D17</f>
        <v>20.202057654601354</v>
      </c>
      <c r="BU17" s="74">
        <f>'[19]AD ESFERA'!E17</f>
        <v>2143.5570063332907</v>
      </c>
      <c r="BV17" s="38">
        <f>'[20]AD ESFERA'!B17</f>
        <v>491.64151949620009</v>
      </c>
      <c r="BW17" s="39">
        <f>'[20]AD ESFERA'!C17</f>
        <v>7.1364342028678891</v>
      </c>
      <c r="BX17" s="55">
        <f>'[20]AD ESFERA'!D17</f>
        <v>20.719892809170357</v>
      </c>
      <c r="BY17" s="74">
        <f>'[20]AD ESFERA'!E17</f>
        <v>2358.0505781973566</v>
      </c>
      <c r="BZ17" s="38">
        <f>'[21]AD ESFERA'!B17</f>
        <v>524.20016894637001</v>
      </c>
      <c r="CA17" s="39">
        <f>'[21]AD ESFERA'!C17</f>
        <v>7.0942059214590998</v>
      </c>
      <c r="CB17" s="55">
        <f>'[21]AD ESFERA'!D17</f>
        <v>20.993835143030356</v>
      </c>
      <c r="CC17" s="74">
        <f>'[21]AD ESFERA'!E17</f>
        <v>2494.4436853293614</v>
      </c>
      <c r="CD17" s="38">
        <f>'[22]AD ESFERA'!B17</f>
        <v>538.05600978652001</v>
      </c>
      <c r="CE17" s="39">
        <f>'[22]AD ESFERA'!C17</f>
        <v>7.0707556495635719</v>
      </c>
      <c r="CF17" s="55">
        <f>'[22]AD ESFERA'!D17</f>
        <v>21.947518864881328</v>
      </c>
      <c r="CG17" s="74">
        <f>'[22]AD ESFERA'!E17</f>
        <v>2540.9282022346774</v>
      </c>
      <c r="CH17" s="38">
        <f>'[23]AD ESFERA'!B17</f>
        <v>655.21342219743008</v>
      </c>
      <c r="CI17" s="39">
        <f>'[23]AD ESFERA'!C17</f>
        <v>7.3630017214533048</v>
      </c>
      <c r="CJ17" s="55">
        <f>'[23]AD ESFERA'!D17</f>
        <v>21.405448644014111</v>
      </c>
      <c r="CK17" s="74">
        <f>'[23]AD ESFERA'!E17</f>
        <v>3071.5388810272275</v>
      </c>
      <c r="CL17" s="38">
        <f>'[24]AD ESFERA'!B17</f>
        <v>709.15700720199004</v>
      </c>
      <c r="CM17" s="39">
        <f>'[24]AD ESFERA'!C17</f>
        <v>7.035513911379593</v>
      </c>
      <c r="CN17" s="55">
        <f>'[24]AD ESFERA'!D17</f>
        <v>20.155113973004742</v>
      </c>
      <c r="CO17" s="74">
        <f>'[24]AD ESFERA'!E17</f>
        <v>3491.9951115505496</v>
      </c>
      <c r="CP17" s="38">
        <f>'[25]AD ESFERA'!B17</f>
        <v>720.56929576897994</v>
      </c>
      <c r="CQ17" s="39">
        <f>'[25]AD ESFERA'!C17</f>
        <v>6.5845439544711377</v>
      </c>
      <c r="CR17" s="55">
        <f>'[25]AD ESFERA'!D17</f>
        <v>19.042591778034563</v>
      </c>
      <c r="CS17" s="74">
        <f>'[25]AD ESFERA'!E17</f>
        <v>3467.0715703061737</v>
      </c>
      <c r="CT17" s="38">
        <f>'[26]AD ESFERA'!B17</f>
        <v>828.14596788186009</v>
      </c>
      <c r="CU17" s="39">
        <f>'[26]AD ESFERA'!C17</f>
        <v>7.0512259425232244</v>
      </c>
      <c r="CV17" s="55">
        <f>'[26]AD ESFERA'!D17</f>
        <v>19.613984528957559</v>
      </c>
      <c r="CW17" s="74">
        <f>'[26]AD ESFERA'!E17</f>
        <v>3895.6221624741311</v>
      </c>
    </row>
    <row r="18" spans="1:101" x14ac:dyDescent="0.25">
      <c r="A18" s="75" t="s">
        <v>10</v>
      </c>
      <c r="B18" s="38">
        <f>'[2]AD ESFERA'!B18</f>
        <v>5.2968909999999996</v>
      </c>
      <c r="C18" s="39">
        <f>'[2]AD ESFERA'!C18</f>
        <v>0.44053487795075069</v>
      </c>
      <c r="D18" s="55">
        <f>'[2]AD ESFERA'!D18</f>
        <v>1.4415460542453689</v>
      </c>
      <c r="E18" s="74">
        <f>'[2]AD ESFERA'!E18</f>
        <v>30.538723038615775</v>
      </c>
      <c r="F18" s="38">
        <f>'[3]AD ESFERA'!B18</f>
        <v>6.2183107360099994</v>
      </c>
      <c r="G18" s="39">
        <f>'[3]AD ESFERA'!C18</f>
        <v>0.47260399816151177</v>
      </c>
      <c r="H18" s="55">
        <f>'[3]AD ESFERA'!D18</f>
        <v>1.4747682601525332</v>
      </c>
      <c r="I18" s="74">
        <f>'[3]AD ESFERA'!E18</f>
        <v>35.851081197453446</v>
      </c>
      <c r="J18" s="38">
        <f>'[4]AD ESFERA'!B18</f>
        <v>6.9447605335100002</v>
      </c>
      <c r="K18" s="39">
        <f>'[4]AD ESFERA'!C18</f>
        <v>0.46647106224799112</v>
      </c>
      <c r="L18" s="55">
        <f>'[4]AD ESFERA'!D18</f>
        <v>1.4017789156580762</v>
      </c>
      <c r="M18" s="74">
        <f>'[4]AD ESFERA'!E18</f>
        <v>38.955078346271918</v>
      </c>
      <c r="N18" s="38">
        <f>'[5]AD ESFERA'!B18</f>
        <v>7.6435455051599996</v>
      </c>
      <c r="O18" s="39">
        <f>'[5]AD ESFERA'!C18</f>
        <v>0.44492246602986119</v>
      </c>
      <c r="P18" s="55">
        <f>'[5]AD ESFERA'!D18</f>
        <v>1.3648826040340944</v>
      </c>
      <c r="Q18" s="74">
        <f>'[5]AD ESFERA'!E18</f>
        <v>42.31858738423179</v>
      </c>
      <c r="R18" s="38">
        <f>'[6]AD ESFERA'!B18</f>
        <v>8.8129406267299988</v>
      </c>
      <c r="S18" s="39">
        <f>'[6]AD ESFERA'!C18</f>
        <v>0.45015635934958009</v>
      </c>
      <c r="T18" s="55">
        <f>'[6]AD ESFERA'!D18</f>
        <v>1.3388379851166012</v>
      </c>
      <c r="U18" s="74">
        <f>'[6]AD ESFERA'!E18</f>
        <v>48.181449789044684</v>
      </c>
      <c r="V18" s="38">
        <f>'[7]AD ESFERA'!B18</f>
        <v>10.38759111385</v>
      </c>
      <c r="W18" s="39">
        <f>'[7]AD ESFERA'!C18</f>
        <v>0.4785618215296798</v>
      </c>
      <c r="X18" s="55">
        <f>'[7]AD ESFERA'!D18</f>
        <v>1.3773279603004804</v>
      </c>
      <c r="Y18" s="74">
        <f>'[7]AD ESFERA'!E18</f>
        <v>56.103407477740063</v>
      </c>
      <c r="Z18" s="38">
        <f>'[8]AD ESFERA'!B18</f>
        <v>12.064105158209999</v>
      </c>
      <c r="AA18" s="39">
        <f>'[8]AD ESFERA'!C18</f>
        <v>0.5006995438050178</v>
      </c>
      <c r="AB18" s="55">
        <f>'[8]AD ESFERA'!D18</f>
        <v>1.4543200719365454</v>
      </c>
      <c r="AC18" s="74">
        <f>'[8]AD ESFERA'!E18</f>
        <v>64.398517818950324</v>
      </c>
      <c r="AD18" s="38">
        <f>'[9]AD ESFERA'!B18</f>
        <v>14.286212447479999</v>
      </c>
      <c r="AE18" s="39">
        <f>'[9]AD ESFERA'!C18</f>
        <v>0.5251776187625975</v>
      </c>
      <c r="AF18" s="55">
        <f>'[9]AD ESFERA'!D18</f>
        <v>1.5184860404787288</v>
      </c>
      <c r="AG18" s="74">
        <f>'[9]AD ESFERA'!E18</f>
        <v>75.403804021956716</v>
      </c>
      <c r="AH18" s="38">
        <f>'[10]AD ESFERA'!B18</f>
        <v>16.629265263440001</v>
      </c>
      <c r="AI18" s="39">
        <f>'[10]AD ESFERA'!C18</f>
        <v>0.53473693553707424</v>
      </c>
      <c r="AJ18" s="55">
        <f>'[10]AD ESFERA'!D18</f>
        <v>1.5384848169977503</v>
      </c>
      <c r="AK18" s="74">
        <f>'[10]AD ESFERA'!E18</f>
        <v>86.822187146272384</v>
      </c>
      <c r="AL18" s="38">
        <f>'[11]AD ESFERA'!B18</f>
        <v>20.071087781520003</v>
      </c>
      <c r="AM18" s="39">
        <f>'[11]AD ESFERA'!C18</f>
        <v>0.60218580645230979</v>
      </c>
      <c r="AN18" s="55">
        <f>'[11]AD ESFERA'!D18</f>
        <v>1.8157733407302343</v>
      </c>
      <c r="AO18" s="74">
        <f>'[11]AD ESFERA'!E18</f>
        <v>103.70298741532991</v>
      </c>
      <c r="AP18" s="38">
        <f>'[12]AD ESFERA'!B18</f>
        <v>21.277523129349998</v>
      </c>
      <c r="AQ18" s="39">
        <f>'[12]AD ESFERA'!C18</f>
        <v>0.54756461408156309</v>
      </c>
      <c r="AR18" s="55">
        <f>'[12]AD ESFERA'!D18</f>
        <v>1.6476806441920824</v>
      </c>
      <c r="AS18" s="74">
        <f>'[12]AD ESFERA'!E18</f>
        <v>108.83766188603137</v>
      </c>
      <c r="AT18" s="38">
        <f>'[13]AD ESFERA'!B18</f>
        <v>23.939386537409995</v>
      </c>
      <c r="AU18" s="39">
        <f>'[13]AD ESFERA'!C18</f>
        <v>0.54701318434748147</v>
      </c>
      <c r="AV18" s="55">
        <f>'[13]AD ESFERA'!D18</f>
        <v>1.6049425652682752</v>
      </c>
      <c r="AW18" s="74">
        <f>'[13]AD ESFERA'!E18</f>
        <v>121.27532006288969</v>
      </c>
      <c r="AX18" s="38">
        <f>'[14]AD ESFERA'!B18</f>
        <v>26.685160329119999</v>
      </c>
      <c r="AY18" s="39">
        <f>'[14]AD ESFERA'!C18</f>
        <v>0.5542365627595145</v>
      </c>
      <c r="AZ18" s="55">
        <f>'[14]AD ESFERA'!D18</f>
        <v>1.6290201365274295</v>
      </c>
      <c r="BA18" s="74">
        <f>'[14]AD ESFERA'!E18</f>
        <v>133.93309870423101</v>
      </c>
      <c r="BB18" s="38">
        <f>'[15]AD ESFERA'!B18</f>
        <v>28.809676666690002</v>
      </c>
      <c r="BC18" s="39">
        <f>'[15]AD ESFERA'!C18</f>
        <v>0.54035512790186258</v>
      </c>
      <c r="BD18" s="55">
        <f>'[15]AD ESFERA'!D18</f>
        <v>1.6074621166873047</v>
      </c>
      <c r="BE18" s="74">
        <f>'[15]AD ESFERA'!E18</f>
        <v>143.30840037651782</v>
      </c>
      <c r="BF18" s="38">
        <f>'[16]AD ESFERA'!B18</f>
        <v>31.271538787669993</v>
      </c>
      <c r="BG18" s="39">
        <f>'[16]AD ESFERA'!C18</f>
        <v>0.54112810378748522</v>
      </c>
      <c r="BH18" s="55">
        <f>'[16]AD ESFERA'!D18</f>
        <v>1.6460599539550635</v>
      </c>
      <c r="BI18" s="74">
        <f>'[16]AD ESFERA'!E18</f>
        <v>154.22281678789039</v>
      </c>
      <c r="BJ18" s="38">
        <f>'[17]AD ESFERA'!B18</f>
        <v>34.912678887919995</v>
      </c>
      <c r="BK18" s="39">
        <f>'[17]AD ESFERA'!C18</f>
        <v>0.58228684387754259</v>
      </c>
      <c r="BL18" s="55">
        <f>'[17]AD ESFERA'!D18</f>
        <v>1.7730893502761109</v>
      </c>
      <c r="BM18" s="74">
        <f>'[17]AD ESFERA'!E18</f>
        <v>170.76335564931367</v>
      </c>
      <c r="BN18" s="38">
        <f>'[18]AD ESFERA'!B18</f>
        <v>37.704100321029998</v>
      </c>
      <c r="BO18" s="39">
        <f>'[18]AD ESFERA'!C18</f>
        <v>0.60160949451996548</v>
      </c>
      <c r="BP18" s="55">
        <f>'[18]AD ESFERA'!D18</f>
        <v>1.8073476499383432</v>
      </c>
      <c r="BQ18" s="74">
        <f>'[18]AD ESFERA'!E18</f>
        <v>182.95729001451232</v>
      </c>
      <c r="BR18" s="38">
        <f>'[19]AD ESFERA'!B18</f>
        <v>39.125595798160013</v>
      </c>
      <c r="BS18" s="39">
        <f>'[19]AD ESFERA'!C18</f>
        <v>0.59698710582226588</v>
      </c>
      <c r="BT18" s="55">
        <f>'[19]AD ESFERA'!D18</f>
        <v>1.7756883275361808</v>
      </c>
      <c r="BU18" s="74">
        <f>'[19]AD ESFERA'!E18</f>
        <v>188.41096390433663</v>
      </c>
      <c r="BV18" s="38">
        <f>'[20]AD ESFERA'!B18</f>
        <v>44.770656425719999</v>
      </c>
      <c r="BW18" s="39">
        <f>'[20]AD ESFERA'!C18</f>
        <v>0.64986953121607671</v>
      </c>
      <c r="BX18" s="55">
        <f>'[20]AD ESFERA'!D18</f>
        <v>1.8868284417632104</v>
      </c>
      <c r="BY18" s="74">
        <f>'[20]AD ESFERA'!E18</f>
        <v>214.73262140090716</v>
      </c>
      <c r="BZ18" s="38">
        <f>'[21]AD ESFERA'!B18</f>
        <v>47.941197879910014</v>
      </c>
      <c r="CA18" s="39">
        <f>'[21]AD ESFERA'!C18</f>
        <v>0.64880698257900704</v>
      </c>
      <c r="CB18" s="55">
        <f>'[21]AD ESFERA'!D18</f>
        <v>1.9200100733908716</v>
      </c>
      <c r="CC18" s="74">
        <f>'[21]AD ESFERA'!E18</f>
        <v>228.1315905697497</v>
      </c>
      <c r="CD18" s="38">
        <f>'[22]AD ESFERA'!B18</f>
        <v>49.426632933050001</v>
      </c>
      <c r="CE18" s="39">
        <f>'[22]AD ESFERA'!C18</f>
        <v>0.64953023048461045</v>
      </c>
      <c r="CF18" s="55">
        <f>'[22]AD ESFERA'!D18</f>
        <v>2.0161320364325701</v>
      </c>
      <c r="CG18" s="74">
        <f>'[22]AD ESFERA'!E18</f>
        <v>233.41347978051047</v>
      </c>
      <c r="CH18" s="38">
        <f>'[23]AD ESFERA'!B18</f>
        <v>53.679325098460005</v>
      </c>
      <c r="CI18" s="39">
        <f>'[23]AD ESFERA'!C18</f>
        <v>0.60322476572727768</v>
      </c>
      <c r="CJ18" s="55">
        <f>'[23]AD ESFERA'!D18</f>
        <v>1.7536729220028031</v>
      </c>
      <c r="CK18" s="74">
        <f>'[23]AD ESFERA'!E18</f>
        <v>251.6403488717593</v>
      </c>
      <c r="CL18" s="38">
        <f>'[24]AD ESFERA'!B18</f>
        <v>66.218662344070012</v>
      </c>
      <c r="CM18" s="39">
        <f>'[24]AD ESFERA'!C18</f>
        <v>0.6569522903719327</v>
      </c>
      <c r="CN18" s="55">
        <f>'[24]AD ESFERA'!D18</f>
        <v>1.8820157921735092</v>
      </c>
      <c r="CO18" s="74">
        <f>'[24]AD ESFERA'!E18</f>
        <v>326.07059205585199</v>
      </c>
      <c r="CP18" s="38">
        <f>'[25]AD ESFERA'!B18</f>
        <v>82.462626627600017</v>
      </c>
      <c r="CQ18" s="39">
        <f>'[25]AD ESFERA'!C18</f>
        <v>0.75354139125663988</v>
      </c>
      <c r="CR18" s="55">
        <f>'[25]AD ESFERA'!D18</f>
        <v>2.1792520789247187</v>
      </c>
      <c r="CS18" s="74">
        <f>'[25]AD ESFERA'!E18</f>
        <v>396.77492514888928</v>
      </c>
      <c r="CT18" s="38">
        <f>'[26]AD ESFERA'!B18</f>
        <v>87.533121672609994</v>
      </c>
      <c r="CU18" s="39">
        <f>'[26]AD ESFERA'!C18</f>
        <v>0.74529834389774996</v>
      </c>
      <c r="CV18" s="55">
        <f>'[26]AD ESFERA'!D18</f>
        <v>2.0731529957806352</v>
      </c>
      <c r="CW18" s="74">
        <f>'[26]AD ESFERA'!E18</f>
        <v>411.75829136803731</v>
      </c>
    </row>
    <row r="19" spans="1:101" x14ac:dyDescent="0.25">
      <c r="A19" s="75" t="s">
        <v>7</v>
      </c>
      <c r="B19" s="38">
        <f>'[2]AD ESFERA'!B19</f>
        <v>13.980898948</v>
      </c>
      <c r="C19" s="39">
        <f>'[2]AD ESFERA'!C19</f>
        <v>1.1627714468164361</v>
      </c>
      <c r="D19" s="55">
        <f>'[2]AD ESFERA'!D19</f>
        <v>3.8048941753365568</v>
      </c>
      <c r="E19" s="74">
        <f>'[2]AD ESFERA'!E19</f>
        <v>80.605547821136327</v>
      </c>
      <c r="F19" s="38">
        <f>'[3]AD ESFERA'!B19</f>
        <v>18.254282281123192</v>
      </c>
      <c r="G19" s="39">
        <f>'[3]AD ESFERA'!C19</f>
        <v>1.3873618022445813</v>
      </c>
      <c r="H19" s="55">
        <f>'[3]AD ESFERA'!D19</f>
        <v>4.329284473380806</v>
      </c>
      <c r="I19" s="74">
        <f>'[3]AD ESFERA'!E19</f>
        <v>105.24333441105972</v>
      </c>
      <c r="J19" s="38">
        <f>'[4]AD ESFERA'!B19</f>
        <v>21.312521119033576</v>
      </c>
      <c r="K19" s="39">
        <f>'[4]AD ESFERA'!C19</f>
        <v>1.4315359496713482</v>
      </c>
      <c r="L19" s="55">
        <f>'[4]AD ESFERA'!D19</f>
        <v>4.301867947789292</v>
      </c>
      <c r="M19" s="74">
        <f>'[4]AD ESFERA'!E19</f>
        <v>119.54781247567581</v>
      </c>
      <c r="N19" s="38">
        <f>'[5]AD ESFERA'!B19</f>
        <v>25.805884847572713</v>
      </c>
      <c r="O19" s="39">
        <f>'[5]AD ESFERA'!C19</f>
        <v>1.5021324746105946</v>
      </c>
      <c r="P19" s="55">
        <f>'[5]AD ESFERA'!D19</f>
        <v>4.6080713834151137</v>
      </c>
      <c r="Q19" s="74">
        <f>'[5]AD ESFERA'!E19</f>
        <v>142.87461129291322</v>
      </c>
      <c r="R19" s="38">
        <f>'[6]AD ESFERA'!B19</f>
        <v>30.88212878887034</v>
      </c>
      <c r="S19" s="39">
        <f>'[6]AD ESFERA'!C19</f>
        <v>1.5774288348656362</v>
      </c>
      <c r="T19" s="55">
        <f>'[6]AD ESFERA'!D19</f>
        <v>4.6915290633410134</v>
      </c>
      <c r="U19" s="74">
        <f>'[6]AD ESFERA'!E19</f>
        <v>168.83646454019774</v>
      </c>
      <c r="V19" s="38">
        <f>'[7]AD ESFERA'!B19</f>
        <v>34.043120569285499</v>
      </c>
      <c r="W19" s="39">
        <f>'[7]AD ESFERA'!C19</f>
        <v>1.5683845861500698</v>
      </c>
      <c r="X19" s="55">
        <f>'[7]AD ESFERA'!D19</f>
        <v>4.5138994500312792</v>
      </c>
      <c r="Y19" s="74">
        <f>'[7]AD ESFERA'!E19</f>
        <v>183.8669855387262</v>
      </c>
      <c r="Z19" s="38">
        <f>'[8]AD ESFERA'!B19</f>
        <v>39.323788931585497</v>
      </c>
      <c r="AA19" s="39">
        <f>'[8]AD ESFERA'!C19</f>
        <v>1.6320649497431154</v>
      </c>
      <c r="AB19" s="55">
        <f>'[8]AD ESFERA'!D19</f>
        <v>4.7404573151355356</v>
      </c>
      <c r="AC19" s="74">
        <f>'[8]AD ESFERA'!E19</f>
        <v>209.91144299633174</v>
      </c>
      <c r="AD19" s="38">
        <f>'[9]AD ESFERA'!B19</f>
        <v>41.054992727748498</v>
      </c>
      <c r="AE19" s="39">
        <f>'[9]AD ESFERA'!C19</f>
        <v>1.5092288035292361</v>
      </c>
      <c r="AF19" s="55">
        <f>'[9]AD ESFERA'!D19</f>
        <v>4.363748164758567</v>
      </c>
      <c r="AG19" s="74">
        <f>'[9]AD ESFERA'!E19</f>
        <v>216.69162747975716</v>
      </c>
      <c r="AH19" s="38">
        <f>'[10]AD ESFERA'!B19</f>
        <v>45.049586028827008</v>
      </c>
      <c r="AI19" s="39">
        <f>'[10]AD ESFERA'!C19</f>
        <v>1.448631505880823</v>
      </c>
      <c r="AJ19" s="55">
        <f>'[10]AD ESFERA'!D19</f>
        <v>4.1678392291787256</v>
      </c>
      <c r="AK19" s="74">
        <f>'[10]AD ESFERA'!E19</f>
        <v>235.20603749439545</v>
      </c>
      <c r="AL19" s="38">
        <f>'[11]AD ESFERA'!B19</f>
        <v>45.971655825740989</v>
      </c>
      <c r="AM19" s="39">
        <f>'[11]AD ESFERA'!C19</f>
        <v>1.3792714644425397</v>
      </c>
      <c r="AN19" s="55">
        <f>'[11]AD ESFERA'!D19</f>
        <v>4.1589229236724838</v>
      </c>
      <c r="AO19" s="74">
        <f>'[11]AD ESFERA'!E19</f>
        <v>237.52564372461015</v>
      </c>
      <c r="AP19" s="38">
        <f>'[12]AD ESFERA'!B19</f>
        <v>56.269971776248248</v>
      </c>
      <c r="AQ19" s="39">
        <f>'[12]AD ESFERA'!C19</f>
        <v>1.4480748155099323</v>
      </c>
      <c r="AR19" s="55">
        <f>'[12]AD ESFERA'!D19</f>
        <v>4.3574124103321479</v>
      </c>
      <c r="AS19" s="74">
        <f>'[12]AD ESFERA'!E19</f>
        <v>287.82918600483384</v>
      </c>
      <c r="AT19" s="38">
        <f>'[13]AD ESFERA'!B19</f>
        <v>62.890513167965509</v>
      </c>
      <c r="AU19" s="39">
        <f>'[13]AD ESFERA'!C19</f>
        <v>1.4370435023260197</v>
      </c>
      <c r="AV19" s="55">
        <f>'[13]AD ESFERA'!D19</f>
        <v>4.2163010892990505</v>
      </c>
      <c r="AW19" s="74">
        <f>'[13]AD ESFERA'!E19</f>
        <v>318.59910451112034</v>
      </c>
      <c r="AX19" s="38">
        <f>'[14]AD ESFERA'!B19</f>
        <v>71.65548814337015</v>
      </c>
      <c r="AY19" s="39">
        <f>'[14]AD ESFERA'!C19</f>
        <v>1.4882463122433962</v>
      </c>
      <c r="AZ19" s="55">
        <f>'[14]AD ESFERA'!D19</f>
        <v>4.3742751266468325</v>
      </c>
      <c r="BA19" s="74">
        <f>'[14]AD ESFERA'!E19</f>
        <v>359.63964420079367</v>
      </c>
      <c r="BB19" s="38">
        <f>'[15]AD ESFERA'!B19</f>
        <v>80.939922838837745</v>
      </c>
      <c r="BC19" s="39">
        <f>'[15]AD ESFERA'!C19</f>
        <v>1.5181115312035189</v>
      </c>
      <c r="BD19" s="55">
        <f>'[15]AD ESFERA'!D19</f>
        <v>4.516116622768525</v>
      </c>
      <c r="BE19" s="74">
        <f>'[15]AD ESFERA'!E19</f>
        <v>402.62065426245869</v>
      </c>
      <c r="BF19" s="38">
        <f>'[16]AD ESFERA'!B19</f>
        <v>91.357316255998612</v>
      </c>
      <c r="BG19" s="39">
        <f>'[16]AD ESFERA'!C19</f>
        <v>1.5808627662484642</v>
      </c>
      <c r="BH19" s="55">
        <f>'[16]AD ESFERA'!D19</f>
        <v>4.8088333871533129</v>
      </c>
      <c r="BI19" s="74">
        <f>'[16]AD ESFERA'!E19</f>
        <v>450.54970728647083</v>
      </c>
      <c r="BJ19" s="38">
        <f>'[17]AD ESFERA'!B19</f>
        <v>100.96842964237929</v>
      </c>
      <c r="BK19" s="39">
        <f>'[17]AD ESFERA'!C19</f>
        <v>1.6839896020719096</v>
      </c>
      <c r="BL19" s="55">
        <f>'[17]AD ESFERA'!D19</f>
        <v>5.1278232726778699</v>
      </c>
      <c r="BM19" s="74">
        <f>'[17]AD ESFERA'!E19</f>
        <v>493.85233128988153</v>
      </c>
      <c r="BN19" s="38">
        <f>'[18]AD ESFERA'!B19</f>
        <v>111.17625179317999</v>
      </c>
      <c r="BO19" s="39">
        <f>'[18]AD ESFERA'!C19</f>
        <v>1.7739367356449962</v>
      </c>
      <c r="BP19" s="55">
        <f>'[18]AD ESFERA'!D19</f>
        <v>5.3292383506438812</v>
      </c>
      <c r="BQ19" s="74">
        <f>'[18]AD ESFERA'!E19</f>
        <v>539.47728679010731</v>
      </c>
      <c r="BR19" s="38">
        <f>'[19]AD ESFERA'!B19</f>
        <v>115.64051041643</v>
      </c>
      <c r="BS19" s="39">
        <f>'[19]AD ESFERA'!C19</f>
        <v>1.7644688143652689</v>
      </c>
      <c r="BT19" s="55">
        <f>'[19]AD ESFERA'!D19</f>
        <v>5.2482652429394481</v>
      </c>
      <c r="BU19" s="74">
        <f>'[19]AD ESFERA'!E19</f>
        <v>556.87177637749085</v>
      </c>
      <c r="BV19" s="38">
        <f>'[20]AD ESFERA'!B19</f>
        <v>113.86074033890999</v>
      </c>
      <c r="BW19" s="39">
        <f>'[20]AD ESFERA'!C19</f>
        <v>1.6527482921928789</v>
      </c>
      <c r="BX19" s="55">
        <f>'[20]AD ESFERA'!D19</f>
        <v>4.7985823846051883</v>
      </c>
      <c r="BY19" s="74">
        <f>'[20]AD ESFERA'!E19</f>
        <v>546.10803592274908</v>
      </c>
      <c r="BZ19" s="38">
        <f>'[21]AD ESFERA'!B19</f>
        <v>122.63742993991909</v>
      </c>
      <c r="CA19" s="39">
        <f>'[21]AD ESFERA'!C19</f>
        <v>1.6597003076534858</v>
      </c>
      <c r="CB19" s="55">
        <f>'[21]AD ESFERA'!D19</f>
        <v>4.9115397877466203</v>
      </c>
      <c r="CC19" s="74">
        <f>'[21]AD ESFERA'!E19</f>
        <v>583.57890901395433</v>
      </c>
      <c r="CD19" s="38">
        <f>'[22]AD ESFERA'!B19</f>
        <v>124.69374166875002</v>
      </c>
      <c r="CE19" s="39">
        <f>'[22]AD ESFERA'!C19</f>
        <v>1.6386379156314062</v>
      </c>
      <c r="CF19" s="55">
        <f>'[22]AD ESFERA'!D19</f>
        <v>5.0863073691777076</v>
      </c>
      <c r="CG19" s="74">
        <f>'[22]AD ESFERA'!E19</f>
        <v>588.85662288950425</v>
      </c>
      <c r="CH19" s="38">
        <f>'[23]AD ESFERA'!B19</f>
        <v>149.25386047250998</v>
      </c>
      <c r="CI19" s="39">
        <f>'[23]AD ESFERA'!C19</f>
        <v>1.6772495714556697</v>
      </c>
      <c r="CJ19" s="55">
        <f>'[23]AD ESFERA'!D19</f>
        <v>4.8760384586603953</v>
      </c>
      <c r="CK19" s="74">
        <f>'[23]AD ESFERA'!E19</f>
        <v>699.67894437698135</v>
      </c>
      <c r="CL19" s="38">
        <f>'[24]AD ESFERA'!B19</f>
        <v>174.81162829041</v>
      </c>
      <c r="CM19" s="39">
        <f>'[24]AD ESFERA'!C19</f>
        <v>1.7342980894466251</v>
      </c>
      <c r="CN19" s="55">
        <f>'[24]AD ESFERA'!D19</f>
        <v>4.9683613871366488</v>
      </c>
      <c r="CO19" s="74">
        <f>'[24]AD ESFERA'!E19</f>
        <v>860.79858935728009</v>
      </c>
      <c r="CP19" s="38">
        <f>'[25]AD ESFERA'!B19</f>
        <v>192.54934446124497</v>
      </c>
      <c r="CQ19" s="39">
        <f>'[25]AD ESFERA'!C19</f>
        <v>1.7595110275364183</v>
      </c>
      <c r="CR19" s="55">
        <f>'[25]AD ESFERA'!D19</f>
        <v>5.0885301181070588</v>
      </c>
      <c r="CS19" s="74">
        <f>'[25]AD ESFERA'!E19</f>
        <v>926.46517410964589</v>
      </c>
      <c r="CT19" s="38">
        <f>'[26]AD ESFERA'!B19</f>
        <v>211.53229690383003</v>
      </c>
      <c r="CU19" s="39">
        <f>'[26]AD ESFERA'!C19</f>
        <v>1.8010858924118938</v>
      </c>
      <c r="CV19" s="55">
        <f>'[26]AD ESFERA'!D19</f>
        <v>5.0099757286247595</v>
      </c>
      <c r="CW19" s="74">
        <f>'[26]AD ESFERA'!E19</f>
        <v>995.05393476138238</v>
      </c>
    </row>
    <row r="20" spans="1:101" x14ac:dyDescent="0.25">
      <c r="A20" s="75"/>
      <c r="B20" s="38">
        <f>'[2]AD ESFERA'!B20</f>
        <v>0</v>
      </c>
      <c r="C20" s="39">
        <f>'[2]AD ESFERA'!C20</f>
        <v>0</v>
      </c>
      <c r="D20" s="55">
        <f>'[2]AD ESFERA'!D20</f>
        <v>0</v>
      </c>
      <c r="E20" s="74">
        <f>'[2]AD ESFERA'!E20</f>
        <v>0</v>
      </c>
      <c r="F20" s="38">
        <f>'[3]AD ESFERA'!B20</f>
        <v>0</v>
      </c>
      <c r="G20" s="39">
        <f>'[3]AD ESFERA'!C20</f>
        <v>0</v>
      </c>
      <c r="H20" s="55">
        <f>'[3]AD ESFERA'!D20</f>
        <v>0</v>
      </c>
      <c r="I20" s="74">
        <f>'[3]AD ESFERA'!E20</f>
        <v>0</v>
      </c>
      <c r="J20" s="38">
        <f>'[4]AD ESFERA'!B20</f>
        <v>0</v>
      </c>
      <c r="K20" s="39">
        <f>'[4]AD ESFERA'!C20</f>
        <v>0</v>
      </c>
      <c r="L20" s="55">
        <f>'[4]AD ESFERA'!D20</f>
        <v>0</v>
      </c>
      <c r="M20" s="74">
        <f>'[4]AD ESFERA'!E20</f>
        <v>0</v>
      </c>
      <c r="N20" s="38">
        <f>'[5]AD ESFERA'!B20</f>
        <v>0</v>
      </c>
      <c r="O20" s="39">
        <f>'[5]AD ESFERA'!C20</f>
        <v>0</v>
      </c>
      <c r="P20" s="55">
        <f>'[5]AD ESFERA'!D20</f>
        <v>0</v>
      </c>
      <c r="Q20" s="74">
        <f>'[5]AD ESFERA'!E20</f>
        <v>0</v>
      </c>
      <c r="R20" s="38">
        <f>'[6]AD ESFERA'!B20</f>
        <v>0</v>
      </c>
      <c r="S20" s="39">
        <f>'[6]AD ESFERA'!C20</f>
        <v>0</v>
      </c>
      <c r="T20" s="55">
        <f>'[6]AD ESFERA'!D20</f>
        <v>0</v>
      </c>
      <c r="U20" s="74">
        <f>'[6]AD ESFERA'!E20</f>
        <v>0</v>
      </c>
      <c r="V20" s="38">
        <f>'[7]AD ESFERA'!B20</f>
        <v>0</v>
      </c>
      <c r="W20" s="39">
        <f>'[7]AD ESFERA'!C20</f>
        <v>0</v>
      </c>
      <c r="X20" s="55">
        <f>'[7]AD ESFERA'!D20</f>
        <v>0</v>
      </c>
      <c r="Y20" s="74">
        <f>'[7]AD ESFERA'!E20</f>
        <v>0</v>
      </c>
      <c r="Z20" s="38">
        <f>'[8]AD ESFERA'!B20</f>
        <v>0</v>
      </c>
      <c r="AA20" s="39">
        <f>'[8]AD ESFERA'!C20</f>
        <v>0</v>
      </c>
      <c r="AB20" s="55">
        <f>'[8]AD ESFERA'!D20</f>
        <v>0</v>
      </c>
      <c r="AC20" s="74">
        <f>'[8]AD ESFERA'!E20</f>
        <v>0</v>
      </c>
      <c r="AD20" s="38">
        <f>'[9]AD ESFERA'!B20</f>
        <v>0</v>
      </c>
      <c r="AE20" s="39">
        <f>'[9]AD ESFERA'!C20</f>
        <v>0</v>
      </c>
      <c r="AF20" s="55">
        <f>'[9]AD ESFERA'!D20</f>
        <v>0</v>
      </c>
      <c r="AG20" s="74">
        <f>'[9]AD ESFERA'!E20</f>
        <v>0</v>
      </c>
      <c r="AH20" s="38">
        <f>'[10]AD ESFERA'!B20</f>
        <v>0</v>
      </c>
      <c r="AI20" s="39">
        <f>'[10]AD ESFERA'!C20</f>
        <v>0</v>
      </c>
      <c r="AJ20" s="55">
        <f>'[10]AD ESFERA'!D20</f>
        <v>0</v>
      </c>
      <c r="AK20" s="74">
        <f>'[10]AD ESFERA'!E20</f>
        <v>0</v>
      </c>
      <c r="AL20" s="38">
        <f>'[11]AD ESFERA'!B20</f>
        <v>0</v>
      </c>
      <c r="AM20" s="39">
        <f>'[11]AD ESFERA'!C20</f>
        <v>0</v>
      </c>
      <c r="AN20" s="55">
        <f>'[11]AD ESFERA'!D20</f>
        <v>0</v>
      </c>
      <c r="AO20" s="74">
        <f>'[11]AD ESFERA'!E20</f>
        <v>0</v>
      </c>
      <c r="AP20" s="38">
        <f>'[12]AD ESFERA'!B20</f>
        <v>0</v>
      </c>
      <c r="AQ20" s="39">
        <f>'[12]AD ESFERA'!C20</f>
        <v>0</v>
      </c>
      <c r="AR20" s="55">
        <f>'[12]AD ESFERA'!D20</f>
        <v>0</v>
      </c>
      <c r="AS20" s="74">
        <f>'[12]AD ESFERA'!E20</f>
        <v>0</v>
      </c>
      <c r="AT20" s="38">
        <f>'[13]AD ESFERA'!B20</f>
        <v>0</v>
      </c>
      <c r="AU20" s="39">
        <f>'[13]AD ESFERA'!C20</f>
        <v>0</v>
      </c>
      <c r="AV20" s="55">
        <f>'[13]AD ESFERA'!D20</f>
        <v>0</v>
      </c>
      <c r="AW20" s="74">
        <f>'[13]AD ESFERA'!E20</f>
        <v>0</v>
      </c>
      <c r="AX20" s="38">
        <f>'[14]AD ESFERA'!B20</f>
        <v>0</v>
      </c>
      <c r="AY20" s="39">
        <f>'[14]AD ESFERA'!C20</f>
        <v>0</v>
      </c>
      <c r="AZ20" s="55">
        <f>'[14]AD ESFERA'!D20</f>
        <v>0</v>
      </c>
      <c r="BA20" s="74">
        <f>'[14]AD ESFERA'!E20</f>
        <v>0</v>
      </c>
      <c r="BB20" s="38">
        <f>'[15]AD ESFERA'!B20</f>
        <v>0</v>
      </c>
      <c r="BC20" s="39">
        <f>'[15]AD ESFERA'!C20</f>
        <v>0</v>
      </c>
      <c r="BD20" s="55">
        <f>'[15]AD ESFERA'!D20</f>
        <v>0</v>
      </c>
      <c r="BE20" s="74">
        <f>'[15]AD ESFERA'!E20</f>
        <v>0</v>
      </c>
      <c r="BF20" s="38">
        <f>'[16]AD ESFERA'!B20</f>
        <v>0</v>
      </c>
      <c r="BG20" s="39">
        <f>'[16]AD ESFERA'!C20</f>
        <v>0</v>
      </c>
      <c r="BH20" s="55">
        <f>'[16]AD ESFERA'!D20</f>
        <v>0</v>
      </c>
      <c r="BI20" s="74">
        <f>'[16]AD ESFERA'!E20</f>
        <v>0</v>
      </c>
      <c r="BJ20" s="38">
        <f>'[17]AD ESFERA'!B20</f>
        <v>0</v>
      </c>
      <c r="BK20" s="39">
        <f>'[17]AD ESFERA'!C20</f>
        <v>0</v>
      </c>
      <c r="BL20" s="55">
        <f>'[17]AD ESFERA'!D20</f>
        <v>0</v>
      </c>
      <c r="BM20" s="74">
        <f>'[17]AD ESFERA'!E20</f>
        <v>0</v>
      </c>
      <c r="BN20" s="38">
        <f>'[18]AD ESFERA'!B20</f>
        <v>0</v>
      </c>
      <c r="BO20" s="39">
        <f>'[18]AD ESFERA'!C20</f>
        <v>0</v>
      </c>
      <c r="BP20" s="55">
        <f>'[18]AD ESFERA'!D20</f>
        <v>0</v>
      </c>
      <c r="BQ20" s="74">
        <f>'[18]AD ESFERA'!E20</f>
        <v>0</v>
      </c>
      <c r="BR20" s="38">
        <f>'[19]AD ESFERA'!B20</f>
        <v>0</v>
      </c>
      <c r="BS20" s="39">
        <f>'[19]AD ESFERA'!C20</f>
        <v>0</v>
      </c>
      <c r="BT20" s="55">
        <f>'[19]AD ESFERA'!D20</f>
        <v>0</v>
      </c>
      <c r="BU20" s="74">
        <f>'[19]AD ESFERA'!E20</f>
        <v>0</v>
      </c>
      <c r="BV20" s="38">
        <f>'[20]AD ESFERA'!B20</f>
        <v>0</v>
      </c>
      <c r="BW20" s="39">
        <f>'[20]AD ESFERA'!C20</f>
        <v>0</v>
      </c>
      <c r="BX20" s="55">
        <f>'[20]AD ESFERA'!D20</f>
        <v>0</v>
      </c>
      <c r="BY20" s="74">
        <f>'[20]AD ESFERA'!E20</f>
        <v>0</v>
      </c>
      <c r="BZ20" s="38">
        <f>'[21]AD ESFERA'!B20</f>
        <v>0</v>
      </c>
      <c r="CA20" s="39">
        <f>'[21]AD ESFERA'!C20</f>
        <v>0</v>
      </c>
      <c r="CB20" s="55">
        <f>'[21]AD ESFERA'!D20</f>
        <v>0</v>
      </c>
      <c r="CC20" s="74">
        <f>'[21]AD ESFERA'!E20</f>
        <v>0</v>
      </c>
      <c r="CD20" s="38">
        <f>'[22]AD ESFERA'!B20</f>
        <v>0</v>
      </c>
      <c r="CE20" s="39">
        <f>'[22]AD ESFERA'!C20</f>
        <v>0</v>
      </c>
      <c r="CF20" s="55">
        <f>'[22]AD ESFERA'!D20</f>
        <v>0</v>
      </c>
      <c r="CG20" s="74">
        <f>'[22]AD ESFERA'!E20</f>
        <v>0</v>
      </c>
      <c r="CH20" s="38">
        <f>'[23]AD ESFERA'!B20</f>
        <v>0</v>
      </c>
      <c r="CI20" s="39">
        <f>'[23]AD ESFERA'!C20</f>
        <v>0</v>
      </c>
      <c r="CJ20" s="55">
        <f>'[23]AD ESFERA'!D20</f>
        <v>0</v>
      </c>
      <c r="CK20" s="74">
        <f>'[23]AD ESFERA'!E20</f>
        <v>0</v>
      </c>
      <c r="CL20" s="38">
        <f>'[24]AD ESFERA'!B20</f>
        <v>0</v>
      </c>
      <c r="CM20" s="39">
        <f>'[24]AD ESFERA'!C20</f>
        <v>0</v>
      </c>
      <c r="CN20" s="55">
        <f>'[24]AD ESFERA'!D20</f>
        <v>0</v>
      </c>
      <c r="CO20" s="74">
        <f>'[24]AD ESFERA'!E20</f>
        <v>0</v>
      </c>
      <c r="CP20" s="38">
        <f>'[25]AD ESFERA'!B20</f>
        <v>0</v>
      </c>
      <c r="CQ20" s="39">
        <f>'[25]AD ESFERA'!C20</f>
        <v>0</v>
      </c>
      <c r="CR20" s="55">
        <f>'[25]AD ESFERA'!D20</f>
        <v>0</v>
      </c>
      <c r="CS20" s="74">
        <f>'[25]AD ESFERA'!E20</f>
        <v>0</v>
      </c>
      <c r="CT20" s="38">
        <f>'[26]AD ESFERA'!B20</f>
        <v>0</v>
      </c>
      <c r="CU20" s="39">
        <f>'[26]AD ESFERA'!C20</f>
        <v>0</v>
      </c>
      <c r="CV20" s="55">
        <f>'[26]AD ESFERA'!D20</f>
        <v>0</v>
      </c>
      <c r="CW20" s="74">
        <f>'[26]AD ESFERA'!E20</f>
        <v>0</v>
      </c>
    </row>
    <row r="21" spans="1:101" s="9" customFormat="1" ht="11.4" x14ac:dyDescent="0.25">
      <c r="A21" s="73" t="s">
        <v>11</v>
      </c>
      <c r="B21" s="33">
        <f>'[2]AD ESFERA'!B21</f>
        <v>20.860392247528502</v>
      </c>
      <c r="C21" s="34">
        <f>'[2]AD ESFERA'!C21</f>
        <v>1.7349291032739305</v>
      </c>
      <c r="D21" s="35">
        <f>'[2]AD ESFERA'!D21</f>
        <v>5.6771445994330243</v>
      </c>
      <c r="E21" s="22">
        <f>'[2]AD ESFERA'!E21</f>
        <v>120.26861442384987</v>
      </c>
      <c r="F21" s="33">
        <f>'[3]AD ESFERA'!B21</f>
        <v>23.06374898017868</v>
      </c>
      <c r="G21" s="34">
        <f>'[3]AD ESFERA'!C21</f>
        <v>1.7528908482338035</v>
      </c>
      <c r="H21" s="35">
        <f>'[3]AD ESFERA'!D21</f>
        <v>5.4699236497013448</v>
      </c>
      <c r="I21" s="22">
        <f>'[3]AD ESFERA'!E21</f>
        <v>132.97185883904987</v>
      </c>
      <c r="J21" s="33">
        <f>'[4]AD ESFERA'!B21</f>
        <v>27.088906001189997</v>
      </c>
      <c r="K21" s="34">
        <f>'[4]AD ESFERA'!C21</f>
        <v>1.8195286499136545</v>
      </c>
      <c r="L21" s="35">
        <f>'[4]AD ESFERA'!D21</f>
        <v>5.467813770897533</v>
      </c>
      <c r="M21" s="22">
        <f>'[4]AD ESFERA'!E21</f>
        <v>151.94914936221858</v>
      </c>
      <c r="N21" s="33">
        <f>'[5]AD ESFERA'!B21</f>
        <v>32.428329257145002</v>
      </c>
      <c r="O21" s="34">
        <f>'[5]AD ESFERA'!C21</f>
        <v>1.8876177570444428</v>
      </c>
      <c r="P21" s="35">
        <f>'[5]AD ESFERA'!D21</f>
        <v>5.7906193468839149</v>
      </c>
      <c r="Q21" s="22">
        <f>'[5]AD ESFERA'!E21</f>
        <v>179.53985941036206</v>
      </c>
      <c r="R21" s="33">
        <f>'[6]AD ESFERA'!B21</f>
        <v>38.533640203225502</v>
      </c>
      <c r="S21" s="34">
        <f>'[6]AD ESFERA'!C21</f>
        <v>1.9682605297213742</v>
      </c>
      <c r="T21" s="35">
        <f>'[6]AD ESFERA'!D21</f>
        <v>5.8539258794526603</v>
      </c>
      <c r="U21" s="22">
        <f>'[6]AD ESFERA'!E21</f>
        <v>210.66823541391636</v>
      </c>
      <c r="V21" s="33">
        <f>'[7]AD ESFERA'!B21</f>
        <v>41.602175914820002</v>
      </c>
      <c r="W21" s="34">
        <f>'[7]AD ESFERA'!C21</f>
        <v>1.9166342674818075</v>
      </c>
      <c r="X21" s="35">
        <f>'[7]AD ESFERA'!D21</f>
        <v>5.5161817084253233</v>
      </c>
      <c r="Y21" s="22">
        <f>'[7]AD ESFERA'!E21</f>
        <v>224.69346374230744</v>
      </c>
      <c r="Z21" s="33">
        <f>'[8]AD ESFERA'!B21</f>
        <v>47.884981067289992</v>
      </c>
      <c r="AA21" s="34">
        <f>'[8]AD ESFERA'!C21</f>
        <v>1.987382226951794</v>
      </c>
      <c r="AB21" s="35">
        <f>'[8]AD ESFERA'!D21</f>
        <v>5.7725034884223509</v>
      </c>
      <c r="AC21" s="22">
        <f>'[8]AD ESFERA'!E21</f>
        <v>255.6113168844027</v>
      </c>
      <c r="AD21" s="33">
        <f>'[9]AD ESFERA'!B21</f>
        <v>55.345338984229997</v>
      </c>
      <c r="AE21" s="34">
        <f>'[9]AD ESFERA'!C21</f>
        <v>2.0345583858704104</v>
      </c>
      <c r="AF21" s="35">
        <f>'[9]AD ESFERA'!D21</f>
        <v>5.8826735891037929</v>
      </c>
      <c r="AG21" s="22">
        <f>'[9]AD ESFERA'!E21</f>
        <v>292.11725008553788</v>
      </c>
      <c r="AH21" s="33">
        <f>'[10]AD ESFERA'!B21</f>
        <v>63.16804630819</v>
      </c>
      <c r="AI21" s="34">
        <f>'[10]AD ESFERA'!C21</f>
        <v>2.0312555588952099</v>
      </c>
      <c r="AJ21" s="35">
        <f>'[10]AD ESFERA'!D21</f>
        <v>5.8440994611001482</v>
      </c>
      <c r="AK21" s="22">
        <f>'[10]AD ESFERA'!E21</f>
        <v>329.80338285249945</v>
      </c>
      <c r="AL21" s="33">
        <f>'[11]AD ESFERA'!B21</f>
        <v>68.15749959947</v>
      </c>
      <c r="AM21" s="34">
        <f>'[11]AD ESFERA'!C21</f>
        <v>2.0449055531444422</v>
      </c>
      <c r="AN21" s="35">
        <f>'[11]AD ESFERA'!D21</f>
        <v>6.1660121310164921</v>
      </c>
      <c r="AO21" s="22">
        <f>'[11]AD ESFERA'!E21</f>
        <v>352.15511985015667</v>
      </c>
      <c r="AP21" s="33">
        <f>'[12]AD ESFERA'!B21</f>
        <v>80.331811431039995</v>
      </c>
      <c r="AQ21" s="34">
        <f>'[12]AD ESFERA'!C21</f>
        <v>2.0672921870325824</v>
      </c>
      <c r="AR21" s="35">
        <f>'[12]AD ESFERA'!D21</f>
        <v>6.2207038856527062</v>
      </c>
      <c r="AS21" s="22">
        <f>'[12]AD ESFERA'!E21</f>
        <v>410.90903664269933</v>
      </c>
      <c r="AT21" s="33">
        <f>'[13]AD ESFERA'!B21</f>
        <v>93.388072100560009</v>
      </c>
      <c r="AU21" s="34">
        <f>'[13]AD ESFERA'!C21</f>
        <v>2.1339104333342021</v>
      </c>
      <c r="AV21" s="35">
        <f>'[13]AD ESFERA'!D21</f>
        <v>6.2609161587457791</v>
      </c>
      <c r="AW21" s="22">
        <f>'[13]AD ESFERA'!E21</f>
        <v>473.09768428497745</v>
      </c>
      <c r="AX21" s="33">
        <f>'[14]AD ESFERA'!B21</f>
        <v>105.20004810382001</v>
      </c>
      <c r="AY21" s="34">
        <f>'[14]AD ESFERA'!C21</f>
        <v>2.1849489508058553</v>
      </c>
      <c r="AZ21" s="35">
        <f>'[14]AD ESFERA'!D21</f>
        <v>6.4220336176045887</v>
      </c>
      <c r="BA21" s="22">
        <f>'[14]AD ESFERA'!E21</f>
        <v>528.00014137458311</v>
      </c>
      <c r="BB21" s="33">
        <f>'[15]AD ESFERA'!B21</f>
        <v>116.72587840607997</v>
      </c>
      <c r="BC21" s="34">
        <f>'[15]AD ESFERA'!C21</f>
        <v>2.1893139477160686</v>
      </c>
      <c r="BD21" s="35">
        <f>'[15]AD ESFERA'!D21</f>
        <v>6.5128265667682577</v>
      </c>
      <c r="BE21" s="22">
        <f>'[15]AD ESFERA'!E21</f>
        <v>580.63126186556872</v>
      </c>
      <c r="BF21" s="33">
        <f>'[16]AD ESFERA'!B21</f>
        <v>129.709663333252</v>
      </c>
      <c r="BG21" s="34">
        <f>'[16]AD ESFERA'!C21</f>
        <v>2.2445183986312398</v>
      </c>
      <c r="BH21" s="35">
        <f>'[16]AD ESFERA'!D21</f>
        <v>6.8276103681231088</v>
      </c>
      <c r="BI21" s="22">
        <f>'[16]AD ESFERA'!E21</f>
        <v>639.69316571496915</v>
      </c>
      <c r="BJ21" s="33">
        <f>'[17]AD ESFERA'!B21</f>
        <v>142.04253725312984</v>
      </c>
      <c r="BK21" s="34">
        <f>'[17]AD ESFERA'!C21</f>
        <v>2.3690390811603188</v>
      </c>
      <c r="BL21" s="35">
        <f>'[17]AD ESFERA'!D21</f>
        <v>7.2138294199149904</v>
      </c>
      <c r="BM21" s="22">
        <f>'[17]AD ESFERA'!E21</f>
        <v>694.75219544609922</v>
      </c>
      <c r="BN21" s="33">
        <f>'[18]AD ESFERA'!B21</f>
        <v>150.79234265234803</v>
      </c>
      <c r="BO21" s="34">
        <f>'[18]AD ESFERA'!C21</f>
        <v>2.4060540967201174</v>
      </c>
      <c r="BP21" s="35">
        <f>'[18]AD ESFERA'!D21</f>
        <v>7.2282373482177684</v>
      </c>
      <c r="BQ21" s="22">
        <f>'[18]AD ESFERA'!E21</f>
        <v>731.7124167321781</v>
      </c>
      <c r="BR21" s="33">
        <f>'[19]AD ESFERA'!B21</f>
        <v>163.75806878822408</v>
      </c>
      <c r="BS21" s="34">
        <f>'[19]AD ESFERA'!C21</f>
        <v>2.4986572995655938</v>
      </c>
      <c r="BT21" s="35">
        <f>'[19]AD ESFERA'!D21</f>
        <v>7.4320476239442055</v>
      </c>
      <c r="BU21" s="22">
        <f>'[19]AD ESFERA'!E21</f>
        <v>788.58391694965451</v>
      </c>
      <c r="BV21" s="33">
        <f>'[20]AD ESFERA'!B21</f>
        <v>172.03456962870152</v>
      </c>
      <c r="BW21" s="34">
        <f>'[20]AD ESFERA'!C21</f>
        <v>2.4971718988095186</v>
      </c>
      <c r="BX21" s="35">
        <f>'[20]AD ESFERA'!D21</f>
        <v>7.2502783040601191</v>
      </c>
      <c r="BY21" s="22">
        <f>'[20]AD ESFERA'!E21</f>
        <v>825.12603247706068</v>
      </c>
      <c r="BZ21" s="33">
        <f>'[21]AD ESFERA'!B21</f>
        <v>191.52298348589721</v>
      </c>
      <c r="CA21" s="34">
        <f>'[21]AD ESFERA'!C21</f>
        <v>2.5919554476148443</v>
      </c>
      <c r="CB21" s="35">
        <f>'[21]AD ESFERA'!D21</f>
        <v>7.6703560578508947</v>
      </c>
      <c r="CC21" s="22">
        <f>'[21]AD ESFERA'!E21</f>
        <v>911.37570159904499</v>
      </c>
      <c r="CD21" s="33">
        <f>'[22]AD ESFERA'!B21</f>
        <v>197.68339647978365</v>
      </c>
      <c r="CE21" s="34">
        <f>'[22]AD ESFERA'!C21</f>
        <v>2.5978168946369129</v>
      </c>
      <c r="CF21" s="35">
        <f>'[22]AD ESFERA'!D21</f>
        <v>8.0635844495729732</v>
      </c>
      <c r="CG21" s="22">
        <f>'[22]AD ESFERA'!E21</f>
        <v>933.54466466848817</v>
      </c>
      <c r="CH21" s="33">
        <f>'[23]AD ESFERA'!B21</f>
        <v>240.57754478643997</v>
      </c>
      <c r="CI21" s="34">
        <f>'[23]AD ESFERA'!C21</f>
        <v>2.7035051731156594</v>
      </c>
      <c r="CJ21" s="35">
        <f>'[23]AD ESFERA'!D21</f>
        <v>7.8595311166831348</v>
      </c>
      <c r="CK21" s="22">
        <f>'[23]AD ESFERA'!E21</f>
        <v>1127.7902095402433</v>
      </c>
      <c r="CL21" s="33">
        <f>'[24]AD ESFERA'!B21</f>
        <v>275.58647320952895</v>
      </c>
      <c r="CM21" s="34">
        <f>'[24]AD ESFERA'!C21</f>
        <v>2.7340806709414962</v>
      </c>
      <c r="CN21" s="35">
        <f>'[24]AD ESFERA'!D21</f>
        <v>7.8325063710107088</v>
      </c>
      <c r="CO21" s="22">
        <f>'[24]AD ESFERA'!E21</f>
        <v>1357.0289900315761</v>
      </c>
      <c r="CP21" s="33">
        <f>'[25]AD ESFERA'!B21</f>
        <v>318.12355331052999</v>
      </c>
      <c r="CQ21" s="34">
        <f>'[25]AD ESFERA'!C21</f>
        <v>2.9070049640268096</v>
      </c>
      <c r="CR21" s="35">
        <f>'[25]AD ESFERA'!D21</f>
        <v>8.4070983821276304</v>
      </c>
      <c r="CS21" s="22">
        <f>'[25]AD ESFERA'!E21</f>
        <v>1530.6746124266381</v>
      </c>
      <c r="CT21" s="33">
        <f>'[26]AD ESFERA'!B21</f>
        <v>359.79668745838615</v>
      </c>
      <c r="CU21" s="34">
        <f>'[26]AD ESFERA'!C21</f>
        <v>3.0634789457821912</v>
      </c>
      <c r="CV21" s="35">
        <f>'[26]AD ESFERA'!D21</f>
        <v>8.5215009612721957</v>
      </c>
      <c r="CW21" s="22">
        <f>'[26]AD ESFERA'!E21</f>
        <v>1692.4938404670449</v>
      </c>
    </row>
    <row r="22" spans="1:101" x14ac:dyDescent="0.25">
      <c r="A22" s="75" t="s">
        <v>12</v>
      </c>
      <c r="B22" s="38">
        <f>'[2]AD ESFERA'!B22</f>
        <v>6.7093918960699988</v>
      </c>
      <c r="C22" s="39">
        <f>'[2]AD ESFERA'!C22</f>
        <v>0.55801056507656144</v>
      </c>
      <c r="D22" s="55">
        <f>'[2]AD ESFERA'!D22</f>
        <v>1.8259574180713858</v>
      </c>
      <c r="E22" s="74">
        <f>'[2]AD ESFERA'!E22</f>
        <v>38.682363082724343</v>
      </c>
      <c r="F22" s="38">
        <f>'[3]AD ESFERA'!B22</f>
        <v>7.4459304488406808</v>
      </c>
      <c r="G22" s="39">
        <f>'[3]AD ESFERA'!C22</f>
        <v>0.56590554083706168</v>
      </c>
      <c r="H22" s="55">
        <f>'[3]AD ESFERA'!D22</f>
        <v>1.7659172015420306</v>
      </c>
      <c r="I22" s="74">
        <f>'[3]AD ESFERA'!E22</f>
        <v>42.928806302025393</v>
      </c>
      <c r="J22" s="38">
        <f>'[4]AD ESFERA'!B22</f>
        <v>8.4952964499300005</v>
      </c>
      <c r="K22" s="39">
        <f>'[4]AD ESFERA'!C22</f>
        <v>0.57061866136190065</v>
      </c>
      <c r="L22" s="55">
        <f>'[4]AD ESFERA'!D22</f>
        <v>1.7147499022198835</v>
      </c>
      <c r="M22" s="74">
        <f>'[4]AD ESFERA'!E22</f>
        <v>47.652462195779798</v>
      </c>
      <c r="N22" s="38">
        <f>'[5]AD ESFERA'!B22</f>
        <v>9.6740002598550028</v>
      </c>
      <c r="O22" s="39">
        <f>'[5]AD ESFERA'!C22</f>
        <v>0.56311302772810634</v>
      </c>
      <c r="P22" s="55">
        <f>'[5]AD ESFERA'!D22</f>
        <v>1.7274541843420359</v>
      </c>
      <c r="Q22" s="74">
        <f>'[5]AD ESFERA'!E22</f>
        <v>53.560226085575636</v>
      </c>
      <c r="R22" s="38">
        <f>'[6]AD ESFERA'!B22</f>
        <v>11.681605275100001</v>
      </c>
      <c r="S22" s="39">
        <f>'[6]AD ESFERA'!C22</f>
        <v>0.59668493465716532</v>
      </c>
      <c r="T22" s="55">
        <f>'[6]AD ESFERA'!D22</f>
        <v>1.7746377210356192</v>
      </c>
      <c r="U22" s="74">
        <f>'[6]AD ESFERA'!E22</f>
        <v>63.864798579325971</v>
      </c>
      <c r="V22" s="38">
        <f>'[7]AD ESFERA'!B22</f>
        <v>14.04991844339</v>
      </c>
      <c r="W22" s="39">
        <f>'[7]AD ESFERA'!C22</f>
        <v>0.64728718034032295</v>
      </c>
      <c r="X22" s="55">
        <f>'[7]AD ESFERA'!D22</f>
        <v>1.8629290756565184</v>
      </c>
      <c r="Y22" s="74">
        <f>'[7]AD ESFERA'!E22</f>
        <v>75.883647211290025</v>
      </c>
      <c r="Z22" s="38">
        <f>'[8]AD ESFERA'!B22</f>
        <v>16.916468680179996</v>
      </c>
      <c r="AA22" s="39">
        <f>'[8]AD ESFERA'!C22</f>
        <v>0.70208838864388123</v>
      </c>
      <c r="AB22" s="55">
        <f>'[8]AD ESFERA'!D22</f>
        <v>2.0392693552682846</v>
      </c>
      <c r="AC22" s="74">
        <f>'[8]AD ESFERA'!E22</f>
        <v>90.300564811714935</v>
      </c>
      <c r="AD22" s="38">
        <f>'[9]AD ESFERA'!B22</f>
        <v>19.740562864659999</v>
      </c>
      <c r="AE22" s="39">
        <f>'[9]AD ESFERA'!C22</f>
        <v>0.7256858202556149</v>
      </c>
      <c r="AF22" s="55">
        <f>'[9]AD ESFERA'!D22</f>
        <v>2.0982306718017858</v>
      </c>
      <c r="AG22" s="74">
        <f>'[9]AD ESFERA'!E22</f>
        <v>104.1923140231968</v>
      </c>
      <c r="AH22" s="38">
        <f>'[10]AD ESFERA'!B22</f>
        <v>23.82135202213</v>
      </c>
      <c r="AI22" s="39">
        <f>'[10]AD ESFERA'!C22</f>
        <v>0.7660083941693413</v>
      </c>
      <c r="AJ22" s="55">
        <f>'[10]AD ESFERA'!D22</f>
        <v>2.203872980905492</v>
      </c>
      <c r="AK22" s="74">
        <f>'[10]AD ESFERA'!E22</f>
        <v>124.37241517156266</v>
      </c>
      <c r="AL22" s="38">
        <f>'[11]AD ESFERA'!B22</f>
        <v>26.190433288040001</v>
      </c>
      <c r="AM22" s="39">
        <f>'[11]AD ESFERA'!C22</f>
        <v>0.78578238322563887</v>
      </c>
      <c r="AN22" s="55">
        <f>'[11]AD ESFERA'!D22</f>
        <v>2.3693728543394013</v>
      </c>
      <c r="AO22" s="74">
        <f>'[11]AD ESFERA'!E22</f>
        <v>135.32032758943782</v>
      </c>
      <c r="AP22" s="38">
        <f>'[12]AD ESFERA'!B22</f>
        <v>31.407240443990002</v>
      </c>
      <c r="AQ22" s="39">
        <f>'[12]AD ESFERA'!C22</f>
        <v>0.80824696505009064</v>
      </c>
      <c r="AR22" s="55">
        <f>'[12]AD ESFERA'!D22</f>
        <v>2.4321017936371963</v>
      </c>
      <c r="AS22" s="74">
        <f>'[12]AD ESFERA'!E22</f>
        <v>160.65265658205857</v>
      </c>
      <c r="AT22" s="38">
        <f>'[13]AD ESFERA'!B22</f>
        <v>36.656296818840005</v>
      </c>
      <c r="AU22" s="39">
        <f>'[13]AD ESFERA'!C22</f>
        <v>0.83759362914023527</v>
      </c>
      <c r="AV22" s="55">
        <f>'[13]AD ESFERA'!D22</f>
        <v>2.4575087150929704</v>
      </c>
      <c r="AW22" s="74">
        <f>'[13]AD ESFERA'!E22</f>
        <v>185.69833116141604</v>
      </c>
      <c r="AX22" s="38">
        <f>'[14]AD ESFERA'!B22</f>
        <v>42.316509592660005</v>
      </c>
      <c r="AY22" s="39">
        <f>'[14]AD ESFERA'!C22</f>
        <v>0.8788913589184093</v>
      </c>
      <c r="AZ22" s="55">
        <f>'[14]AD ESFERA'!D22</f>
        <v>2.5832502178664081</v>
      </c>
      <c r="BA22" s="74">
        <f>'[14]AD ESFERA'!E22</f>
        <v>212.38700409483999</v>
      </c>
      <c r="BB22" s="38">
        <f>'[15]AD ESFERA'!B22</f>
        <v>45.783504649339996</v>
      </c>
      <c r="BC22" s="39">
        <f>'[15]AD ESFERA'!C22</f>
        <v>0.85871673593593234</v>
      </c>
      <c r="BD22" s="55">
        <f>'[15]AD ESFERA'!D22</f>
        <v>2.5545322894263016</v>
      </c>
      <c r="BE22" s="74">
        <f>'[15]AD ESFERA'!E22</f>
        <v>227.74156374041686</v>
      </c>
      <c r="BF22" s="38">
        <f>'[16]AD ESFERA'!B22</f>
        <v>50.493151794877214</v>
      </c>
      <c r="BG22" s="39">
        <f>'[16]AD ESFERA'!C22</f>
        <v>0.87374221238479022</v>
      </c>
      <c r="BH22" s="55">
        <f>'[16]AD ESFERA'!D22</f>
        <v>2.6578402707606066</v>
      </c>
      <c r="BI22" s="74">
        <f>'[16]AD ESFERA'!E22</f>
        <v>249.01864123728024</v>
      </c>
      <c r="BJ22" s="38">
        <f>'[17]AD ESFERA'!B22</f>
        <v>54.074215310498822</v>
      </c>
      <c r="BK22" s="39">
        <f>'[17]AD ESFERA'!C22</f>
        <v>0.90187018502323091</v>
      </c>
      <c r="BL22" s="55">
        <f>'[17]AD ESFERA'!D22</f>
        <v>2.7462348449221241</v>
      </c>
      <c r="BM22" s="74">
        <f>'[17]AD ESFERA'!E22</f>
        <v>264.48541775232428</v>
      </c>
      <c r="BN22" s="38">
        <f>'[18]AD ESFERA'!B22</f>
        <v>53.986153537223601</v>
      </c>
      <c r="BO22" s="39">
        <f>'[18]AD ESFERA'!C22</f>
        <v>0.86140717492444552</v>
      </c>
      <c r="BP22" s="55">
        <f>'[18]AD ESFERA'!D22</f>
        <v>2.5878285622502868</v>
      </c>
      <c r="BQ22" s="74">
        <f>'[18]AD ESFERA'!E22</f>
        <v>261.96515141268816</v>
      </c>
      <c r="BR22" s="38">
        <f>'[19]AD ESFERA'!B22</f>
        <v>56.279560322004087</v>
      </c>
      <c r="BS22" s="39">
        <f>'[19]AD ESFERA'!C22</f>
        <v>0.85872613945377663</v>
      </c>
      <c r="BT22" s="55">
        <f>'[19]AD ESFERA'!D22</f>
        <v>2.554209240881407</v>
      </c>
      <c r="BU22" s="74">
        <f>'[19]AD ESFERA'!E22</f>
        <v>271.01660670122538</v>
      </c>
      <c r="BV22" s="38">
        <f>'[20]AD ESFERA'!B22</f>
        <v>63.776391482763628</v>
      </c>
      <c r="BW22" s="39">
        <f>'[20]AD ESFERA'!C22</f>
        <v>0.92574773176089431</v>
      </c>
      <c r="BX22" s="55">
        <f>'[20]AD ESFERA'!D22</f>
        <v>2.6878120396191667</v>
      </c>
      <c r="BY22" s="74">
        <f>'[20]AD ESFERA'!E22</f>
        <v>305.88945572656036</v>
      </c>
      <c r="BZ22" s="38">
        <f>'[21]AD ESFERA'!B22</f>
        <v>71.31485364559488</v>
      </c>
      <c r="CA22" s="39">
        <f>'[21]AD ESFERA'!C22</f>
        <v>0.96513180840338175</v>
      </c>
      <c r="CB22" s="55">
        <f>'[21]AD ESFERA'!D22</f>
        <v>2.8561079705377383</v>
      </c>
      <c r="CC22" s="74">
        <f>'[21]AD ESFERA'!E22</f>
        <v>339.3567894188173</v>
      </c>
      <c r="CD22" s="38">
        <f>'[22]AD ESFERA'!B22</f>
        <v>71.841188200757529</v>
      </c>
      <c r="CE22" s="39">
        <f>'[22]AD ESFERA'!C22</f>
        <v>0.94408663429558137</v>
      </c>
      <c r="CF22" s="55">
        <f>'[22]AD ESFERA'!D22</f>
        <v>2.9304306701029206</v>
      </c>
      <c r="CG22" s="74">
        <f>'[22]AD ESFERA'!E22</f>
        <v>339.26449637423451</v>
      </c>
      <c r="CH22" s="38">
        <f>'[23]AD ESFERA'!B22</f>
        <v>90.520455889977896</v>
      </c>
      <c r="CI22" s="39">
        <f>'[23]AD ESFERA'!C22</f>
        <v>1.0172292721192355</v>
      </c>
      <c r="CJ22" s="55">
        <f>'[23]AD ESFERA'!D22</f>
        <v>2.9572516437274938</v>
      </c>
      <c r="CK22" s="74">
        <f>'[23]AD ESFERA'!E22</f>
        <v>424.34585491534477</v>
      </c>
      <c r="CL22" s="38">
        <f>'[24]AD ESFERA'!B22</f>
        <v>109.34861963538836</v>
      </c>
      <c r="CM22" s="39">
        <f>'[24]AD ESFERA'!C22</f>
        <v>1.0848426044189154</v>
      </c>
      <c r="CN22" s="55">
        <f>'[24]AD ESFERA'!D22</f>
        <v>3.1078222017966288</v>
      </c>
      <c r="CO22" s="74">
        <f>'[24]AD ESFERA'!E22</f>
        <v>538.44894902493058</v>
      </c>
      <c r="CP22" s="38">
        <f>'[25]AD ESFERA'!B22</f>
        <v>123.44516212376996</v>
      </c>
      <c r="CQ22" s="39">
        <f>'[25]AD ESFERA'!C22</f>
        <v>1.1280387614952976</v>
      </c>
      <c r="CR22" s="55">
        <f>'[25]AD ESFERA'!D22</f>
        <v>3.2623036300590615</v>
      </c>
      <c r="CS22" s="74">
        <f>'[25]AD ESFERA'!E22</f>
        <v>593.96537516133242</v>
      </c>
      <c r="CT22" s="38">
        <f>'[26]AD ESFERA'!B22</f>
        <v>142.63379301107994</v>
      </c>
      <c r="CU22" s="39">
        <f>'[26]AD ESFERA'!C22</f>
        <v>1.2144514862912306</v>
      </c>
      <c r="CV22" s="55">
        <f>'[26]AD ESFERA'!D22</f>
        <v>3.3781689677017819</v>
      </c>
      <c r="CW22" s="74">
        <f>'[26]AD ESFERA'!E22</f>
        <v>670.95341488274596</v>
      </c>
    </row>
    <row r="23" spans="1:101" x14ac:dyDescent="0.25">
      <c r="A23" s="75" t="s">
        <v>13</v>
      </c>
      <c r="B23" s="38">
        <f>'[2]AD ESFERA'!B23</f>
        <v>5.5586584232500007</v>
      </c>
      <c r="C23" s="39">
        <f>'[2]AD ESFERA'!C23</f>
        <v>0.46230570160049578</v>
      </c>
      <c r="D23" s="55">
        <f>'[2]AD ESFERA'!D23</f>
        <v>1.5127859185574752</v>
      </c>
      <c r="E23" s="74">
        <f>'[2]AD ESFERA'!E23</f>
        <v>32.047918307909384</v>
      </c>
      <c r="F23" s="38">
        <f>'[3]AD ESFERA'!B23</f>
        <v>5.9793952914693929</v>
      </c>
      <c r="G23" s="39">
        <f>'[3]AD ESFERA'!C23</f>
        <v>0.45444594863552806</v>
      </c>
      <c r="H23" s="55">
        <f>'[3]AD ESFERA'!D23</f>
        <v>1.4181057790661016</v>
      </c>
      <c r="I23" s="74">
        <f>'[3]AD ESFERA'!E23</f>
        <v>34.473636845573566</v>
      </c>
      <c r="J23" s="38">
        <f>'[4]AD ESFERA'!B23</f>
        <v>6.9639611940499995</v>
      </c>
      <c r="K23" s="39">
        <f>'[4]AD ESFERA'!C23</f>
        <v>0.46776074710821625</v>
      </c>
      <c r="L23" s="55">
        <f>'[4]AD ESFERA'!D23</f>
        <v>1.4056545109333645</v>
      </c>
      <c r="M23" s="74">
        <f>'[4]AD ESFERA'!E23</f>
        <v>39.062780149959274</v>
      </c>
      <c r="N23" s="38">
        <f>'[5]AD ESFERA'!B23</f>
        <v>8.091733552960001</v>
      </c>
      <c r="O23" s="39">
        <f>'[5]AD ESFERA'!C23</f>
        <v>0.47101100456707129</v>
      </c>
      <c r="P23" s="55">
        <f>'[5]AD ESFERA'!D23</f>
        <v>1.4449140592488583</v>
      </c>
      <c r="Q23" s="74">
        <f>'[5]AD ESFERA'!E23</f>
        <v>44.799986239329677</v>
      </c>
      <c r="R23" s="38">
        <f>'[6]AD ESFERA'!B23</f>
        <v>9.5086534598955001</v>
      </c>
      <c r="S23" s="39">
        <f>'[6]AD ESFERA'!C23</f>
        <v>0.48569268818636796</v>
      </c>
      <c r="T23" s="55">
        <f>'[6]AD ESFERA'!D23</f>
        <v>1.4445287876791362</v>
      </c>
      <c r="U23" s="74">
        <f>'[6]AD ESFERA'!E23</f>
        <v>51.984998951408123</v>
      </c>
      <c r="V23" s="38">
        <f>'[7]AD ESFERA'!B23</f>
        <v>9.9101774907400006</v>
      </c>
      <c r="W23" s="39">
        <f>'[7]AD ESFERA'!C23</f>
        <v>0.4565671231829207</v>
      </c>
      <c r="X23" s="55">
        <f>'[7]AD ESFERA'!D23</f>
        <v>1.3140259757950423</v>
      </c>
      <c r="Y23" s="74">
        <f>'[7]AD ESFERA'!E23</f>
        <v>53.524895218333533</v>
      </c>
      <c r="Z23" s="38">
        <f>'[8]AD ESFERA'!B23</f>
        <v>10.870440675319999</v>
      </c>
      <c r="AA23" s="39">
        <f>'[8]AD ESFERA'!C23</f>
        <v>0.4511585911855403</v>
      </c>
      <c r="AB23" s="55">
        <f>'[8]AD ESFERA'!D23</f>
        <v>1.3104245907666634</v>
      </c>
      <c r="AC23" s="74">
        <f>'[8]AD ESFERA'!E23</f>
        <v>58.026704703666987</v>
      </c>
      <c r="AD23" s="38">
        <f>'[9]AD ESFERA'!B23</f>
        <v>11.879156686149997</v>
      </c>
      <c r="AE23" s="39">
        <f>'[9]AD ESFERA'!C23</f>
        <v>0.43669147748397846</v>
      </c>
      <c r="AF23" s="55">
        <f>'[9]AD ESFERA'!D23</f>
        <v>1.2626393221360908</v>
      </c>
      <c r="AG23" s="74">
        <f>'[9]AD ESFERA'!E23</f>
        <v>62.699165786700384</v>
      </c>
      <c r="AH23" s="38">
        <f>'[10]AD ESFERA'!B23</f>
        <v>12.857911024079998</v>
      </c>
      <c r="AI23" s="39">
        <f>'[10]AD ESFERA'!C23</f>
        <v>0.41346384398240016</v>
      </c>
      <c r="AJ23" s="55">
        <f>'[10]AD ESFERA'!D23</f>
        <v>1.1895715520484125</v>
      </c>
      <c r="AK23" s="74">
        <f>'[10]AD ESFERA'!E23</f>
        <v>67.131766771267394</v>
      </c>
      <c r="AL23" s="38">
        <f>'[11]AD ESFERA'!B23</f>
        <v>14.184849605029997</v>
      </c>
      <c r="AM23" s="39">
        <f>'[11]AD ESFERA'!C23</f>
        <v>0.42558306713572802</v>
      </c>
      <c r="AN23" s="55">
        <f>'[11]AD ESFERA'!D23</f>
        <v>1.28326237399031</v>
      </c>
      <c r="AO23" s="74">
        <f>'[11]AD ESFERA'!E23</f>
        <v>73.290062606032421</v>
      </c>
      <c r="AP23" s="38">
        <f>'[12]AD ESFERA'!B23</f>
        <v>16.364693568250001</v>
      </c>
      <c r="AQ23" s="39">
        <f>'[12]AD ESFERA'!C23</f>
        <v>0.42113581847792769</v>
      </c>
      <c r="AR23" s="55">
        <f>'[12]AD ESFERA'!D23</f>
        <v>1.2672428400910354</v>
      </c>
      <c r="AS23" s="74">
        <f>'[12]AD ESFERA'!E23</f>
        <v>83.707815736921063</v>
      </c>
      <c r="AT23" s="38">
        <f>'[13]AD ESFERA'!B23</f>
        <v>18.378709162539998</v>
      </c>
      <c r="AU23" s="39">
        <f>'[13]AD ESFERA'!C23</f>
        <v>0.41995212398140741</v>
      </c>
      <c r="AV23" s="55">
        <f>'[13]AD ESFERA'!D23</f>
        <v>1.2321440477830119</v>
      </c>
      <c r="AW23" s="74">
        <f>'[13]AD ESFERA'!E23</f>
        <v>93.105302951131705</v>
      </c>
      <c r="AX23" s="38">
        <f>'[14]AD ESFERA'!B23</f>
        <v>20.246647526210001</v>
      </c>
      <c r="AY23" s="39">
        <f>'[14]AD ESFERA'!C23</f>
        <v>0.42051208214345059</v>
      </c>
      <c r="AZ23" s="55">
        <f>'[14]AD ESFERA'!D23</f>
        <v>1.2359752053420401</v>
      </c>
      <c r="BA23" s="74">
        <f>'[14]AD ESFERA'!E23</f>
        <v>101.61813562718375</v>
      </c>
      <c r="BB23" s="38">
        <f>'[15]AD ESFERA'!B23</f>
        <v>22.58085756877999</v>
      </c>
      <c r="BC23" s="39">
        <f>'[15]AD ESFERA'!C23</f>
        <v>0.42352721694442141</v>
      </c>
      <c r="BD23" s="55">
        <f>'[15]AD ESFERA'!D23</f>
        <v>1.259919488999109</v>
      </c>
      <c r="BE23" s="74">
        <f>'[15]AD ESFERA'!E23</f>
        <v>112.32429349175473</v>
      </c>
      <c r="BF23" s="38">
        <f>'[16]AD ESFERA'!B23</f>
        <v>25.04215666628766</v>
      </c>
      <c r="BG23" s="39">
        <f>'[16]AD ESFERA'!C23</f>
        <v>0.43333380053943438</v>
      </c>
      <c r="BH23" s="55">
        <f>'[16]AD ESFERA'!D23</f>
        <v>1.3181599897891141</v>
      </c>
      <c r="BI23" s="74">
        <f>'[16]AD ESFERA'!E23</f>
        <v>123.50117996244239</v>
      </c>
      <c r="BJ23" s="38">
        <f>'[17]AD ESFERA'!B23</f>
        <v>28.085178097271708</v>
      </c>
      <c r="BK23" s="39">
        <f>'[17]AD ESFERA'!C23</f>
        <v>0.46841520716582674</v>
      </c>
      <c r="BL23" s="55">
        <f>'[17]AD ESFERA'!D23</f>
        <v>1.426345149415349</v>
      </c>
      <c r="BM23" s="74">
        <f>'[17]AD ESFERA'!E23</f>
        <v>137.36898481193722</v>
      </c>
      <c r="BN23" s="38">
        <f>'[18]AD ESFERA'!B23</f>
        <v>31.866790050081548</v>
      </c>
      <c r="BO23" s="39">
        <f>'[18]AD ESFERA'!C23</f>
        <v>0.50846892753757933</v>
      </c>
      <c r="BP23" s="55">
        <f>'[18]AD ESFERA'!D23</f>
        <v>1.5275359342275403</v>
      </c>
      <c r="BQ23" s="74">
        <f>'[18]AD ESFERA'!E23</f>
        <v>154.63202939157347</v>
      </c>
      <c r="BR23" s="38">
        <f>'[19]AD ESFERA'!B23</f>
        <v>35.284886591271473</v>
      </c>
      <c r="BS23" s="39">
        <f>'[19]AD ESFERA'!C23</f>
        <v>0.53838470432648733</v>
      </c>
      <c r="BT23" s="55">
        <f>'[19]AD ESFERA'!D23</f>
        <v>1.6013803746729189</v>
      </c>
      <c r="BU23" s="74">
        <f>'[19]AD ESFERA'!E23</f>
        <v>169.91586602827664</v>
      </c>
      <c r="BV23" s="38">
        <f>'[20]AD ESFERA'!B23</f>
        <v>45.062242620379266</v>
      </c>
      <c r="BW23" s="39">
        <f>'[20]AD ESFERA'!C23</f>
        <v>0.65410205757955975</v>
      </c>
      <c r="BX23" s="55">
        <f>'[20]AD ESFERA'!D23</f>
        <v>1.8991171408628413</v>
      </c>
      <c r="BY23" s="74">
        <f>'[20]AD ESFERA'!E23</f>
        <v>216.13115054794753</v>
      </c>
      <c r="BZ23" s="38">
        <f>'[21]AD ESFERA'!B23</f>
        <v>50.587825506897673</v>
      </c>
      <c r="CA23" s="39">
        <f>'[21]AD ESFERA'!C23</f>
        <v>0.68462482945420333</v>
      </c>
      <c r="CB23" s="55">
        <f>'[21]AD ESFERA'!D23</f>
        <v>2.0260055830788</v>
      </c>
      <c r="CC23" s="74">
        <f>'[21]AD ESFERA'!E23</f>
        <v>240.72575585746259</v>
      </c>
      <c r="CD23" s="38">
        <f>'[22]AD ESFERA'!B23</f>
        <v>50.81945996504686</v>
      </c>
      <c r="CE23" s="39">
        <f>'[22]AD ESFERA'!C23</f>
        <v>0.66783378889902922</v>
      </c>
      <c r="CF23" s="55">
        <f>'[22]AD ESFERA'!D23</f>
        <v>2.0729460056184106</v>
      </c>
      <c r="CG23" s="74">
        <f>'[22]AD ESFERA'!E23</f>
        <v>239.9909985184571</v>
      </c>
      <c r="CH23" s="38">
        <f>'[23]AD ESFERA'!B23</f>
        <v>60.043900864102831</v>
      </c>
      <c r="CI23" s="39">
        <f>'[23]AD ESFERA'!C23</f>
        <v>0.67474708308393805</v>
      </c>
      <c r="CJ23" s="55">
        <f>'[23]AD ESFERA'!D23</f>
        <v>1.9615999806938462</v>
      </c>
      <c r="CK23" s="74">
        <f>'[23]AD ESFERA'!E23</f>
        <v>281.47649273439987</v>
      </c>
      <c r="CL23" s="38">
        <f>'[24]AD ESFERA'!B23</f>
        <v>65.580775459973196</v>
      </c>
      <c r="CM23" s="39">
        <f>'[24]AD ESFERA'!C23</f>
        <v>0.65062384405980112</v>
      </c>
      <c r="CN23" s="55">
        <f>'[24]AD ESFERA'!D23</f>
        <v>1.8638862627177084</v>
      </c>
      <c r="CO23" s="74">
        <f>'[24]AD ESFERA'!E23</f>
        <v>322.92954168426081</v>
      </c>
      <c r="CP23" s="38">
        <f>'[25]AD ESFERA'!B23</f>
        <v>72.900986012390021</v>
      </c>
      <c r="CQ23" s="39">
        <f>'[25]AD ESFERA'!C23</f>
        <v>0.66616736175331803</v>
      </c>
      <c r="CR23" s="55">
        <f>'[25]AD ESFERA'!D23</f>
        <v>1.9265651825597991</v>
      </c>
      <c r="CS23" s="74">
        <f>'[25]AD ESFERA'!E23</f>
        <v>350.76839595435661</v>
      </c>
      <c r="CT23" s="38">
        <f>'[26]AD ESFERA'!B23</f>
        <v>77.634383739106241</v>
      </c>
      <c r="CU23" s="39">
        <f>'[26]AD ESFERA'!C23</f>
        <v>0.6610158134961559</v>
      </c>
      <c r="CV23" s="55">
        <f>'[26]AD ESFERA'!D23</f>
        <v>1.8387091897200531</v>
      </c>
      <c r="CW23" s="74">
        <f>'[26]AD ESFERA'!E23</f>
        <v>365.19434688261094</v>
      </c>
    </row>
    <row r="24" spans="1:101" ht="13.8" thickBot="1" x14ac:dyDescent="0.3">
      <c r="A24" s="76" t="s">
        <v>7</v>
      </c>
      <c r="B24" s="45">
        <f>'[2]AD ESFERA'!B24</f>
        <v>8.5923419282084996</v>
      </c>
      <c r="C24" s="46">
        <f>'[2]AD ESFERA'!C24</f>
        <v>0.71461283659687347</v>
      </c>
      <c r="D24" s="77">
        <f>'[2]AD ESFERA'!D24</f>
        <v>2.3384012628041635</v>
      </c>
      <c r="E24" s="78">
        <f>'[2]AD ESFERA'!E24</f>
        <v>49.538333033216126</v>
      </c>
      <c r="F24" s="45">
        <f>'[3]AD ESFERA'!B24</f>
        <v>9.6384232398686063</v>
      </c>
      <c r="G24" s="46">
        <f>'[3]AD ESFERA'!C24</f>
        <v>0.73253935876121357</v>
      </c>
      <c r="H24" s="77">
        <f>'[3]AD ESFERA'!D24</f>
        <v>2.2859006690932127</v>
      </c>
      <c r="I24" s="78">
        <f>'[3]AD ESFERA'!E24</f>
        <v>55.569415691450907</v>
      </c>
      <c r="J24" s="45">
        <f>'[4]AD ESFERA'!B24</f>
        <v>11.62964835721</v>
      </c>
      <c r="K24" s="46">
        <f>'[4]AD ESFERA'!C24</f>
        <v>0.78114924144353759</v>
      </c>
      <c r="L24" s="77">
        <f>'[4]AD ESFERA'!D24</f>
        <v>2.3474093577442847</v>
      </c>
      <c r="M24" s="78">
        <f>'[4]AD ESFERA'!E24</f>
        <v>65.233907016479506</v>
      </c>
      <c r="N24" s="45">
        <f>'[5]AD ESFERA'!B24</f>
        <v>14.66259544433</v>
      </c>
      <c r="O24" s="46">
        <f>'[5]AD ESFERA'!C24</f>
        <v>0.8534937247492651</v>
      </c>
      <c r="P24" s="77">
        <f>'[5]AD ESFERA'!D24</f>
        <v>2.6182511032930207</v>
      </c>
      <c r="Q24" s="78">
        <f>'[5]AD ESFERA'!E24</f>
        <v>81.179647085456764</v>
      </c>
      <c r="R24" s="45">
        <f>'[6]AD ESFERA'!B24</f>
        <v>17.34338146823</v>
      </c>
      <c r="S24" s="46">
        <f>'[6]AD ESFERA'!C24</f>
        <v>0.88588290687784088</v>
      </c>
      <c r="T24" s="77">
        <f>'[6]AD ESFERA'!D24</f>
        <v>2.6347593707379056</v>
      </c>
      <c r="U24" s="78">
        <f>'[6]AD ESFERA'!E24</f>
        <v>94.818437883182256</v>
      </c>
      <c r="V24" s="45">
        <f>'[7]AD ESFERA'!B24</f>
        <v>17.642079980689999</v>
      </c>
      <c r="W24" s="46">
        <f>'[7]AD ESFERA'!C24</f>
        <v>0.81277996395856411</v>
      </c>
      <c r="X24" s="77">
        <f>'[7]AD ESFERA'!D24</f>
        <v>2.3392266569737625</v>
      </c>
      <c r="Y24" s="78">
        <f>'[7]AD ESFERA'!E24</f>
        <v>95.284921312683878</v>
      </c>
      <c r="Z24" s="45">
        <f>'[8]AD ESFERA'!B24</f>
        <v>20.098071711789999</v>
      </c>
      <c r="AA24" s="46">
        <f>'[8]AD ESFERA'!C24</f>
        <v>0.8341352471223723</v>
      </c>
      <c r="AB24" s="77">
        <f>'[8]AD ESFERA'!D24</f>
        <v>2.422809542387403</v>
      </c>
      <c r="AC24" s="78">
        <f>'[8]AD ESFERA'!E24</f>
        <v>107.28404736902078</v>
      </c>
      <c r="AD24" s="45">
        <f>'[9]AD ESFERA'!B24</f>
        <v>23.72561943342</v>
      </c>
      <c r="AE24" s="46">
        <f>'[9]AD ESFERA'!C24</f>
        <v>0.87218108813081685</v>
      </c>
      <c r="AF24" s="77">
        <f>'[9]AD ESFERA'!D24</f>
        <v>2.5218035951659163</v>
      </c>
      <c r="AG24" s="78">
        <f>'[9]AD ESFERA'!E24</f>
        <v>125.22577027564073</v>
      </c>
      <c r="AH24" s="45">
        <f>'[10]AD ESFERA'!B24</f>
        <v>26.48878326198</v>
      </c>
      <c r="AI24" s="46">
        <f>'[10]AD ESFERA'!C24</f>
        <v>0.8517833207434683</v>
      </c>
      <c r="AJ24" s="77">
        <f>'[10]AD ESFERA'!D24</f>
        <v>2.4506549281462431</v>
      </c>
      <c r="AK24" s="78">
        <f>'[10]AD ESFERA'!E24</f>
        <v>138.29920090966939</v>
      </c>
      <c r="AL24" s="45">
        <f>'[11]AD ESFERA'!B24</f>
        <v>27.7822167064</v>
      </c>
      <c r="AM24" s="46">
        <f>'[11]AD ESFERA'!C24</f>
        <v>0.83354010278307555</v>
      </c>
      <c r="AN24" s="77">
        <f>'[11]AD ESFERA'!D24</f>
        <v>2.5133769026867809</v>
      </c>
      <c r="AO24" s="78">
        <f>'[11]AD ESFERA'!E24</f>
        <v>143.54472965468639</v>
      </c>
      <c r="AP24" s="45">
        <f>'[12]AD ESFERA'!B24</f>
        <v>32.559877418799999</v>
      </c>
      <c r="AQ24" s="46">
        <f>'[12]AD ESFERA'!C24</f>
        <v>0.837909403504564</v>
      </c>
      <c r="AR24" s="77">
        <f>'[12]AD ESFERA'!D24</f>
        <v>2.5213592519244745</v>
      </c>
      <c r="AS24" s="78">
        <f>'[12]AD ESFERA'!E24</f>
        <v>166.54856432371972</v>
      </c>
      <c r="AT24" s="45">
        <f>'[13]AD ESFERA'!B24</f>
        <v>38.353066119179999</v>
      </c>
      <c r="AU24" s="46">
        <f>'[13]AD ESFERA'!C24</f>
        <v>0.8763646802125592</v>
      </c>
      <c r="AV24" s="77">
        <f>'[13]AD ESFERA'!D24</f>
        <v>2.5712633958697966</v>
      </c>
      <c r="AW24" s="78">
        <f>'[13]AD ESFERA'!E24</f>
        <v>194.29405017242965</v>
      </c>
      <c r="AX24" s="45">
        <f>'[14]AD ESFERA'!B24</f>
        <v>42.63689098495</v>
      </c>
      <c r="AY24" s="46">
        <f>'[14]AD ESFERA'!C24</f>
        <v>0.88554550974399548</v>
      </c>
      <c r="AZ24" s="77">
        <f>'[14]AD ESFERA'!D24</f>
        <v>2.602808194396141</v>
      </c>
      <c r="BA24" s="78">
        <f>'[14]AD ESFERA'!E24</f>
        <v>213.99500165255938</v>
      </c>
      <c r="BB24" s="45">
        <f>'[15]AD ESFERA'!B24</f>
        <v>48.361516187959985</v>
      </c>
      <c r="BC24" s="46">
        <f>'[15]AD ESFERA'!C24</f>
        <v>0.90706999483571482</v>
      </c>
      <c r="BD24" s="77">
        <f>'[15]AD ESFERA'!D24</f>
        <v>2.6983747883428477</v>
      </c>
      <c r="BE24" s="78">
        <f>'[15]AD ESFERA'!E24</f>
        <v>240.56540463339704</v>
      </c>
      <c r="BF24" s="45">
        <f>'[16]AD ESFERA'!B24</f>
        <v>54.174354872087122</v>
      </c>
      <c r="BG24" s="46">
        <f>'[16]AD ESFERA'!C24</f>
        <v>0.9374423857070151</v>
      </c>
      <c r="BH24" s="77">
        <f>'[16]AD ESFERA'!D24</f>
        <v>2.8516101075733884</v>
      </c>
      <c r="BI24" s="78">
        <f>'[16]AD ESFERA'!E24</f>
        <v>267.17334451524653</v>
      </c>
      <c r="BJ24" s="45">
        <f>'[17]AD ESFERA'!B24</f>
        <v>59.883143845359307</v>
      </c>
      <c r="BK24" s="46">
        <f>'[17]AD ESFERA'!C24</f>
        <v>0.99875368897126104</v>
      </c>
      <c r="BL24" s="77">
        <f>'[17]AD ESFERA'!D24</f>
        <v>3.0412494255775173</v>
      </c>
      <c r="BM24" s="78">
        <f>'[17]AD ESFERA'!E24</f>
        <v>292.89779288183774</v>
      </c>
      <c r="BN24" s="45">
        <f>'[18]AD ESFERA'!B24</f>
        <v>64.939399065042878</v>
      </c>
      <c r="BO24" s="46">
        <f>'[18]AD ESFERA'!C24</f>
        <v>1.0361779942580924</v>
      </c>
      <c r="BP24" s="77">
        <f>'[18]AD ESFERA'!D24</f>
        <v>3.1128728517399411</v>
      </c>
      <c r="BQ24" s="78">
        <f>'[18]AD ESFERA'!E24</f>
        <v>315.1152359279165</v>
      </c>
      <c r="BR24" s="45">
        <f>'[19]AD ESFERA'!B24</f>
        <v>72.193621874948533</v>
      </c>
      <c r="BS24" s="46">
        <f>'[19]AD ESFERA'!C24</f>
        <v>1.1015464557853298</v>
      </c>
      <c r="BT24" s="77">
        <f>'[19]AD ESFERA'!D24</f>
        <v>3.2764580083898798</v>
      </c>
      <c r="BU24" s="78">
        <f>'[19]AD ESFERA'!E24</f>
        <v>347.65144422015243</v>
      </c>
      <c r="BV24" s="45">
        <f>'[20]AD ESFERA'!B24</f>
        <v>63.195935525558625</v>
      </c>
      <c r="BW24" s="46">
        <f>'[20]AD ESFERA'!C24</f>
        <v>0.91732210946906445</v>
      </c>
      <c r="BX24" s="77">
        <f>'[20]AD ESFERA'!D24</f>
        <v>2.6633491235781115</v>
      </c>
      <c r="BY24" s="78">
        <f>'[20]AD ESFERA'!E24</f>
        <v>303.10542620255279</v>
      </c>
      <c r="BZ24" s="45">
        <f>'[21]AD ESFERA'!B24</f>
        <v>69.620304333404675</v>
      </c>
      <c r="CA24" s="46">
        <f>'[21]AD ESFERA'!C24</f>
        <v>0.94219880975725934</v>
      </c>
      <c r="CB24" s="77">
        <f>'[21]AD ESFERA'!D24</f>
        <v>2.7882425042343568</v>
      </c>
      <c r="CC24" s="78">
        <f>'[21]AD ESFERA'!E24</f>
        <v>331.29315632276518</v>
      </c>
      <c r="CD24" s="45">
        <f>'[22]AD ESFERA'!B24</f>
        <v>75.022748313979278</v>
      </c>
      <c r="CE24" s="46">
        <f>'[22]AD ESFERA'!C24</f>
        <v>0.98589647144230219</v>
      </c>
      <c r="CF24" s="77">
        <f>'[22]AD ESFERA'!D24</f>
        <v>3.0602077738516424</v>
      </c>
      <c r="CG24" s="78">
        <f>'[22]AD ESFERA'!E24</f>
        <v>354.28916977579655</v>
      </c>
      <c r="CH24" s="45">
        <f>'[23]AD ESFERA'!B24</f>
        <v>90.013188032359238</v>
      </c>
      <c r="CI24" s="46">
        <f>'[23]AD ESFERA'!C24</f>
        <v>1.0115288179124862</v>
      </c>
      <c r="CJ24" s="77">
        <f>'[23]AD ESFERA'!D24</f>
        <v>2.9406794922617947</v>
      </c>
      <c r="CK24" s="78">
        <f>'[23]AD ESFERA'!E24</f>
        <v>421.96786189049863</v>
      </c>
      <c r="CL24" s="45">
        <f>'[24]AD ESFERA'!B24</f>
        <v>100.6570781141674</v>
      </c>
      <c r="CM24" s="46">
        <f>'[24]AD ESFERA'!C24</f>
        <v>0.99861422246277975</v>
      </c>
      <c r="CN24" s="77">
        <f>'[24]AD ESFERA'!D24</f>
        <v>2.8607979064963716</v>
      </c>
      <c r="CO24" s="78">
        <f>'[24]AD ESFERA'!E24</f>
        <v>495.65049932238486</v>
      </c>
      <c r="CP24" s="45">
        <f>'[25]AD ESFERA'!B24</f>
        <v>121.77740517437002</v>
      </c>
      <c r="CQ24" s="46">
        <f>'[25]AD ESFERA'!C24</f>
        <v>1.1127988407781939</v>
      </c>
      <c r="CR24" s="77">
        <f>'[25]AD ESFERA'!D24</f>
        <v>3.2182295695087704</v>
      </c>
      <c r="CS24" s="78">
        <f>'[25]AD ESFERA'!E24</f>
        <v>585.94084131094905</v>
      </c>
      <c r="CT24" s="45">
        <f>'[26]AD ESFERA'!B24</f>
        <v>139.5285107082</v>
      </c>
      <c r="CU24" s="46">
        <f>'[26]AD ESFERA'!C24</f>
        <v>1.1880116459948049</v>
      </c>
      <c r="CV24" s="77">
        <f>'[26]AD ESFERA'!D24</f>
        <v>3.3046228038503616</v>
      </c>
      <c r="CW24" s="78">
        <f>'[26]AD ESFERA'!E24</f>
        <v>656.34607870168827</v>
      </c>
    </row>
  </sheetData>
  <mergeCells count="26">
    <mergeCell ref="CT3:CW3"/>
    <mergeCell ref="A3:A4"/>
    <mergeCell ref="AH3:AK3"/>
    <mergeCell ref="BB3:BE3"/>
    <mergeCell ref="AL3:AO3"/>
    <mergeCell ref="AP3:AS3"/>
    <mergeCell ref="R3:U3"/>
    <mergeCell ref="N3:Q3"/>
    <mergeCell ref="F3:I3"/>
    <mergeCell ref="J3:M3"/>
    <mergeCell ref="AT3:AW3"/>
    <mergeCell ref="AX3:BA3"/>
    <mergeCell ref="V3:Y3"/>
    <mergeCell ref="CP3:CS3"/>
    <mergeCell ref="Z3:AC3"/>
    <mergeCell ref="CH3:CK3"/>
    <mergeCell ref="B3:E3"/>
    <mergeCell ref="AD3:AG3"/>
    <mergeCell ref="BN3:BQ3"/>
    <mergeCell ref="BJ3:BM3"/>
    <mergeCell ref="BF3:BI3"/>
    <mergeCell ref="CL3:CO3"/>
    <mergeCell ref="BZ3:CC3"/>
    <mergeCell ref="BV3:BY3"/>
    <mergeCell ref="BR3:BU3"/>
    <mergeCell ref="CD3:CG3"/>
  </mergeCells>
  <phoneticPr fontId="0" type="noConversion"/>
  <printOptions horizontalCentered="1" verticalCentered="1" gridLines="1"/>
  <pageMargins left="0" right="0" top="0" bottom="0" header="0" footer="0"/>
  <pageSetup paperSize="9" orientation="landscape" horizontalDpi="4294967294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W27"/>
  <sheetViews>
    <sheetView showZeros="0" workbookViewId="0">
      <pane xSplit="1" ySplit="4" topLeftCell="CG5" activePane="bottomRight" state="frozen"/>
      <selection pane="topRight" activeCell="B1" sqref="B1"/>
      <selection pane="bottomLeft" activeCell="A5" sqref="A5"/>
      <selection pane="bottomRight" activeCell="CU31" sqref="CU31"/>
    </sheetView>
  </sheetViews>
  <sheetFormatPr defaultColWidth="9.109375" defaultRowHeight="13.2" x14ac:dyDescent="0.25"/>
  <cols>
    <col min="1" max="1" width="33.109375" style="13" customWidth="1"/>
    <col min="2" max="101" width="12.6640625" style="13" customWidth="1"/>
    <col min="102" max="16384" width="9.109375" style="13"/>
  </cols>
  <sheetData>
    <row r="1" spans="1:101" x14ac:dyDescent="0.25">
      <c r="A1" s="9" t="s">
        <v>127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</row>
    <row r="2" spans="1:101" ht="13.8" thickBot="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</row>
    <row r="3" spans="1:101" x14ac:dyDescent="0.25">
      <c r="A3" s="115" t="s">
        <v>86</v>
      </c>
      <c r="B3" s="110">
        <v>2000</v>
      </c>
      <c r="C3" s="111"/>
      <c r="D3" s="111"/>
      <c r="E3" s="112"/>
      <c r="F3" s="110">
        <v>2001</v>
      </c>
      <c r="G3" s="111"/>
      <c r="H3" s="111"/>
      <c r="I3" s="112"/>
      <c r="J3" s="110">
        <v>2002</v>
      </c>
      <c r="K3" s="111"/>
      <c r="L3" s="111"/>
      <c r="M3" s="112"/>
      <c r="N3" s="110">
        <v>2003</v>
      </c>
      <c r="O3" s="111"/>
      <c r="P3" s="111"/>
      <c r="Q3" s="112"/>
      <c r="R3" s="110">
        <v>2004</v>
      </c>
      <c r="S3" s="111"/>
      <c r="T3" s="111"/>
      <c r="U3" s="112"/>
      <c r="V3" s="110">
        <v>2005</v>
      </c>
      <c r="W3" s="111"/>
      <c r="X3" s="111"/>
      <c r="Y3" s="112"/>
      <c r="Z3" s="110">
        <v>2006</v>
      </c>
      <c r="AA3" s="111"/>
      <c r="AB3" s="111"/>
      <c r="AC3" s="112"/>
      <c r="AD3" s="110">
        <v>2007</v>
      </c>
      <c r="AE3" s="111"/>
      <c r="AF3" s="111"/>
      <c r="AG3" s="112"/>
      <c r="AH3" s="110">
        <v>2008</v>
      </c>
      <c r="AI3" s="111"/>
      <c r="AJ3" s="111"/>
      <c r="AK3" s="112"/>
      <c r="AL3" s="110">
        <v>2009</v>
      </c>
      <c r="AM3" s="111"/>
      <c r="AN3" s="111"/>
      <c r="AO3" s="112"/>
      <c r="AP3" s="110">
        <v>2010</v>
      </c>
      <c r="AQ3" s="111"/>
      <c r="AR3" s="111"/>
      <c r="AS3" s="112"/>
      <c r="AT3" s="110">
        <v>2011</v>
      </c>
      <c r="AU3" s="111"/>
      <c r="AV3" s="111"/>
      <c r="AW3" s="112"/>
      <c r="AX3" s="110">
        <v>2012</v>
      </c>
      <c r="AY3" s="111"/>
      <c r="AZ3" s="111"/>
      <c r="BA3" s="112"/>
      <c r="BB3" s="110">
        <v>2013</v>
      </c>
      <c r="BC3" s="111"/>
      <c r="BD3" s="111"/>
      <c r="BE3" s="112"/>
      <c r="BF3" s="110">
        <v>2014</v>
      </c>
      <c r="BG3" s="111"/>
      <c r="BH3" s="111"/>
      <c r="BI3" s="112"/>
      <c r="BJ3" s="110">
        <v>2015</v>
      </c>
      <c r="BK3" s="111"/>
      <c r="BL3" s="111"/>
      <c r="BM3" s="112"/>
      <c r="BN3" s="110">
        <v>2016</v>
      </c>
      <c r="BO3" s="111"/>
      <c r="BP3" s="111"/>
      <c r="BQ3" s="112"/>
      <c r="BR3" s="110">
        <v>2017</v>
      </c>
      <c r="BS3" s="111"/>
      <c r="BT3" s="111"/>
      <c r="BU3" s="112"/>
      <c r="BV3" s="110">
        <v>2018</v>
      </c>
      <c r="BW3" s="111"/>
      <c r="BX3" s="111"/>
      <c r="BY3" s="112"/>
      <c r="BZ3" s="110">
        <v>2019</v>
      </c>
      <c r="CA3" s="111"/>
      <c r="CB3" s="111"/>
      <c r="CC3" s="112"/>
      <c r="CD3" s="110">
        <v>2020</v>
      </c>
      <c r="CE3" s="111"/>
      <c r="CF3" s="111"/>
      <c r="CG3" s="112"/>
      <c r="CH3" s="110">
        <v>2021</v>
      </c>
      <c r="CI3" s="111"/>
      <c r="CJ3" s="111"/>
      <c r="CK3" s="112"/>
      <c r="CL3" s="110">
        <v>2022</v>
      </c>
      <c r="CM3" s="111"/>
      <c r="CN3" s="111"/>
      <c r="CO3" s="112"/>
      <c r="CP3" s="110">
        <v>2023</v>
      </c>
      <c r="CQ3" s="111"/>
      <c r="CR3" s="111"/>
      <c r="CS3" s="112"/>
      <c r="CT3" s="110">
        <v>2024</v>
      </c>
      <c r="CU3" s="111"/>
      <c r="CV3" s="111"/>
      <c r="CW3" s="112"/>
    </row>
    <row r="4" spans="1:101" x14ac:dyDescent="0.25">
      <c r="A4" s="116"/>
      <c r="B4" s="79" t="s">
        <v>84</v>
      </c>
      <c r="C4" s="80" t="s">
        <v>81</v>
      </c>
      <c r="D4" s="80" t="s">
        <v>82</v>
      </c>
      <c r="E4" s="81" t="s">
        <v>117</v>
      </c>
      <c r="F4" s="79" t="s">
        <v>84</v>
      </c>
      <c r="G4" s="80" t="s">
        <v>81</v>
      </c>
      <c r="H4" s="80" t="s">
        <v>82</v>
      </c>
      <c r="I4" s="81" t="s">
        <v>117</v>
      </c>
      <c r="J4" s="79" t="s">
        <v>84</v>
      </c>
      <c r="K4" s="80" t="s">
        <v>81</v>
      </c>
      <c r="L4" s="80" t="s">
        <v>82</v>
      </c>
      <c r="M4" s="81" t="s">
        <v>117</v>
      </c>
      <c r="N4" s="79" t="s">
        <v>84</v>
      </c>
      <c r="O4" s="80" t="s">
        <v>81</v>
      </c>
      <c r="P4" s="80" t="s">
        <v>82</v>
      </c>
      <c r="Q4" s="81" t="s">
        <v>117</v>
      </c>
      <c r="R4" s="79" t="s">
        <v>84</v>
      </c>
      <c r="S4" s="80" t="s">
        <v>81</v>
      </c>
      <c r="T4" s="80" t="s">
        <v>82</v>
      </c>
      <c r="U4" s="81" t="s">
        <v>117</v>
      </c>
      <c r="V4" s="79" t="s">
        <v>84</v>
      </c>
      <c r="W4" s="80" t="s">
        <v>81</v>
      </c>
      <c r="X4" s="80" t="s">
        <v>82</v>
      </c>
      <c r="Y4" s="81" t="s">
        <v>117</v>
      </c>
      <c r="Z4" s="79" t="s">
        <v>84</v>
      </c>
      <c r="AA4" s="80" t="s">
        <v>81</v>
      </c>
      <c r="AB4" s="80" t="s">
        <v>82</v>
      </c>
      <c r="AC4" s="81" t="s">
        <v>117</v>
      </c>
      <c r="AD4" s="79" t="s">
        <v>84</v>
      </c>
      <c r="AE4" s="80" t="s">
        <v>81</v>
      </c>
      <c r="AF4" s="80" t="s">
        <v>82</v>
      </c>
      <c r="AG4" s="81" t="s">
        <v>117</v>
      </c>
      <c r="AH4" s="79" t="s">
        <v>84</v>
      </c>
      <c r="AI4" s="80" t="s">
        <v>81</v>
      </c>
      <c r="AJ4" s="80" t="s">
        <v>82</v>
      </c>
      <c r="AK4" s="81" t="s">
        <v>117</v>
      </c>
      <c r="AL4" s="79" t="s">
        <v>84</v>
      </c>
      <c r="AM4" s="80" t="s">
        <v>81</v>
      </c>
      <c r="AN4" s="80" t="s">
        <v>82</v>
      </c>
      <c r="AO4" s="81" t="s">
        <v>117</v>
      </c>
      <c r="AP4" s="79" t="s">
        <v>84</v>
      </c>
      <c r="AQ4" s="80" t="s">
        <v>81</v>
      </c>
      <c r="AR4" s="80" t="s">
        <v>82</v>
      </c>
      <c r="AS4" s="81" t="s">
        <v>117</v>
      </c>
      <c r="AT4" s="79" t="s">
        <v>84</v>
      </c>
      <c r="AU4" s="80" t="s">
        <v>81</v>
      </c>
      <c r="AV4" s="80" t="s">
        <v>82</v>
      </c>
      <c r="AW4" s="81" t="s">
        <v>117</v>
      </c>
      <c r="AX4" s="79" t="s">
        <v>84</v>
      </c>
      <c r="AY4" s="80" t="s">
        <v>81</v>
      </c>
      <c r="AZ4" s="80" t="s">
        <v>82</v>
      </c>
      <c r="BA4" s="81" t="s">
        <v>117</v>
      </c>
      <c r="BB4" s="79" t="s">
        <v>84</v>
      </c>
      <c r="BC4" s="80" t="s">
        <v>81</v>
      </c>
      <c r="BD4" s="80" t="s">
        <v>82</v>
      </c>
      <c r="BE4" s="81" t="s">
        <v>117</v>
      </c>
      <c r="BF4" s="79" t="s">
        <v>84</v>
      </c>
      <c r="BG4" s="80" t="s">
        <v>81</v>
      </c>
      <c r="BH4" s="80" t="s">
        <v>82</v>
      </c>
      <c r="BI4" s="81" t="s">
        <v>117</v>
      </c>
      <c r="BJ4" s="79" t="s">
        <v>84</v>
      </c>
      <c r="BK4" s="80" t="s">
        <v>81</v>
      </c>
      <c r="BL4" s="80" t="s">
        <v>82</v>
      </c>
      <c r="BM4" s="81" t="s">
        <v>117</v>
      </c>
      <c r="BN4" s="79" t="s">
        <v>84</v>
      </c>
      <c r="BO4" s="80" t="s">
        <v>81</v>
      </c>
      <c r="BP4" s="80" t="s">
        <v>82</v>
      </c>
      <c r="BQ4" s="81" t="s">
        <v>117</v>
      </c>
      <c r="BR4" s="79" t="s">
        <v>84</v>
      </c>
      <c r="BS4" s="80" t="s">
        <v>81</v>
      </c>
      <c r="BT4" s="80" t="s">
        <v>82</v>
      </c>
      <c r="BU4" s="81" t="s">
        <v>117</v>
      </c>
      <c r="BV4" s="79" t="s">
        <v>84</v>
      </c>
      <c r="BW4" s="80" t="s">
        <v>81</v>
      </c>
      <c r="BX4" s="80" t="s">
        <v>82</v>
      </c>
      <c r="BY4" s="81" t="s">
        <v>117</v>
      </c>
      <c r="BZ4" s="79" t="s">
        <v>84</v>
      </c>
      <c r="CA4" s="80" t="s">
        <v>81</v>
      </c>
      <c r="CB4" s="80" t="s">
        <v>82</v>
      </c>
      <c r="CC4" s="81" t="s">
        <v>117</v>
      </c>
      <c r="CD4" s="79" t="s">
        <v>84</v>
      </c>
      <c r="CE4" s="80" t="s">
        <v>81</v>
      </c>
      <c r="CF4" s="80" t="s">
        <v>82</v>
      </c>
      <c r="CG4" s="81" t="s">
        <v>117</v>
      </c>
      <c r="CH4" s="79" t="s">
        <v>84</v>
      </c>
      <c r="CI4" s="80" t="s">
        <v>81</v>
      </c>
      <c r="CJ4" s="80" t="s">
        <v>82</v>
      </c>
      <c r="CK4" s="81" t="s">
        <v>117</v>
      </c>
      <c r="CL4" s="79" t="s">
        <v>84</v>
      </c>
      <c r="CM4" s="80" t="s">
        <v>81</v>
      </c>
      <c r="CN4" s="80" t="s">
        <v>82</v>
      </c>
      <c r="CO4" s="81" t="s">
        <v>117</v>
      </c>
      <c r="CP4" s="79" t="s">
        <v>84</v>
      </c>
      <c r="CQ4" s="80" t="s">
        <v>81</v>
      </c>
      <c r="CR4" s="80" t="s">
        <v>82</v>
      </c>
      <c r="CS4" s="81" t="s">
        <v>117</v>
      </c>
      <c r="CT4" s="79" t="s">
        <v>84</v>
      </c>
      <c r="CU4" s="80" t="s">
        <v>81</v>
      </c>
      <c r="CV4" s="80" t="s">
        <v>82</v>
      </c>
      <c r="CW4" s="81" t="s">
        <v>117</v>
      </c>
    </row>
    <row r="5" spans="1:101" x14ac:dyDescent="0.25">
      <c r="A5" s="64" t="s">
        <v>2</v>
      </c>
      <c r="B5" s="20">
        <f>'[2]PRINCIPAIS TRIBUTOS'!B5</f>
        <v>1202.3772157699991</v>
      </c>
      <c r="C5" s="82">
        <f>'[2]PRINCIPAIS TRIBUTOS'!C5</f>
        <v>0</v>
      </c>
      <c r="D5" s="82">
        <f>'[2]PRINCIPAIS TRIBUTOS'!D5</f>
        <v>0</v>
      </c>
      <c r="E5" s="83">
        <f>'[2]PRINCIPAIS TRIBUTOS'!E5</f>
        <v>0</v>
      </c>
      <c r="F5" s="20">
        <f>'[3]PRINCIPAIS TRIBUTOS'!B5</f>
        <v>1315.7550000000001</v>
      </c>
      <c r="G5" s="82">
        <f>'[3]PRINCIPAIS TRIBUTOS'!C5</f>
        <v>0</v>
      </c>
      <c r="H5" s="82">
        <f>'[3]PRINCIPAIS TRIBUTOS'!D5</f>
        <v>0</v>
      </c>
      <c r="I5" s="83">
        <f>'[3]PRINCIPAIS TRIBUTOS'!E5</f>
        <v>0</v>
      </c>
      <c r="J5" s="20">
        <f>'[4]PRINCIPAIS TRIBUTOS'!B5</f>
        <v>1488.787</v>
      </c>
      <c r="K5" s="82">
        <f>'[4]PRINCIPAIS TRIBUTOS'!C5</f>
        <v>0</v>
      </c>
      <c r="L5" s="82">
        <f>'[4]PRINCIPAIS TRIBUTOS'!D5</f>
        <v>0</v>
      </c>
      <c r="M5" s="83">
        <f>'[4]PRINCIPAIS TRIBUTOS'!E5</f>
        <v>0</v>
      </c>
      <c r="N5" s="20">
        <f>'[5]PRINCIPAIS TRIBUTOS'!B5</f>
        <v>1717.95</v>
      </c>
      <c r="O5" s="82">
        <f>'[5]PRINCIPAIS TRIBUTOS'!C5</f>
        <v>0</v>
      </c>
      <c r="P5" s="82">
        <f>'[5]PRINCIPAIS TRIBUTOS'!D5</f>
        <v>0</v>
      </c>
      <c r="Q5" s="83">
        <f>'[5]PRINCIPAIS TRIBUTOS'!E5</f>
        <v>0</v>
      </c>
      <c r="R5" s="20">
        <f>'[6]PRINCIPAIS TRIBUTOS'!B5</f>
        <v>1957.751</v>
      </c>
      <c r="S5" s="82">
        <f>'[6]PRINCIPAIS TRIBUTOS'!C5</f>
        <v>0</v>
      </c>
      <c r="T5" s="82">
        <f>'[6]PRINCIPAIS TRIBUTOS'!D5</f>
        <v>0</v>
      </c>
      <c r="U5" s="83">
        <f>'[6]PRINCIPAIS TRIBUTOS'!E5</f>
        <v>0</v>
      </c>
      <c r="V5" s="20">
        <f>'[7]PRINCIPAIS TRIBUTOS'!B5</f>
        <v>2170.585</v>
      </c>
      <c r="W5" s="82">
        <f>'[7]PRINCIPAIS TRIBUTOS'!C5</f>
        <v>0</v>
      </c>
      <c r="X5" s="82">
        <f>'[7]PRINCIPAIS TRIBUTOS'!D5</f>
        <v>0</v>
      </c>
      <c r="Y5" s="83">
        <f>'[7]PRINCIPAIS TRIBUTOS'!E5</f>
        <v>0</v>
      </c>
      <c r="Z5" s="20">
        <f>'[8]PRINCIPAIS TRIBUTOS'!B5</f>
        <v>2409.4499999999998</v>
      </c>
      <c r="AA5" s="82">
        <f>'[8]PRINCIPAIS TRIBUTOS'!C5</f>
        <v>0</v>
      </c>
      <c r="AB5" s="82">
        <f>'[8]PRINCIPAIS TRIBUTOS'!D5</f>
        <v>0</v>
      </c>
      <c r="AC5" s="83">
        <f>'[8]PRINCIPAIS TRIBUTOS'!E5</f>
        <v>0</v>
      </c>
      <c r="AD5" s="20">
        <f>'[9]PRINCIPAIS TRIBUTOS'!B5</f>
        <v>2720.2629999999999</v>
      </c>
      <c r="AE5" s="82">
        <f>'[9]PRINCIPAIS TRIBUTOS'!C5</f>
        <v>0</v>
      </c>
      <c r="AF5" s="82">
        <f>'[9]PRINCIPAIS TRIBUTOS'!D5</f>
        <v>0</v>
      </c>
      <c r="AG5" s="83">
        <f>'[9]PRINCIPAIS TRIBUTOS'!E5</f>
        <v>0</v>
      </c>
      <c r="AH5" s="20">
        <f>'[10]PRINCIPAIS TRIBUTOS'!B5</f>
        <v>3109.8029999999999</v>
      </c>
      <c r="AI5" s="82">
        <f>'[10]PRINCIPAIS TRIBUTOS'!C5</f>
        <v>0</v>
      </c>
      <c r="AJ5" s="82">
        <f>'[10]PRINCIPAIS TRIBUTOS'!D5</f>
        <v>0</v>
      </c>
      <c r="AK5" s="83">
        <f>'[10]PRINCIPAIS TRIBUTOS'!E5</f>
        <v>0</v>
      </c>
      <c r="AL5" s="20">
        <f>'[11]PRINCIPAIS TRIBUTOS'!B5</f>
        <v>3333.0390000000002</v>
      </c>
      <c r="AM5" s="82">
        <f>'[11]PRINCIPAIS TRIBUTOS'!C5</f>
        <v>0</v>
      </c>
      <c r="AN5" s="82">
        <f>'[11]PRINCIPAIS TRIBUTOS'!D5</f>
        <v>0</v>
      </c>
      <c r="AO5" s="83">
        <f>'[11]PRINCIPAIS TRIBUTOS'!E5</f>
        <v>0</v>
      </c>
      <c r="AP5" s="20">
        <f>'[12]PRINCIPAIS TRIBUTOS'!B5</f>
        <v>3885.8470000000002</v>
      </c>
      <c r="AQ5" s="82">
        <f>'[12]PRINCIPAIS TRIBUTOS'!C5</f>
        <v>0</v>
      </c>
      <c r="AR5" s="82">
        <f>'[12]PRINCIPAIS TRIBUTOS'!D5</f>
        <v>0</v>
      </c>
      <c r="AS5" s="83">
        <f>'[12]PRINCIPAIS TRIBUTOS'!E5</f>
        <v>0</v>
      </c>
      <c r="AT5" s="20">
        <f>'[13]PRINCIPAIS TRIBUTOS'!B5</f>
        <v>4376.3819999999996</v>
      </c>
      <c r="AU5" s="82">
        <f>'[13]PRINCIPAIS TRIBUTOS'!C5</f>
        <v>0</v>
      </c>
      <c r="AV5" s="82">
        <f>'[13]PRINCIPAIS TRIBUTOS'!D5</f>
        <v>0</v>
      </c>
      <c r="AW5" s="83">
        <f>'[13]PRINCIPAIS TRIBUTOS'!E5</f>
        <v>0</v>
      </c>
      <c r="AX5" s="20">
        <f>'[14]PRINCIPAIS TRIBUTOS'!B5</f>
        <v>4814.76</v>
      </c>
      <c r="AY5" s="82">
        <f>'[14]PRINCIPAIS TRIBUTOS'!C5</f>
        <v>0</v>
      </c>
      <c r="AZ5" s="82">
        <f>'[14]PRINCIPAIS TRIBUTOS'!D5</f>
        <v>0</v>
      </c>
      <c r="BA5" s="83">
        <f>'[14]PRINCIPAIS TRIBUTOS'!E5</f>
        <v>0</v>
      </c>
      <c r="BB5" s="20">
        <f>'[15]PRINCIPAIS TRIBUTOS'!B5</f>
        <v>5331.6189999999997</v>
      </c>
      <c r="BC5" s="82">
        <f>'[15]PRINCIPAIS TRIBUTOS'!C5</f>
        <v>0</v>
      </c>
      <c r="BD5" s="82">
        <f>'[15]PRINCIPAIS TRIBUTOS'!D5</f>
        <v>0</v>
      </c>
      <c r="BE5" s="83">
        <f>'[15]PRINCIPAIS TRIBUTOS'!E5</f>
        <v>0</v>
      </c>
      <c r="BF5" s="20">
        <f>'[16]PRINCIPAIS TRIBUTOS'!B5</f>
        <v>5778.9530000000004</v>
      </c>
      <c r="BG5" s="82">
        <f>'[16]PRINCIPAIS TRIBUTOS'!C5</f>
        <v>0</v>
      </c>
      <c r="BH5" s="82">
        <f>'[16]PRINCIPAIS TRIBUTOS'!D5</f>
        <v>0</v>
      </c>
      <c r="BI5" s="83">
        <f>'[16]PRINCIPAIS TRIBUTOS'!E5</f>
        <v>0</v>
      </c>
      <c r="BJ5" s="20">
        <f>'[17]PRINCIPAIS TRIBUTOS'!B5</f>
        <v>5995.7870000000003</v>
      </c>
      <c r="BK5" s="82">
        <f>'[17]PRINCIPAIS TRIBUTOS'!C5</f>
        <v>0</v>
      </c>
      <c r="BL5" s="82">
        <f>'[17]PRINCIPAIS TRIBUTOS'!D5</f>
        <v>0</v>
      </c>
      <c r="BM5" s="83">
        <f>'[17]PRINCIPAIS TRIBUTOS'!E5</f>
        <v>0</v>
      </c>
      <c r="BN5" s="20">
        <f>'[18]PRINCIPAIS TRIBUTOS'!B5</f>
        <v>6267.2049999999999</v>
      </c>
      <c r="BO5" s="82">
        <f>'[18]PRINCIPAIS TRIBUTOS'!C5</f>
        <v>0</v>
      </c>
      <c r="BP5" s="82">
        <f>'[18]PRINCIPAIS TRIBUTOS'!D5</f>
        <v>0</v>
      </c>
      <c r="BQ5" s="83">
        <f>'[18]PRINCIPAIS TRIBUTOS'!E5</f>
        <v>0</v>
      </c>
      <c r="BR5" s="20">
        <f>'[19]PRINCIPAIS TRIBUTOS'!B5</f>
        <v>6553.8426904999897</v>
      </c>
      <c r="BS5" s="82">
        <f>'[19]PRINCIPAIS TRIBUTOS'!C5</f>
        <v>0</v>
      </c>
      <c r="BT5" s="82">
        <f>'[19]PRINCIPAIS TRIBUTOS'!D5</f>
        <v>0</v>
      </c>
      <c r="BU5" s="83">
        <f>'[19]PRINCIPAIS TRIBUTOS'!E5</f>
        <v>0</v>
      </c>
      <c r="BV5" s="20">
        <f>'[20]PRINCIPAIS TRIBUTOS'!B5</f>
        <v>6889.1760999999997</v>
      </c>
      <c r="BW5" s="82">
        <f>'[20]PRINCIPAIS TRIBUTOS'!C5</f>
        <v>0</v>
      </c>
      <c r="BX5" s="82">
        <f>'[20]PRINCIPAIS TRIBUTOS'!D5</f>
        <v>0</v>
      </c>
      <c r="BY5" s="83">
        <f>'[20]PRINCIPAIS TRIBUTOS'!E5</f>
        <v>0</v>
      </c>
      <c r="BZ5" s="20">
        <f>'[21]PRINCIPAIS TRIBUTOS'!B5</f>
        <v>7389.1310000000003</v>
      </c>
      <c r="CA5" s="82">
        <f>'[21]PRINCIPAIS TRIBUTOS'!C5</f>
        <v>0</v>
      </c>
      <c r="CB5" s="82">
        <f>'[21]PRINCIPAIS TRIBUTOS'!D5</f>
        <v>0</v>
      </c>
      <c r="CC5" s="83">
        <f>'[21]PRINCIPAIS TRIBUTOS'!E5</f>
        <v>0</v>
      </c>
      <c r="CD5" s="20">
        <f>'[22]PRINCIPAIS TRIBUTOS'!B5</f>
        <v>7609.5969999999998</v>
      </c>
      <c r="CE5" s="82">
        <f>'[22]PRINCIPAIS TRIBUTOS'!C5</f>
        <v>0</v>
      </c>
      <c r="CF5" s="82">
        <f>'[22]PRINCIPAIS TRIBUTOS'!D5</f>
        <v>0</v>
      </c>
      <c r="CG5" s="83">
        <f>'[22]PRINCIPAIS TRIBUTOS'!E5</f>
        <v>0</v>
      </c>
      <c r="CH5" s="20">
        <f>'[23]PRINCIPAIS TRIBUTOS'!B5</f>
        <v>8898.7270000000008</v>
      </c>
      <c r="CI5" s="82">
        <f>'[23]PRINCIPAIS TRIBUTOS'!C5</f>
        <v>0</v>
      </c>
      <c r="CJ5" s="82">
        <f>'[23]PRINCIPAIS TRIBUTOS'!D5</f>
        <v>0</v>
      </c>
      <c r="CK5" s="83">
        <f>'[23]PRINCIPAIS TRIBUTOS'!E5</f>
        <v>0</v>
      </c>
      <c r="CL5" s="20">
        <f>'[24]PRINCIPAIS TRIBUTOS'!B5</f>
        <v>10079.675999999999</v>
      </c>
      <c r="CM5" s="82">
        <f>'[24]PRINCIPAIS TRIBUTOS'!C5</f>
        <v>0</v>
      </c>
      <c r="CN5" s="82">
        <f>'[24]PRINCIPAIS TRIBUTOS'!D5</f>
        <v>0</v>
      </c>
      <c r="CO5" s="83">
        <f>'[24]PRINCIPAIS TRIBUTOS'!E5</f>
        <v>0</v>
      </c>
      <c r="CP5" s="20">
        <f>'[25]PRINCIPAIS TRIBUTOS'!B5</f>
        <v>10943.343999999999</v>
      </c>
      <c r="CQ5" s="82">
        <f>'[25]PRINCIPAIS TRIBUTOS'!C5</f>
        <v>0</v>
      </c>
      <c r="CR5" s="82">
        <f>'[25]PRINCIPAIS TRIBUTOS'!D5</f>
        <v>0</v>
      </c>
      <c r="CS5" s="83">
        <f>'[25]PRINCIPAIS TRIBUTOS'!E5</f>
        <v>0</v>
      </c>
      <c r="CT5" s="20">
        <f>'[26]PRINCIPAIS TRIBUTOS'!B5</f>
        <v>11744.709000000001</v>
      </c>
      <c r="CU5" s="82">
        <f>'[26]PRINCIPAIS TRIBUTOS'!C5</f>
        <v>0</v>
      </c>
      <c r="CV5" s="82">
        <f>'[26]PRINCIPAIS TRIBUTOS'!D5</f>
        <v>0</v>
      </c>
      <c r="CW5" s="83">
        <f>'[26]PRINCIPAIS TRIBUTOS'!E5</f>
        <v>0</v>
      </c>
    </row>
    <row r="6" spans="1:101" x14ac:dyDescent="0.25">
      <c r="A6" s="64" t="s">
        <v>121</v>
      </c>
      <c r="B6" s="23">
        <f>'[2]PRINCIPAIS TRIBUTOS'!B6</f>
        <v>173448346</v>
      </c>
      <c r="C6" s="82">
        <f>'[2]PRINCIPAIS TRIBUTOS'!C6</f>
        <v>0</v>
      </c>
      <c r="D6" s="82">
        <f>'[2]PRINCIPAIS TRIBUTOS'!D6</f>
        <v>0</v>
      </c>
      <c r="E6" s="83">
        <f>'[2]PRINCIPAIS TRIBUTOS'!E6</f>
        <v>0</v>
      </c>
      <c r="F6" s="23">
        <f>'[3]PRINCIPAIS TRIBUTOS'!B6</f>
        <v>173448346</v>
      </c>
      <c r="G6" s="82">
        <f>'[3]PRINCIPAIS TRIBUTOS'!C6</f>
        <v>0</v>
      </c>
      <c r="H6" s="82">
        <f>'[3]PRINCIPAIS TRIBUTOS'!D6</f>
        <v>0</v>
      </c>
      <c r="I6" s="83">
        <f>'[3]PRINCIPAIS TRIBUTOS'!E6</f>
        <v>0</v>
      </c>
      <c r="J6" s="23">
        <f>'[4]PRINCIPAIS TRIBUTOS'!B6</f>
        <v>178276128</v>
      </c>
      <c r="K6" s="82">
        <f>'[4]PRINCIPAIS TRIBUTOS'!C6</f>
        <v>0</v>
      </c>
      <c r="L6" s="82">
        <f>'[4]PRINCIPAIS TRIBUTOS'!D6</f>
        <v>0</v>
      </c>
      <c r="M6" s="83">
        <f>'[4]PRINCIPAIS TRIBUTOS'!E6</f>
        <v>0</v>
      </c>
      <c r="N6" s="23">
        <f>'[5]PRINCIPAIS TRIBUTOS'!B6</f>
        <v>180619108</v>
      </c>
      <c r="O6" s="82">
        <f>'[5]PRINCIPAIS TRIBUTOS'!C6</f>
        <v>0</v>
      </c>
      <c r="P6" s="82">
        <f>'[5]PRINCIPAIS TRIBUTOS'!D6</f>
        <v>0</v>
      </c>
      <c r="Q6" s="83">
        <f>'[5]PRINCIPAIS TRIBUTOS'!E6</f>
        <v>0</v>
      </c>
      <c r="R6" s="23">
        <f>'[6]PRINCIPAIS TRIBUTOS'!B6</f>
        <v>182911487</v>
      </c>
      <c r="S6" s="82">
        <f>'[6]PRINCIPAIS TRIBUTOS'!C6</f>
        <v>0</v>
      </c>
      <c r="T6" s="82">
        <f>'[6]PRINCIPAIS TRIBUTOS'!D6</f>
        <v>0</v>
      </c>
      <c r="U6" s="83">
        <f>'[6]PRINCIPAIS TRIBUTOS'!E6</f>
        <v>0</v>
      </c>
      <c r="V6" s="23">
        <f>'[7]PRINCIPAIS TRIBUTOS'!B6</f>
        <v>185150806</v>
      </c>
      <c r="W6" s="82">
        <f>'[7]PRINCIPAIS TRIBUTOS'!C6</f>
        <v>0</v>
      </c>
      <c r="X6" s="82">
        <f>'[7]PRINCIPAIS TRIBUTOS'!D6</f>
        <v>0</v>
      </c>
      <c r="Y6" s="83">
        <f>'[7]PRINCIPAIS TRIBUTOS'!E6</f>
        <v>0</v>
      </c>
      <c r="Z6" s="23">
        <f>'[8]PRINCIPAIS TRIBUTOS'!B6</f>
        <v>187335137</v>
      </c>
      <c r="AA6" s="82">
        <f>'[8]PRINCIPAIS TRIBUTOS'!C6</f>
        <v>0</v>
      </c>
      <c r="AB6" s="82">
        <f>'[8]PRINCIPAIS TRIBUTOS'!D6</f>
        <v>0</v>
      </c>
      <c r="AC6" s="83">
        <f>'[8]PRINCIPAIS TRIBUTOS'!E6</f>
        <v>0</v>
      </c>
      <c r="AD6" s="23">
        <f>'[9]PRINCIPAIS TRIBUTOS'!B6</f>
        <v>189462755</v>
      </c>
      <c r="AE6" s="82">
        <f>'[9]PRINCIPAIS TRIBUTOS'!C6</f>
        <v>0</v>
      </c>
      <c r="AF6" s="82">
        <f>'[9]PRINCIPAIS TRIBUTOS'!D6</f>
        <v>0</v>
      </c>
      <c r="AG6" s="83">
        <f>'[9]PRINCIPAIS TRIBUTOS'!E6</f>
        <v>0</v>
      </c>
      <c r="AH6" s="23">
        <f>'[10]PRINCIPAIS TRIBUTOS'!B6</f>
        <v>191532439</v>
      </c>
      <c r="AI6" s="82">
        <f>'[10]PRINCIPAIS TRIBUTOS'!C6</f>
        <v>0</v>
      </c>
      <c r="AJ6" s="82">
        <f>'[10]PRINCIPAIS TRIBUTOS'!D6</f>
        <v>0</v>
      </c>
      <c r="AK6" s="83">
        <f>'[10]PRINCIPAIS TRIBUTOS'!E6</f>
        <v>0</v>
      </c>
      <c r="AL6" s="23">
        <f>'[11]PRINCIPAIS TRIBUTOS'!B6</f>
        <v>193543969</v>
      </c>
      <c r="AM6" s="82">
        <f>'[11]PRINCIPAIS TRIBUTOS'!C6</f>
        <v>0</v>
      </c>
      <c r="AN6" s="82">
        <f>'[11]PRINCIPAIS TRIBUTOS'!D6</f>
        <v>0</v>
      </c>
      <c r="AO6" s="83">
        <f>'[11]PRINCIPAIS TRIBUTOS'!E6</f>
        <v>0</v>
      </c>
      <c r="AP6" s="23">
        <f>'[12]PRINCIPAIS TRIBUTOS'!B6</f>
        <v>195497797</v>
      </c>
      <c r="AQ6" s="82">
        <f>'[12]PRINCIPAIS TRIBUTOS'!C6</f>
        <v>0</v>
      </c>
      <c r="AR6" s="82">
        <f>'[12]PRINCIPAIS TRIBUTOS'!D6</f>
        <v>0</v>
      </c>
      <c r="AS6" s="83">
        <f>'[12]PRINCIPAIS TRIBUTOS'!E6</f>
        <v>0</v>
      </c>
      <c r="AT6" s="23">
        <f>'[13]PRINCIPAIS TRIBUTOS'!B6</f>
        <v>197397018</v>
      </c>
      <c r="AU6" s="82">
        <f>'[13]PRINCIPAIS TRIBUTOS'!C6</f>
        <v>0</v>
      </c>
      <c r="AV6" s="82">
        <f>'[13]PRINCIPAIS TRIBUTOS'!D6</f>
        <v>0</v>
      </c>
      <c r="AW6" s="83">
        <f>'[13]PRINCIPAIS TRIBUTOS'!E6</f>
        <v>0</v>
      </c>
      <c r="AX6" s="23">
        <f>'[14]PRINCIPAIS TRIBUTOS'!B6</f>
        <v>199242462</v>
      </c>
      <c r="AY6" s="82">
        <f>'[14]PRINCIPAIS TRIBUTOS'!C6</f>
        <v>0</v>
      </c>
      <c r="AZ6" s="82">
        <f>'[14]PRINCIPAIS TRIBUTOS'!D6</f>
        <v>0</v>
      </c>
      <c r="BA6" s="83">
        <f>'[14]PRINCIPAIS TRIBUTOS'!E6</f>
        <v>0</v>
      </c>
      <c r="BB6" s="23">
        <f>'[15]PRINCIPAIS TRIBUTOS'!B6</f>
        <v>201032714</v>
      </c>
      <c r="BC6" s="82">
        <f>'[15]PRINCIPAIS TRIBUTOS'!C6</f>
        <v>0</v>
      </c>
      <c r="BD6" s="82">
        <f>'[15]PRINCIPAIS TRIBUTOS'!D6</f>
        <v>0</v>
      </c>
      <c r="BE6" s="83">
        <f>'[15]PRINCIPAIS TRIBUTOS'!E6</f>
        <v>0</v>
      </c>
      <c r="BF6" s="23">
        <f>'[16]PRINCIPAIS TRIBUTOS'!B6</f>
        <v>202768562</v>
      </c>
      <c r="BG6" s="82">
        <f>'[16]PRINCIPAIS TRIBUTOS'!C6</f>
        <v>0</v>
      </c>
      <c r="BH6" s="82">
        <f>'[16]PRINCIPAIS TRIBUTOS'!D6</f>
        <v>0</v>
      </c>
      <c r="BI6" s="83">
        <f>'[16]PRINCIPAIS TRIBUTOS'!E6</f>
        <v>0</v>
      </c>
      <c r="BJ6" s="23">
        <f>'[17]PRINCIPAIS TRIBUTOS'!B6</f>
        <v>204450649</v>
      </c>
      <c r="BK6" s="82">
        <f>'[17]PRINCIPAIS TRIBUTOS'!C6</f>
        <v>0</v>
      </c>
      <c r="BL6" s="82">
        <f>'[17]PRINCIPAIS TRIBUTOS'!D6</f>
        <v>0</v>
      </c>
      <c r="BM6" s="83">
        <f>'[17]PRINCIPAIS TRIBUTOS'!E6</f>
        <v>0</v>
      </c>
      <c r="BN6" s="23">
        <f>'[18]PRINCIPAIS TRIBUTOS'!B6</f>
        <v>206081432</v>
      </c>
      <c r="BO6" s="82">
        <f>'[18]PRINCIPAIS TRIBUTOS'!C6</f>
        <v>0</v>
      </c>
      <c r="BP6" s="82">
        <f>'[18]PRINCIPAIS TRIBUTOS'!D6</f>
        <v>0</v>
      </c>
      <c r="BQ6" s="83">
        <f>'[18]PRINCIPAIS TRIBUTOS'!E6</f>
        <v>0</v>
      </c>
      <c r="BR6" s="23">
        <f>'[19]PRINCIPAIS TRIBUTOS'!B6</f>
        <v>207660929</v>
      </c>
      <c r="BS6" s="82">
        <f>'[19]PRINCIPAIS TRIBUTOS'!C6</f>
        <v>0</v>
      </c>
      <c r="BT6" s="82">
        <f>'[19]PRINCIPAIS TRIBUTOS'!D6</f>
        <v>0</v>
      </c>
      <c r="BU6" s="83">
        <f>'[19]PRINCIPAIS TRIBUTOS'!E6</f>
        <v>0</v>
      </c>
      <c r="BV6" s="23">
        <f>'[20]PRINCIPAIS TRIBUTOS'!B6</f>
        <v>208494900</v>
      </c>
      <c r="BW6" s="82">
        <f>'[20]PRINCIPAIS TRIBUTOS'!C6</f>
        <v>0</v>
      </c>
      <c r="BX6" s="82">
        <f>'[20]PRINCIPAIS TRIBUTOS'!D6</f>
        <v>0</v>
      </c>
      <c r="BY6" s="83">
        <f>'[20]PRINCIPAIS TRIBUTOS'!E6</f>
        <v>0</v>
      </c>
      <c r="BZ6" s="23">
        <f>'[21]PRINCIPAIS TRIBUTOS'!B6</f>
        <v>210147125</v>
      </c>
      <c r="CA6" s="82">
        <f>'[21]PRINCIPAIS TRIBUTOS'!C6</f>
        <v>0</v>
      </c>
      <c r="CB6" s="82">
        <f>'[21]PRINCIPAIS TRIBUTOS'!D6</f>
        <v>0</v>
      </c>
      <c r="CC6" s="83">
        <f>'[21]PRINCIPAIS TRIBUTOS'!E6</f>
        <v>0</v>
      </c>
      <c r="CD6" s="23">
        <f>'[22]PRINCIPAIS TRIBUTOS'!B6</f>
        <v>211755692</v>
      </c>
      <c r="CE6" s="82">
        <f>'[22]PRINCIPAIS TRIBUTOS'!C6</f>
        <v>0</v>
      </c>
      <c r="CF6" s="82">
        <f>'[22]PRINCIPAIS TRIBUTOS'!D6</f>
        <v>0</v>
      </c>
      <c r="CG6" s="83">
        <f>'[22]PRINCIPAIS TRIBUTOS'!E6</f>
        <v>0</v>
      </c>
      <c r="CH6" s="23">
        <f>'[23]PRINCIPAIS TRIBUTOS'!B6</f>
        <v>213317639</v>
      </c>
      <c r="CI6" s="82">
        <f>'[23]PRINCIPAIS TRIBUTOS'!C6</f>
        <v>0</v>
      </c>
      <c r="CJ6" s="82">
        <f>'[23]PRINCIPAIS TRIBUTOS'!D6</f>
        <v>0</v>
      </c>
      <c r="CK6" s="83">
        <f>'[23]PRINCIPAIS TRIBUTOS'!E6</f>
        <v>0</v>
      </c>
      <c r="CL6" s="23">
        <f>'[24]PRINCIPAIS TRIBUTOS'!B6</f>
        <v>203080756</v>
      </c>
      <c r="CM6" s="82">
        <f>'[24]PRINCIPAIS TRIBUTOS'!C6</f>
        <v>0</v>
      </c>
      <c r="CN6" s="82">
        <f>'[24]PRINCIPAIS TRIBUTOS'!D6</f>
        <v>0</v>
      </c>
      <c r="CO6" s="83">
        <f>'[24]PRINCIPAIS TRIBUTOS'!E6</f>
        <v>0</v>
      </c>
      <c r="CP6" s="23">
        <f>'[25]PRINCIPAIS TRIBUTOS'!B6</f>
        <v>207832253</v>
      </c>
      <c r="CQ6" s="82">
        <f>'[25]PRINCIPAIS TRIBUTOS'!C6</f>
        <v>0</v>
      </c>
      <c r="CR6" s="82">
        <f>'[25]PRINCIPAIS TRIBUTOS'!D6</f>
        <v>0</v>
      </c>
      <c r="CS6" s="83">
        <f>'[25]PRINCIPAIS TRIBUTOS'!E6</f>
        <v>0</v>
      </c>
      <c r="CT6" s="23">
        <f>'[26]PRINCIPAIS TRIBUTOS'!B6</f>
        <v>212583750</v>
      </c>
      <c r="CU6" s="82">
        <f>'[26]PRINCIPAIS TRIBUTOS'!C6</f>
        <v>0</v>
      </c>
      <c r="CV6" s="82">
        <f>'[26]PRINCIPAIS TRIBUTOS'!D6</f>
        <v>0</v>
      </c>
      <c r="CW6" s="83">
        <f>'[26]PRINCIPAIS TRIBUTOS'!E6</f>
        <v>0</v>
      </c>
    </row>
    <row r="7" spans="1:101" x14ac:dyDescent="0.25">
      <c r="A7" s="68" t="s">
        <v>14</v>
      </c>
      <c r="B7" s="26">
        <f>'[2]PRINCIPAIS TRIBUTOS'!B7</f>
        <v>367.44514574477853</v>
      </c>
      <c r="C7" s="27">
        <f>'[2]PRINCIPAIS TRIBUTOS'!C7</f>
        <v>30.559889269813517</v>
      </c>
      <c r="D7" s="28">
        <f>'[2]PRINCIPAIS TRIBUTOS'!D7</f>
        <v>99.999999999999972</v>
      </c>
      <c r="E7" s="29">
        <f>'[2]PRINCIPAIS TRIBUTOS'!E7</f>
        <v>2118.4701625507487</v>
      </c>
      <c r="F7" s="26">
        <f>'[3]PRINCIPAIS TRIBUTOS'!B7</f>
        <v>421.64663452730179</v>
      </c>
      <c r="G7" s="27">
        <f>'[3]PRINCIPAIS TRIBUTOS'!C7</f>
        <v>32.045983828851249</v>
      </c>
      <c r="H7" s="28">
        <f>'[3]PRINCIPAIS TRIBUTOS'!D7</f>
        <v>100</v>
      </c>
      <c r="I7" s="29">
        <f>'[3]PRINCIPAIS TRIBUTOS'!E7</f>
        <v>2430.9637090877868</v>
      </c>
      <c r="J7" s="26">
        <f>'[4]PRINCIPAIS TRIBUTOS'!B7</f>
        <v>495.42481028470354</v>
      </c>
      <c r="K7" s="27">
        <f>'[4]PRINCIPAIS TRIBUTOS'!C7</f>
        <v>33.277077935574638</v>
      </c>
      <c r="L7" s="28">
        <f>'[4]PRINCIPAIS TRIBUTOS'!D7</f>
        <v>99.999999999999972</v>
      </c>
      <c r="M7" s="29">
        <f>'[4]PRINCIPAIS TRIBUTOS'!E7</f>
        <v>2778.9744810068096</v>
      </c>
      <c r="N7" s="26">
        <f>'[5]PRINCIPAIS TRIBUTOS'!B7</f>
        <v>560.01486740093776</v>
      </c>
      <c r="O7" s="27">
        <f>'[5]PRINCIPAIS TRIBUTOS'!C7</f>
        <v>32.597856014490397</v>
      </c>
      <c r="P7" s="28">
        <f>'[5]PRINCIPAIS TRIBUTOS'!D7</f>
        <v>99.999999999999972</v>
      </c>
      <c r="Q7" s="29">
        <f>'[5]PRINCIPAIS TRIBUTOS'!E7</f>
        <v>3100.5294711174065</v>
      </c>
      <c r="R7" s="26">
        <f>'[6]PRINCIPAIS TRIBUTOS'!B7</f>
        <v>658.25295701947584</v>
      </c>
      <c r="S7" s="27">
        <f>'[6]PRINCIPAIS TRIBUTOS'!C7</f>
        <v>33.622915121457012</v>
      </c>
      <c r="T7" s="28">
        <f>'[6]PRINCIPAIS TRIBUTOS'!D7</f>
        <v>100</v>
      </c>
      <c r="U7" s="29">
        <f>'[6]PRINCIPAIS TRIBUTOS'!E7</f>
        <v>3598.7513294858068</v>
      </c>
      <c r="V7" s="26">
        <f>'[7]PRINCIPAIS TRIBUTOS'!B7</f>
        <v>754.1842911243757</v>
      </c>
      <c r="W7" s="27">
        <f>'[7]PRINCIPAIS TRIBUTOS'!C7</f>
        <v>34.745669537215804</v>
      </c>
      <c r="X7" s="28">
        <f>'[7]PRINCIPAIS TRIBUTOS'!D7</f>
        <v>100.00000000000003</v>
      </c>
      <c r="Y7" s="29">
        <f>'[7]PRINCIPAIS TRIBUTOS'!E7</f>
        <v>4073.3513799792786</v>
      </c>
      <c r="Z7" s="26">
        <f>'[8]PRINCIPAIS TRIBUTOS'!B7</f>
        <v>829.53576664493539</v>
      </c>
      <c r="AA7" s="27">
        <f>'[8]PRINCIPAIS TRIBUTOS'!C7</f>
        <v>34.428428340282444</v>
      </c>
      <c r="AB7" s="28">
        <f>'[8]PRINCIPAIS TRIBUTOS'!D7</f>
        <v>100.00000000000001</v>
      </c>
      <c r="AC7" s="29">
        <f>'[8]PRINCIPAIS TRIBUTOS'!E7</f>
        <v>4428.084234112127</v>
      </c>
      <c r="AD7" s="26">
        <f>'[9]PRINCIPAIS TRIBUTOS'!B7</f>
        <v>940.81947852322855</v>
      </c>
      <c r="AE7" s="27">
        <f>'[9]PRINCIPAIS TRIBUTOS'!C7</f>
        <v>34.58560729323704</v>
      </c>
      <c r="AF7" s="28">
        <f>'[9]PRINCIPAIS TRIBUTOS'!D7</f>
        <v>99.999999999999972</v>
      </c>
      <c r="AG7" s="29">
        <f>'[9]PRINCIPAIS TRIBUTOS'!E7</f>
        <v>4965.7225691837348</v>
      </c>
      <c r="AH7" s="26">
        <f>'[10]PRINCIPAIS TRIBUTOS'!B7</f>
        <v>1080.8858871867772</v>
      </c>
      <c r="AI7" s="27">
        <f>'[10]PRINCIPAIS TRIBUTOS'!C7</f>
        <v>34.757374894383254</v>
      </c>
      <c r="AJ7" s="28">
        <f>'[10]PRINCIPAIS TRIBUTOS'!D7</f>
        <v>100</v>
      </c>
      <c r="AK7" s="29">
        <f>'[10]PRINCIPAIS TRIBUTOS'!E7</f>
        <v>5643.3567746024319</v>
      </c>
      <c r="AL7" s="26">
        <f>'[11]PRINCIPAIS TRIBUTOS'!B7</f>
        <v>1105.3740756788609</v>
      </c>
      <c r="AM7" s="27">
        <f>'[11]PRINCIPAIS TRIBUTOS'!C7</f>
        <v>33.164150664869538</v>
      </c>
      <c r="AN7" s="28">
        <f>'[11]PRINCIPAIS TRIBUTOS'!D7</f>
        <v>99.994963811638513</v>
      </c>
      <c r="AO7" s="29">
        <f>'[11]PRINCIPAIS TRIBUTOS'!E7</f>
        <v>5711.229760297314</v>
      </c>
      <c r="AP7" s="26">
        <f>'[12]PRINCIPAIS TRIBUTOS'!B7</f>
        <v>1291.3620855079682</v>
      </c>
      <c r="AQ7" s="27">
        <f>'[12]PRINCIPAIS TRIBUTOS'!C7</f>
        <v>33.232448048211062</v>
      </c>
      <c r="AR7" s="28">
        <f>'[12]PRINCIPAIS TRIBUTOS'!D7</f>
        <v>99.996495713545571</v>
      </c>
      <c r="AS7" s="29">
        <f>'[12]PRINCIPAIS TRIBUTOS'!E7</f>
        <v>6605.5070968803211</v>
      </c>
      <c r="AT7" s="26">
        <f>'[13]PRINCIPAIS TRIBUTOS'!B7</f>
        <v>1491.6039399458757</v>
      </c>
      <c r="AU7" s="27">
        <f>'[13]PRINCIPAIS TRIBUTOS'!C7</f>
        <v>34.083037996817367</v>
      </c>
      <c r="AV7" s="28">
        <f>'[13]PRINCIPAIS TRIBUTOS'!D7</f>
        <v>99.999761820725666</v>
      </c>
      <c r="AW7" s="29">
        <f>'[13]PRINCIPAIS TRIBUTOS'!E7</f>
        <v>7556.365111583782</v>
      </c>
      <c r="AX7" s="26">
        <f>'[14]PRINCIPAIS TRIBUTOS'!B7</f>
        <v>1638.1111399890101</v>
      </c>
      <c r="AY7" s="27">
        <f>'[14]PRINCIPAIS TRIBUTOS'!C7</f>
        <v>34.022695627383506</v>
      </c>
      <c r="AZ7" s="28">
        <f>'[14]PRINCIPAIS TRIBUTOS'!D7</f>
        <v>99.984030433163923</v>
      </c>
      <c r="BA7" s="29">
        <f>'[14]PRINCIPAIS TRIBUTOS'!E7</f>
        <v>8221.6969392247829</v>
      </c>
      <c r="BB7" s="26">
        <f>'[15]PRINCIPAIS TRIBUTOS'!B7</f>
        <v>1792.2460733358776</v>
      </c>
      <c r="BC7" s="27">
        <f>'[15]PRINCIPAIS TRIBUTOS'!C7</f>
        <v>33.615419131334733</v>
      </c>
      <c r="BD7" s="28">
        <f>'[15]PRINCIPAIS TRIBUTOS'!D7</f>
        <v>99.985056015822579</v>
      </c>
      <c r="BE7" s="29">
        <f>'[15]PRINCIPAIS TRIBUTOS'!E7</f>
        <v>8915.1961274117675</v>
      </c>
      <c r="BF7" s="26">
        <f>'[16]PRINCIPAIS TRIBUTOS'!B7</f>
        <v>1899.7812754348608</v>
      </c>
      <c r="BG7" s="27">
        <f>'[16]PRINCIPAIS TRIBUTOS'!C7</f>
        <v>32.87414304000847</v>
      </c>
      <c r="BH7" s="28">
        <f>'[16]PRINCIPAIS TRIBUTOS'!D7</f>
        <v>100.00000000000001</v>
      </c>
      <c r="BI7" s="29">
        <f>'[16]PRINCIPAIS TRIBUTOS'!E7</f>
        <v>9369.2101807915406</v>
      </c>
      <c r="BJ7" s="26">
        <f>'[17]PRINCIPAIS TRIBUTOS'!B7</f>
        <v>1969.0309956733588</v>
      </c>
      <c r="BK7" s="27">
        <f>'[17]PRINCIPAIS TRIBUTOS'!C7</f>
        <v>32.840242584891008</v>
      </c>
      <c r="BL7" s="28">
        <f>'[17]PRINCIPAIS TRIBUTOS'!D7</f>
        <v>100.00000708609262</v>
      </c>
      <c r="BM7" s="29">
        <f>'[17]PRINCIPAIS TRIBUTOS'!E7</f>
        <v>9630.8375899230286</v>
      </c>
      <c r="BN7" s="26">
        <f>'[18]PRINCIPAIS TRIBUTOS'!B7</f>
        <v>2086.156491382068</v>
      </c>
      <c r="BO7" s="27">
        <f>'[18]PRINCIPAIS TRIBUTOS'!C7</f>
        <v>33.286871761527955</v>
      </c>
      <c r="BP7" s="28">
        <f>'[18]PRINCIPAIS TRIBUTOS'!D7</f>
        <v>99.999986181439397</v>
      </c>
      <c r="BQ7" s="29">
        <f>'[18]PRINCIPAIS TRIBUTOS'!E7</f>
        <v>10122.97163861938</v>
      </c>
      <c r="BR7" s="26">
        <f>'[19]PRINCIPAIS TRIBUTOS'!B7</f>
        <v>2203.4044596355438</v>
      </c>
      <c r="BS7" s="27">
        <f>'[19]PRINCIPAIS TRIBUTOS'!C7</f>
        <v>33.620038864061399</v>
      </c>
      <c r="BT7" s="28">
        <f>'[19]PRINCIPAIS TRIBUTOS'!D7</f>
        <v>100.00000449091769</v>
      </c>
      <c r="BU7" s="29">
        <f>'[19]PRINCIPAIS TRIBUTOS'!E7</f>
        <v>10610.587510352243</v>
      </c>
      <c r="BV7" s="26">
        <f>'[20]PRINCIPAIS TRIBUTOS'!B7</f>
        <v>2372.799531465751</v>
      </c>
      <c r="BW7" s="27">
        <f>'[20]PRINCIPAIS TRIBUTOS'!C7</f>
        <v>34.442428194944114</v>
      </c>
      <c r="BX7" s="28">
        <f>'[20]PRINCIPAIS TRIBUTOS'!D7</f>
        <v>100.00000000346259</v>
      </c>
      <c r="BY7" s="29">
        <f>'[20]PRINCIPAIS TRIBUTOS'!E7</f>
        <v>11380.61185892677</v>
      </c>
      <c r="BZ7" s="26">
        <f>'[21]PRINCIPAIS TRIBUTOS'!B7</f>
        <v>2496.9242893211767</v>
      </c>
      <c r="CA7" s="27">
        <f>'[21]PRINCIPAIS TRIBUTOS'!C7</f>
        <v>33.791853051748262</v>
      </c>
      <c r="CB7" s="28">
        <f>'[21]PRINCIPAIS TRIBUTOS'!D7</f>
        <v>99.998551200947304</v>
      </c>
      <c r="CC7" s="29">
        <f>'[21]PRINCIPAIS TRIBUTOS'!E7</f>
        <v>11881.791337003429</v>
      </c>
      <c r="CD7" s="26">
        <f>'[22]PRINCIPAIS TRIBUTOS'!B7</f>
        <v>2451.5573404858737</v>
      </c>
      <c r="CE7" s="27">
        <f>'[22]PRINCIPAIS TRIBUTOS'!C7</f>
        <v>32.216651426953014</v>
      </c>
      <c r="CF7" s="28">
        <f>'[22]PRINCIPAIS TRIBUTOS'!D7</f>
        <v>99.999880059613076</v>
      </c>
      <c r="CG7" s="29">
        <f>'[22]PRINCIPAIS TRIBUTOS'!E7</f>
        <v>11577.291346132379</v>
      </c>
      <c r="CH7" s="26">
        <f>'[23]PRINCIPAIS TRIBUTOS'!B7</f>
        <v>3060.9656125131296</v>
      </c>
      <c r="CI7" s="27">
        <f>'[23]PRINCIPAIS TRIBUTOS'!C7</f>
        <v>34.397792094454964</v>
      </c>
      <c r="CJ7" s="28">
        <f>'[23]PRINCIPAIS TRIBUTOS'!D7</f>
        <v>99.999186380411857</v>
      </c>
      <c r="CK7" s="29">
        <f>'[23]PRINCIPAIS TRIBUTOS'!E7</f>
        <v>14349.33194864926</v>
      </c>
      <c r="CL7" s="26">
        <f>'[24]PRINCIPAIS TRIBUTOS'!B7</f>
        <v>3518.4966363961889</v>
      </c>
      <c r="CM7" s="27">
        <f>'[24]PRINCIPAIS TRIBUTOS'!C7</f>
        <v>34.906842604823694</v>
      </c>
      <c r="CN7" s="28">
        <f>'[24]PRINCIPAIS TRIBUTOS'!D7</f>
        <v>100.0001055671312</v>
      </c>
      <c r="CO7" s="29">
        <f>'[24]PRINCIPAIS TRIBUTOS'!E7</f>
        <v>17325.603398857689</v>
      </c>
      <c r="CP7" s="26">
        <f>'[25]PRINCIPAIS TRIBUTOS'!B7</f>
        <v>3783.9875168681046</v>
      </c>
      <c r="CQ7" s="27">
        <f>'[25]PRINCIPAIS TRIBUTOS'!C7</f>
        <v>34.577981984922566</v>
      </c>
      <c r="CR7" s="28">
        <f>'[25]PRINCIPAIS TRIBUTOS'!D7</f>
        <v>100.00000010570781</v>
      </c>
      <c r="CS7" s="29">
        <f>'[25]PRINCIPAIS TRIBUTOS'!E7</f>
        <v>18206.931129539862</v>
      </c>
      <c r="CT7" s="26">
        <f>'[26]PRINCIPAIS TRIBUTOS'!B7</f>
        <v>4222.2219899236061</v>
      </c>
      <c r="CU7" s="27">
        <f>'[26]PRINCIPAIS TRIBUTOS'!C7</f>
        <v>35.949992374639557</v>
      </c>
      <c r="CV7" s="28">
        <f>'[26]PRINCIPAIS TRIBUTOS'!D7</f>
        <v>99.999468448478922</v>
      </c>
      <c r="CW7" s="29">
        <f>'[26]PRINCIPAIS TRIBUTOS'!E7</f>
        <v>19861.452203771954</v>
      </c>
    </row>
    <row r="8" spans="1:101" x14ac:dyDescent="0.25">
      <c r="A8" s="64"/>
      <c r="B8" s="33">
        <f>'[2]PRINCIPAIS TRIBUTOS'!B8</f>
        <v>0</v>
      </c>
      <c r="C8" s="34">
        <f>'[2]PRINCIPAIS TRIBUTOS'!C8</f>
        <v>0</v>
      </c>
      <c r="D8" s="35">
        <f>'[2]PRINCIPAIS TRIBUTOS'!D8</f>
        <v>0</v>
      </c>
      <c r="E8" s="84">
        <f>'[2]PRINCIPAIS TRIBUTOS'!E8</f>
        <v>0</v>
      </c>
      <c r="F8" s="33">
        <f>'[3]PRINCIPAIS TRIBUTOS'!B8</f>
        <v>0</v>
      </c>
      <c r="G8" s="34">
        <f>'[3]PRINCIPAIS TRIBUTOS'!C8</f>
        <v>0</v>
      </c>
      <c r="H8" s="35">
        <f>'[3]PRINCIPAIS TRIBUTOS'!D8</f>
        <v>0</v>
      </c>
      <c r="I8" s="84">
        <f>'[3]PRINCIPAIS TRIBUTOS'!E8</f>
        <v>0</v>
      </c>
      <c r="J8" s="33">
        <f>'[4]PRINCIPAIS TRIBUTOS'!B8</f>
        <v>0</v>
      </c>
      <c r="K8" s="34">
        <f>'[4]PRINCIPAIS TRIBUTOS'!C8</f>
        <v>0</v>
      </c>
      <c r="L8" s="35">
        <f>'[4]PRINCIPAIS TRIBUTOS'!D8</f>
        <v>0</v>
      </c>
      <c r="M8" s="84">
        <f>'[4]PRINCIPAIS TRIBUTOS'!E8</f>
        <v>0</v>
      </c>
      <c r="N8" s="33">
        <f>'[5]PRINCIPAIS TRIBUTOS'!B8</f>
        <v>0</v>
      </c>
      <c r="O8" s="34">
        <f>'[5]PRINCIPAIS TRIBUTOS'!C8</f>
        <v>0</v>
      </c>
      <c r="P8" s="35">
        <f>'[5]PRINCIPAIS TRIBUTOS'!D8</f>
        <v>0</v>
      </c>
      <c r="Q8" s="84">
        <f>'[5]PRINCIPAIS TRIBUTOS'!E8</f>
        <v>0</v>
      </c>
      <c r="R8" s="33">
        <f>'[6]PRINCIPAIS TRIBUTOS'!B8</f>
        <v>0</v>
      </c>
      <c r="S8" s="34">
        <f>'[6]PRINCIPAIS TRIBUTOS'!C8</f>
        <v>0</v>
      </c>
      <c r="T8" s="35">
        <f>'[6]PRINCIPAIS TRIBUTOS'!D8</f>
        <v>0</v>
      </c>
      <c r="U8" s="84">
        <f>'[6]PRINCIPAIS TRIBUTOS'!E8</f>
        <v>0</v>
      </c>
      <c r="V8" s="33">
        <f>'[7]PRINCIPAIS TRIBUTOS'!B8</f>
        <v>0</v>
      </c>
      <c r="W8" s="34">
        <f>'[7]PRINCIPAIS TRIBUTOS'!C8</f>
        <v>0</v>
      </c>
      <c r="X8" s="35">
        <f>'[7]PRINCIPAIS TRIBUTOS'!D8</f>
        <v>0</v>
      </c>
      <c r="Y8" s="84">
        <f>'[7]PRINCIPAIS TRIBUTOS'!E8</f>
        <v>0</v>
      </c>
      <c r="Z8" s="33">
        <f>'[8]PRINCIPAIS TRIBUTOS'!B8</f>
        <v>0</v>
      </c>
      <c r="AA8" s="34">
        <f>'[8]PRINCIPAIS TRIBUTOS'!C8</f>
        <v>0</v>
      </c>
      <c r="AB8" s="35">
        <f>'[8]PRINCIPAIS TRIBUTOS'!D8</f>
        <v>0</v>
      </c>
      <c r="AC8" s="84">
        <f>'[8]PRINCIPAIS TRIBUTOS'!E8</f>
        <v>0</v>
      </c>
      <c r="AD8" s="33">
        <f>'[9]PRINCIPAIS TRIBUTOS'!B8</f>
        <v>0</v>
      </c>
      <c r="AE8" s="34">
        <f>'[9]PRINCIPAIS TRIBUTOS'!C8</f>
        <v>0</v>
      </c>
      <c r="AF8" s="35">
        <f>'[9]PRINCIPAIS TRIBUTOS'!D8</f>
        <v>0</v>
      </c>
      <c r="AG8" s="84">
        <f>'[9]PRINCIPAIS TRIBUTOS'!E8</f>
        <v>0</v>
      </c>
      <c r="AH8" s="33">
        <f>'[10]PRINCIPAIS TRIBUTOS'!B8</f>
        <v>0</v>
      </c>
      <c r="AI8" s="34">
        <f>'[10]PRINCIPAIS TRIBUTOS'!C8</f>
        <v>0</v>
      </c>
      <c r="AJ8" s="35">
        <f>'[10]PRINCIPAIS TRIBUTOS'!D8</f>
        <v>0</v>
      </c>
      <c r="AK8" s="84">
        <f>'[10]PRINCIPAIS TRIBUTOS'!E8</f>
        <v>0</v>
      </c>
      <c r="AL8" s="33">
        <f>'[11]PRINCIPAIS TRIBUTOS'!B8</f>
        <v>0</v>
      </c>
      <c r="AM8" s="34">
        <f>'[11]PRINCIPAIS TRIBUTOS'!C8</f>
        <v>0</v>
      </c>
      <c r="AN8" s="35">
        <f>'[11]PRINCIPAIS TRIBUTOS'!D8</f>
        <v>0</v>
      </c>
      <c r="AO8" s="84">
        <f>'[11]PRINCIPAIS TRIBUTOS'!E8</f>
        <v>0</v>
      </c>
      <c r="AP8" s="33">
        <f>'[12]PRINCIPAIS TRIBUTOS'!B8</f>
        <v>0</v>
      </c>
      <c r="AQ8" s="34">
        <f>'[12]PRINCIPAIS TRIBUTOS'!C8</f>
        <v>0</v>
      </c>
      <c r="AR8" s="35">
        <f>'[12]PRINCIPAIS TRIBUTOS'!D8</f>
        <v>0</v>
      </c>
      <c r="AS8" s="84">
        <f>'[12]PRINCIPAIS TRIBUTOS'!E8</f>
        <v>0</v>
      </c>
      <c r="AT8" s="33">
        <f>'[13]PRINCIPAIS TRIBUTOS'!B8</f>
        <v>0</v>
      </c>
      <c r="AU8" s="34">
        <f>'[13]PRINCIPAIS TRIBUTOS'!C8</f>
        <v>0</v>
      </c>
      <c r="AV8" s="35">
        <f>'[13]PRINCIPAIS TRIBUTOS'!D8</f>
        <v>0</v>
      </c>
      <c r="AW8" s="84">
        <f>'[13]PRINCIPAIS TRIBUTOS'!E8</f>
        <v>0</v>
      </c>
      <c r="AX8" s="33">
        <f>'[14]PRINCIPAIS TRIBUTOS'!B8</f>
        <v>0</v>
      </c>
      <c r="AY8" s="34">
        <f>'[14]PRINCIPAIS TRIBUTOS'!C8</f>
        <v>0</v>
      </c>
      <c r="AZ8" s="35">
        <f>'[14]PRINCIPAIS TRIBUTOS'!D8</f>
        <v>0</v>
      </c>
      <c r="BA8" s="84">
        <f>'[14]PRINCIPAIS TRIBUTOS'!E8</f>
        <v>0</v>
      </c>
      <c r="BB8" s="33">
        <f>'[15]PRINCIPAIS TRIBUTOS'!B8</f>
        <v>0</v>
      </c>
      <c r="BC8" s="34">
        <f>'[15]PRINCIPAIS TRIBUTOS'!C8</f>
        <v>0</v>
      </c>
      <c r="BD8" s="35">
        <f>'[15]PRINCIPAIS TRIBUTOS'!D8</f>
        <v>0</v>
      </c>
      <c r="BE8" s="84">
        <f>'[15]PRINCIPAIS TRIBUTOS'!E8</f>
        <v>0</v>
      </c>
      <c r="BF8" s="33">
        <f>'[16]PRINCIPAIS TRIBUTOS'!B8</f>
        <v>0</v>
      </c>
      <c r="BG8" s="34">
        <f>'[16]PRINCIPAIS TRIBUTOS'!C8</f>
        <v>0</v>
      </c>
      <c r="BH8" s="35">
        <f>'[16]PRINCIPAIS TRIBUTOS'!D8</f>
        <v>0</v>
      </c>
      <c r="BI8" s="84">
        <f>'[16]PRINCIPAIS TRIBUTOS'!E8</f>
        <v>0</v>
      </c>
      <c r="BJ8" s="33">
        <f>'[17]PRINCIPAIS TRIBUTOS'!B8</f>
        <v>0</v>
      </c>
      <c r="BK8" s="34">
        <f>'[17]PRINCIPAIS TRIBUTOS'!C8</f>
        <v>0</v>
      </c>
      <c r="BL8" s="35">
        <f>'[17]PRINCIPAIS TRIBUTOS'!D8</f>
        <v>0</v>
      </c>
      <c r="BM8" s="84">
        <f>'[17]PRINCIPAIS TRIBUTOS'!E8</f>
        <v>0</v>
      </c>
      <c r="BN8" s="33">
        <f>'[18]PRINCIPAIS TRIBUTOS'!B8</f>
        <v>0</v>
      </c>
      <c r="BO8" s="34">
        <f>'[18]PRINCIPAIS TRIBUTOS'!C8</f>
        <v>0</v>
      </c>
      <c r="BP8" s="35">
        <f>'[18]PRINCIPAIS TRIBUTOS'!D8</f>
        <v>0</v>
      </c>
      <c r="BQ8" s="84">
        <f>'[18]PRINCIPAIS TRIBUTOS'!E8</f>
        <v>0</v>
      </c>
      <c r="BR8" s="33">
        <f>'[19]PRINCIPAIS TRIBUTOS'!B8</f>
        <v>0</v>
      </c>
      <c r="BS8" s="34">
        <f>'[19]PRINCIPAIS TRIBUTOS'!C8</f>
        <v>0</v>
      </c>
      <c r="BT8" s="35">
        <f>'[19]PRINCIPAIS TRIBUTOS'!D8</f>
        <v>0</v>
      </c>
      <c r="BU8" s="84">
        <f>'[19]PRINCIPAIS TRIBUTOS'!E8</f>
        <v>0</v>
      </c>
      <c r="BV8" s="33">
        <f>'[20]PRINCIPAIS TRIBUTOS'!B8</f>
        <v>0</v>
      </c>
      <c r="BW8" s="34">
        <f>'[20]PRINCIPAIS TRIBUTOS'!C8</f>
        <v>0</v>
      </c>
      <c r="BX8" s="35">
        <f>'[20]PRINCIPAIS TRIBUTOS'!D8</f>
        <v>0</v>
      </c>
      <c r="BY8" s="84">
        <f>'[20]PRINCIPAIS TRIBUTOS'!E8</f>
        <v>0</v>
      </c>
      <c r="BZ8" s="33">
        <f>'[21]PRINCIPAIS TRIBUTOS'!B8</f>
        <v>0</v>
      </c>
      <c r="CA8" s="34">
        <f>'[21]PRINCIPAIS TRIBUTOS'!C8</f>
        <v>0</v>
      </c>
      <c r="CB8" s="35">
        <f>'[21]PRINCIPAIS TRIBUTOS'!D8</f>
        <v>0</v>
      </c>
      <c r="CC8" s="84">
        <f>'[21]PRINCIPAIS TRIBUTOS'!E8</f>
        <v>0</v>
      </c>
      <c r="CD8" s="33">
        <f>'[22]PRINCIPAIS TRIBUTOS'!B8</f>
        <v>0</v>
      </c>
      <c r="CE8" s="34">
        <f>'[22]PRINCIPAIS TRIBUTOS'!C8</f>
        <v>0</v>
      </c>
      <c r="CF8" s="35">
        <f>'[22]PRINCIPAIS TRIBUTOS'!D8</f>
        <v>0</v>
      </c>
      <c r="CG8" s="84">
        <f>'[22]PRINCIPAIS TRIBUTOS'!E8</f>
        <v>0</v>
      </c>
      <c r="CH8" s="33">
        <f>'[23]PRINCIPAIS TRIBUTOS'!B8</f>
        <v>0</v>
      </c>
      <c r="CI8" s="34">
        <f>'[23]PRINCIPAIS TRIBUTOS'!C8</f>
        <v>0</v>
      </c>
      <c r="CJ8" s="35">
        <f>'[23]PRINCIPAIS TRIBUTOS'!D8</f>
        <v>0</v>
      </c>
      <c r="CK8" s="84">
        <f>'[23]PRINCIPAIS TRIBUTOS'!E8</f>
        <v>0</v>
      </c>
      <c r="CL8" s="33">
        <f>'[24]PRINCIPAIS TRIBUTOS'!B8</f>
        <v>0</v>
      </c>
      <c r="CM8" s="34">
        <f>'[24]PRINCIPAIS TRIBUTOS'!C8</f>
        <v>0</v>
      </c>
      <c r="CN8" s="35">
        <f>'[24]PRINCIPAIS TRIBUTOS'!D8</f>
        <v>0</v>
      </c>
      <c r="CO8" s="84">
        <f>'[24]PRINCIPAIS TRIBUTOS'!E8</f>
        <v>0</v>
      </c>
      <c r="CP8" s="33">
        <f>'[25]PRINCIPAIS TRIBUTOS'!B8</f>
        <v>0</v>
      </c>
      <c r="CQ8" s="34">
        <f>'[25]PRINCIPAIS TRIBUTOS'!C8</f>
        <v>0</v>
      </c>
      <c r="CR8" s="35">
        <f>'[25]PRINCIPAIS TRIBUTOS'!D8</f>
        <v>0</v>
      </c>
      <c r="CS8" s="84">
        <f>'[25]PRINCIPAIS TRIBUTOS'!E8</f>
        <v>0</v>
      </c>
      <c r="CT8" s="33">
        <f>'[26]PRINCIPAIS TRIBUTOS'!B8</f>
        <v>0</v>
      </c>
      <c r="CU8" s="34">
        <f>'[26]PRINCIPAIS TRIBUTOS'!C8</f>
        <v>0</v>
      </c>
      <c r="CV8" s="35">
        <f>'[26]PRINCIPAIS TRIBUTOS'!D8</f>
        <v>0</v>
      </c>
      <c r="CW8" s="84">
        <f>'[26]PRINCIPAIS TRIBUTOS'!E8</f>
        <v>0</v>
      </c>
    </row>
    <row r="9" spans="1:101" x14ac:dyDescent="0.25">
      <c r="A9" s="85" t="s">
        <v>17</v>
      </c>
      <c r="B9" s="38">
        <f>'[2]PRINCIPAIS TRIBUTOS'!B9</f>
        <v>82.274923999999999</v>
      </c>
      <c r="C9" s="39">
        <f>'[2]PRINCIPAIS TRIBUTOS'!C9</f>
        <v>6.8426882113955703</v>
      </c>
      <c r="D9" s="55">
        <f>'[2]PRINCIPAIS TRIBUTOS'!D9</f>
        <v>22.391076587291987</v>
      </c>
      <c r="E9" s="86">
        <f>'[2]PRINCIPAIS TRIBUTOS'!E9</f>
        <v>474.34827657566711</v>
      </c>
      <c r="F9" s="38">
        <f>'[3]PRINCIPAIS TRIBUTOS'!B9</f>
        <v>92.126565580019985</v>
      </c>
      <c r="G9" s="39">
        <f>'[3]PRINCIPAIS TRIBUTOS'!C9</f>
        <v>7.0018024313052178</v>
      </c>
      <c r="H9" s="55">
        <f>'[3]PRINCIPAIS TRIBUTOS'!D9</f>
        <v>21.849235363469916</v>
      </c>
      <c r="I9" s="86">
        <f>'[3]PRINCIPAIS TRIBUTOS'!E9</f>
        <v>531.14698239912877</v>
      </c>
      <c r="J9" s="38">
        <f>'[4]PRINCIPAIS TRIBUTOS'!B9</f>
        <v>102.95167753705</v>
      </c>
      <c r="K9" s="39">
        <f>'[4]PRINCIPAIS TRIBUTOS'!C9</f>
        <v>6.9151381317172982</v>
      </c>
      <c r="L9" s="55">
        <f>'[4]PRINCIPAIS TRIBUTOS'!D9</f>
        <v>20.780484828340999</v>
      </c>
      <c r="M9" s="86">
        <f>'[4]PRINCIPAIS TRIBUTOS'!E9</f>
        <v>577.48437040908811</v>
      </c>
      <c r="N9" s="38">
        <f>'[5]PRINCIPAIS TRIBUTOS'!B9</f>
        <v>117.13526413602999</v>
      </c>
      <c r="O9" s="39">
        <f>'[5]PRINCIPAIS TRIBUTOS'!C9</f>
        <v>6.8183162569358817</v>
      </c>
      <c r="P9" s="55">
        <f>'[5]PRINCIPAIS TRIBUTOS'!D9</f>
        <v>20.916456143327352</v>
      </c>
      <c r="Q9" s="86">
        <f>'[5]PRINCIPAIS TRIBUTOS'!E9</f>
        <v>648.52088703721199</v>
      </c>
      <c r="R9" s="38">
        <f>'[6]PRINCIPAIS TRIBUTOS'!B9</f>
        <v>136.58038502532997</v>
      </c>
      <c r="S9" s="39">
        <f>'[6]PRINCIPAIS TRIBUTOS'!C9</f>
        <v>6.9763920450215569</v>
      </c>
      <c r="T9" s="55">
        <f>'[6]PRINCIPAIS TRIBUTOS'!D9</f>
        <v>20.748920847048918</v>
      </c>
      <c r="U9" s="86">
        <f>'[6]PRINCIPAIS TRIBUTOS'!E9</f>
        <v>746.70206483713059</v>
      </c>
      <c r="V9" s="38">
        <f>'[7]PRINCIPAIS TRIBUTOS'!B9</f>
        <v>152.3675467411</v>
      </c>
      <c r="W9" s="39">
        <f>'[7]PRINCIPAIS TRIBUTOS'!C9</f>
        <v>7.0196535376914522</v>
      </c>
      <c r="X9" s="55">
        <f>'[7]PRINCIPAIS TRIBUTOS'!D9</f>
        <v>20.202959480095089</v>
      </c>
      <c r="Y9" s="86">
        <f>'[7]PRINCIPAIS TRIBUTOS'!E9</f>
        <v>822.93752877910777</v>
      </c>
      <c r="Z9" s="38">
        <f>'[8]PRINCIPAIS TRIBUTOS'!B9</f>
        <v>165.66635759885997</v>
      </c>
      <c r="AA9" s="39">
        <f>'[8]PRINCIPAIS TRIBUTOS'!C9</f>
        <v>6.8756918632409878</v>
      </c>
      <c r="AB9" s="55">
        <f>'[8]PRINCIPAIS TRIBUTOS'!D9</f>
        <v>19.970972230516232</v>
      </c>
      <c r="AC9" s="86">
        <f>'[8]PRINCIPAIS TRIBUTOS'!E9</f>
        <v>884.33147273840029</v>
      </c>
      <c r="AD9" s="38">
        <f>'[9]PRINCIPAIS TRIBUTOS'!B9</f>
        <v>183.53723294322998</v>
      </c>
      <c r="AE9" s="39">
        <f>'[9]PRINCIPAIS TRIBUTOS'!C9</f>
        <v>6.7470400083826449</v>
      </c>
      <c r="AF9" s="55">
        <f>'[9]PRINCIPAIS TRIBUTOS'!D9</f>
        <v>19.508230551446694</v>
      </c>
      <c r="AG9" s="86">
        <f>'[9]PRINCIPAIS TRIBUTOS'!E9</f>
        <v>968.72460734158528</v>
      </c>
      <c r="AH9" s="38">
        <f>'[10]PRINCIPAIS TRIBUTOS'!B9</f>
        <v>217.29792170537999</v>
      </c>
      <c r="AI9" s="39">
        <f>'[10]PRINCIPAIS TRIBUTOS'!C9</f>
        <v>6.9875140549218075</v>
      </c>
      <c r="AJ9" s="55">
        <f>'[10]PRINCIPAIS TRIBUTOS'!D9</f>
        <v>20.103687566033592</v>
      </c>
      <c r="AK9" s="86">
        <f>'[10]PRINCIPAIS TRIBUTOS'!E9</f>
        <v>1134.5228142026635</v>
      </c>
      <c r="AL9" s="38">
        <f>'[11]PRINCIPAIS TRIBUTOS'!B9</f>
        <v>225.33715246026</v>
      </c>
      <c r="AM9" s="39">
        <f>'[11]PRINCIPAIS TRIBUTOS'!C9</f>
        <v>6.760711544637191</v>
      </c>
      <c r="AN9" s="55">
        <f>'[11]PRINCIPAIS TRIBUTOS'!D9</f>
        <v>20.38560134693498</v>
      </c>
      <c r="AO9" s="86">
        <f>'[11]PRINCIPAIS TRIBUTOS'!E9</f>
        <v>1164.2685309417211</v>
      </c>
      <c r="AP9" s="38">
        <f>'[12]PRINCIPAIS TRIBUTOS'!B9</f>
        <v>264.74599347458002</v>
      </c>
      <c r="AQ9" s="39">
        <f>'[12]PRINCIPAIS TRIBUTOS'!C9</f>
        <v>6.8130833116841707</v>
      </c>
      <c r="AR9" s="55">
        <f>'[12]PRINCIPAIS TRIBUTOS'!D9</f>
        <v>20.50129831482856</v>
      </c>
      <c r="AS9" s="86">
        <f>'[12]PRINCIPAIS TRIBUTOS'!E9</f>
        <v>1354.2147151386059</v>
      </c>
      <c r="AT9" s="38">
        <f>'[13]PRINCIPAIS TRIBUTOS'!B9</f>
        <v>294.37887302168997</v>
      </c>
      <c r="AU9" s="39">
        <f>'[13]PRINCIPAIS TRIBUTOS'!C9</f>
        <v>6.7265351384246159</v>
      </c>
      <c r="AV9" s="55">
        <f>'[13]PRINCIPAIS TRIBUTOS'!D9</f>
        <v>19.735726430996941</v>
      </c>
      <c r="AW9" s="86">
        <f>'[13]PRINCIPAIS TRIBUTOS'!E9</f>
        <v>1491.303546549472</v>
      </c>
      <c r="AX9" s="38">
        <f>'[14]PRINCIPAIS TRIBUTOS'!B9</f>
        <v>323.41528234080005</v>
      </c>
      <c r="AY9" s="39">
        <f>'[14]PRINCIPAIS TRIBUTOS'!C9</f>
        <v>6.7171631055504335</v>
      </c>
      <c r="AZ9" s="55">
        <f>'[14]PRINCIPAIS TRIBUTOS'!D9</f>
        <v>19.743183136094771</v>
      </c>
      <c r="BA9" s="86">
        <f>'[14]PRINCIPAIS TRIBUTOS'!E9</f>
        <v>1623.2246836058473</v>
      </c>
      <c r="BB9" s="38">
        <f>'[15]PRINCIPAIS TRIBUTOS'!B9</f>
        <v>357.38315919538002</v>
      </c>
      <c r="BC9" s="39">
        <f>'[15]PRINCIPAIS TRIBUTOS'!C9</f>
        <v>6.7030888590385027</v>
      </c>
      <c r="BD9" s="55">
        <f>'[15]PRINCIPAIS TRIBUTOS'!D9</f>
        <v>19.940518465200974</v>
      </c>
      <c r="BE9" s="86">
        <f>'[15]PRINCIPAIS TRIBUTOS'!E9</f>
        <v>1777.7363299954256</v>
      </c>
      <c r="BF9" s="38">
        <f>'[16]PRINCIPAIS TRIBUTOS'!B9</f>
        <v>381.24976108563999</v>
      </c>
      <c r="BG9" s="39">
        <f>'[16]PRINCIPAIS TRIBUTOS'!C9</f>
        <v>6.5972116590261241</v>
      </c>
      <c r="BH9" s="55">
        <f>'[16]PRINCIPAIS TRIBUTOS'!D9</f>
        <v>20.068087101151775</v>
      </c>
      <c r="BI9" s="86">
        <f>'[16]PRINCIPAIS TRIBUTOS'!E9</f>
        <v>1880.2212597712264</v>
      </c>
      <c r="BJ9" s="38">
        <f>'[17]PRINCIPAIS TRIBUTOS'!B9</f>
        <v>391.98353599254995</v>
      </c>
      <c r="BK9" s="39">
        <f>'[17]PRINCIPAIS TRIBUTOS'!C9</f>
        <v>6.537649452733227</v>
      </c>
      <c r="BL9" s="55">
        <f>'[17]PRINCIPAIS TRIBUTOS'!D9</f>
        <v>19.907433496672887</v>
      </c>
      <c r="BM9" s="86">
        <f>'[17]PRINCIPAIS TRIBUTOS'!E9</f>
        <v>1917.2525883865007</v>
      </c>
      <c r="BN9" s="38">
        <f>'[18]PRINCIPAIS TRIBUTOS'!B9</f>
        <v>411.93840124417</v>
      </c>
      <c r="BO9" s="39">
        <f>'[18]PRINCIPAIS TRIBUTOS'!C9</f>
        <v>6.5729204843972706</v>
      </c>
      <c r="BP9" s="55">
        <f>'[18]PRINCIPAIS TRIBUTOS'!D9</f>
        <v>19.746284756004229</v>
      </c>
      <c r="BQ9" s="86">
        <f>'[18]PRINCIPAIS TRIBUTOS'!E9</f>
        <v>1998.91080553133</v>
      </c>
      <c r="BR9" s="38">
        <f>'[19]PRINCIPAIS TRIBUTOS'!B9</f>
        <v>445.13303929963001</v>
      </c>
      <c r="BS9" s="39">
        <f>'[19]PRINCIPAIS TRIBUTOS'!C9</f>
        <v>6.7919396348170666</v>
      </c>
      <c r="BT9" s="55">
        <f>'[19]PRINCIPAIS TRIBUTOS'!D9</f>
        <v>20.202057654601354</v>
      </c>
      <c r="BU9" s="86">
        <f>'[19]PRINCIPAIS TRIBUTOS'!E9</f>
        <v>2143.5570063332907</v>
      </c>
      <c r="BV9" s="38">
        <f>'[20]PRINCIPAIS TRIBUTOS'!B9</f>
        <v>491.64151949620009</v>
      </c>
      <c r="BW9" s="39">
        <f>'[20]PRINCIPAIS TRIBUTOS'!C9</f>
        <v>7.1364342028678891</v>
      </c>
      <c r="BX9" s="55">
        <f>'[20]PRINCIPAIS TRIBUTOS'!D9</f>
        <v>20.719892809170357</v>
      </c>
      <c r="BY9" s="86">
        <f>'[20]PRINCIPAIS TRIBUTOS'!E9</f>
        <v>2358.0505781973566</v>
      </c>
      <c r="BZ9" s="38">
        <f>'[21]PRINCIPAIS TRIBUTOS'!B9</f>
        <v>524.20016894637001</v>
      </c>
      <c r="CA9" s="39">
        <f>'[21]PRINCIPAIS TRIBUTOS'!C9</f>
        <v>7.0942059214590998</v>
      </c>
      <c r="CB9" s="55">
        <f>'[21]PRINCIPAIS TRIBUTOS'!D9</f>
        <v>20.993835143030349</v>
      </c>
      <c r="CC9" s="86">
        <f>'[21]PRINCIPAIS TRIBUTOS'!E9</f>
        <v>2494.4436853293614</v>
      </c>
      <c r="CD9" s="38">
        <f>'[22]PRINCIPAIS TRIBUTOS'!B9</f>
        <v>538.05600978652001</v>
      </c>
      <c r="CE9" s="39">
        <f>'[22]PRINCIPAIS TRIBUTOS'!C9</f>
        <v>7.0707556495635719</v>
      </c>
      <c r="CF9" s="55">
        <f>'[22]PRINCIPAIS TRIBUTOS'!D9</f>
        <v>21.947518864881328</v>
      </c>
      <c r="CG9" s="86">
        <f>'[22]PRINCIPAIS TRIBUTOS'!E9</f>
        <v>2540.9282022346774</v>
      </c>
      <c r="CH9" s="38">
        <f>'[23]PRINCIPAIS TRIBUTOS'!B9</f>
        <v>655.21342219743008</v>
      </c>
      <c r="CI9" s="39">
        <f>'[23]PRINCIPAIS TRIBUTOS'!C9</f>
        <v>7.3630017214533048</v>
      </c>
      <c r="CJ9" s="55">
        <f>'[23]PRINCIPAIS TRIBUTOS'!D9</f>
        <v>21.405448644014115</v>
      </c>
      <c r="CK9" s="86">
        <f>'[23]PRINCIPAIS TRIBUTOS'!E9</f>
        <v>3071.5388810272275</v>
      </c>
      <c r="CL9" s="38">
        <f>'[24]PRINCIPAIS TRIBUTOS'!B9</f>
        <v>709.15700720199004</v>
      </c>
      <c r="CM9" s="39">
        <f>'[24]PRINCIPAIS TRIBUTOS'!C9</f>
        <v>7.035513911379593</v>
      </c>
      <c r="CN9" s="55">
        <f>'[24]PRINCIPAIS TRIBUTOS'!D9</f>
        <v>20.155113973004742</v>
      </c>
      <c r="CO9" s="86">
        <f>'[24]PRINCIPAIS TRIBUTOS'!E9</f>
        <v>3491.9951115505496</v>
      </c>
      <c r="CP9" s="38">
        <f>'[25]PRINCIPAIS TRIBUTOS'!B9</f>
        <v>720.56929576897994</v>
      </c>
      <c r="CQ9" s="39">
        <f>'[25]PRINCIPAIS TRIBUTOS'!C9</f>
        <v>6.5845439544711377</v>
      </c>
      <c r="CR9" s="55">
        <f>'[25]PRINCIPAIS TRIBUTOS'!D9</f>
        <v>19.042591778034566</v>
      </c>
      <c r="CS9" s="86">
        <f>'[25]PRINCIPAIS TRIBUTOS'!E9</f>
        <v>3467.0715703061737</v>
      </c>
      <c r="CT9" s="38">
        <f>'[26]PRINCIPAIS TRIBUTOS'!B9</f>
        <v>828.14596788186009</v>
      </c>
      <c r="CU9" s="39">
        <f>'[26]PRINCIPAIS TRIBUTOS'!C9</f>
        <v>7.0512259425232244</v>
      </c>
      <c r="CV9" s="55">
        <f>'[26]PRINCIPAIS TRIBUTOS'!D9</f>
        <v>19.613984528957559</v>
      </c>
      <c r="CW9" s="86">
        <f>'[26]PRINCIPAIS TRIBUTOS'!E9</f>
        <v>3895.6221624741311</v>
      </c>
    </row>
    <row r="10" spans="1:101" x14ac:dyDescent="0.25">
      <c r="A10" s="85" t="s">
        <v>104</v>
      </c>
      <c r="B10" s="38">
        <f>'[2]PRINCIPAIS TRIBUTOS'!B10</f>
        <v>61.041663313609995</v>
      </c>
      <c r="C10" s="39">
        <f>'[2]PRINCIPAIS TRIBUTOS'!C10</f>
        <v>5.0767481712899123</v>
      </c>
      <c r="D10" s="55">
        <f>'[2]PRINCIPAIS TRIBUTOS'!D10</f>
        <v>16.612456041536213</v>
      </c>
      <c r="E10" s="86">
        <f>'[2]PRINCIPAIS TRIBUTOS'!E10</f>
        <v>351.92992450680384</v>
      </c>
      <c r="F10" s="38">
        <f>'[3]PRINCIPAIS TRIBUTOS'!B10</f>
        <v>68.736968268220011</v>
      </c>
      <c r="G10" s="39">
        <f>'[3]PRINCIPAIS TRIBUTOS'!C10</f>
        <v>5.2241464610219994</v>
      </c>
      <c r="H10" s="55">
        <f>'[3]PRINCIPAIS TRIBUTOS'!D10</f>
        <v>16.302031758246908</v>
      </c>
      <c r="I10" s="86">
        <f>'[3]PRINCIPAIS TRIBUTOS'!E10</f>
        <v>396.29647588694803</v>
      </c>
      <c r="J10" s="38">
        <f>'[4]PRINCIPAIS TRIBUTOS'!B10</f>
        <v>76.204929168899994</v>
      </c>
      <c r="K10" s="39">
        <f>'[4]PRINCIPAIS TRIBUTOS'!C10</f>
        <v>5.1185917910957039</v>
      </c>
      <c r="L10" s="55">
        <f>'[4]PRINCIPAIS TRIBUTOS'!D10</f>
        <v>15.381734541132014</v>
      </c>
      <c r="M10" s="86">
        <f>'[4]PRINCIPAIS TRIBUTOS'!E10</f>
        <v>427.45447763426853</v>
      </c>
      <c r="N10" s="38">
        <f>'[5]PRINCIPAIS TRIBUTOS'!B10</f>
        <v>87.26140731240001</v>
      </c>
      <c r="O10" s="39">
        <f>'[5]PRINCIPAIS TRIBUTOS'!C10</f>
        <v>5.0793915604295821</v>
      </c>
      <c r="P10" s="55">
        <f>'[5]PRINCIPAIS TRIBUTOS'!D10</f>
        <v>15.581980478015767</v>
      </c>
      <c r="Q10" s="86">
        <f>'[5]PRINCIPAIS TRIBUTOS'!E10</f>
        <v>483.12389690463982</v>
      </c>
      <c r="R10" s="38">
        <f>'[6]PRINCIPAIS TRIBUTOS'!B10</f>
        <v>103.07191302741001</v>
      </c>
      <c r="S10" s="39">
        <f>'[6]PRINCIPAIS TRIBUTOS'!C10</f>
        <v>5.2648121761863491</v>
      </c>
      <c r="T10" s="55">
        <f>'[6]PRINCIPAIS TRIBUTOS'!D10</f>
        <v>15.658404862184373</v>
      </c>
      <c r="U10" s="86">
        <f>'[6]PRINCIPAIS TRIBUTOS'!E10</f>
        <v>563.50705315413029</v>
      </c>
      <c r="V10" s="38">
        <f>'[7]PRINCIPAIS TRIBUTOS'!B10</f>
        <v>117.35533433016001</v>
      </c>
      <c r="W10" s="39">
        <f>'[7]PRINCIPAIS TRIBUTOS'!C10</f>
        <v>5.4066223773848989</v>
      </c>
      <c r="X10" s="55">
        <f>'[7]PRINCIPAIS TRIBUTOS'!D10</f>
        <v>15.560564667185101</v>
      </c>
      <c r="Y10" s="86">
        <f>'[7]PRINCIPAIS TRIBUTOS'!E10</f>
        <v>633.83647560335226</v>
      </c>
      <c r="Z10" s="38">
        <f>'[8]PRINCIPAIS TRIBUTOS'!B10</f>
        <v>133.59168208175001</v>
      </c>
      <c r="AA10" s="39">
        <f>'[8]PRINCIPAIS TRIBUTOS'!C10</f>
        <v>5.5444886626304761</v>
      </c>
      <c r="AB10" s="55">
        <f>'[8]PRINCIPAIS TRIBUTOS'!D10</f>
        <v>16.104390847674082</v>
      </c>
      <c r="AC10" s="86">
        <f>'[8]PRINCIPAIS TRIBUTOS'!E10</f>
        <v>713.11599212565238</v>
      </c>
      <c r="AD10" s="38">
        <f>'[9]PRINCIPAIS TRIBUTOS'!B10</f>
        <v>151.79817371953004</v>
      </c>
      <c r="AE10" s="39">
        <f>'[9]PRINCIPAIS TRIBUTOS'!C10</f>
        <v>5.5802756468595147</v>
      </c>
      <c r="AF10" s="55">
        <f>'[9]PRINCIPAIS TRIBUTOS'!D10</f>
        <v>16.134675905924301</v>
      </c>
      <c r="AG10" s="86">
        <f>'[9]PRINCIPAIS TRIBUTOS'!E10</f>
        <v>801.2032429251334</v>
      </c>
      <c r="AH10" s="38">
        <f>'[10]PRINCIPAIS TRIBUTOS'!B10</f>
        <v>174.69842231611003</v>
      </c>
      <c r="AI10" s="39">
        <f>'[10]PRINCIPAIS TRIBUTOS'!C10</f>
        <v>5.6176684605458949</v>
      </c>
      <c r="AJ10" s="55">
        <f>'[10]PRINCIPAIS TRIBUTOS'!D10</f>
        <v>16.1625222779805</v>
      </c>
      <c r="AK10" s="86">
        <f>'[10]PRINCIPAIS TRIBUTOS'!E10</f>
        <v>912.10879592103981</v>
      </c>
      <c r="AL10" s="38">
        <f>'[11]PRINCIPAIS TRIBUTOS'!B10</f>
        <v>196.35529406840996</v>
      </c>
      <c r="AM10" s="39">
        <f>'[11]PRINCIPAIS TRIBUTOS'!C10</f>
        <v>5.8911790131591601</v>
      </c>
      <c r="AN10" s="55">
        <f>'[11]PRINCIPAIS TRIBUTOS'!D10</f>
        <v>17.763696325863183</v>
      </c>
      <c r="AO10" s="86">
        <f>'[11]PRINCIPAIS TRIBUTOS'!E10</f>
        <v>1014.525511091539</v>
      </c>
      <c r="AP10" s="38">
        <f>'[12]PRINCIPAIS TRIBUTOS'!B10</f>
        <v>231.34009780461986</v>
      </c>
      <c r="AQ10" s="39">
        <f>'[12]PRINCIPAIS TRIBUTOS'!C10</f>
        <v>5.9534021232596093</v>
      </c>
      <c r="AR10" s="55">
        <f>'[12]PRINCIPAIS TRIBUTOS'!D10</f>
        <v>17.914425427289842</v>
      </c>
      <c r="AS10" s="86">
        <f>'[12]PRINCIPAIS TRIBUTOS'!E10</f>
        <v>1183.3386429649634</v>
      </c>
      <c r="AT10" s="38">
        <f>'[13]PRINCIPAIS TRIBUTOS'!B10</f>
        <v>267.01222076611998</v>
      </c>
      <c r="AU10" s="39">
        <f>'[13]PRINCIPAIS TRIBUTOS'!C10</f>
        <v>6.1012091898312351</v>
      </c>
      <c r="AV10" s="55">
        <f>'[13]PRINCIPAIS TRIBUTOS'!D10</f>
        <v>17.901013373282506</v>
      </c>
      <c r="AW10" s="86">
        <f>'[13]PRINCIPAIS TRIBUTOS'!E10</f>
        <v>1352.6659291586664</v>
      </c>
      <c r="AX10" s="38">
        <f>'[14]PRINCIPAIS TRIBUTOS'!B10</f>
        <v>297.29904358614999</v>
      </c>
      <c r="AY10" s="39">
        <f>'[14]PRINCIPAIS TRIBUTOS'!C10</f>
        <v>6.1747427407835485</v>
      </c>
      <c r="AZ10" s="55">
        <f>'[14]PRINCIPAIS TRIBUTOS'!D10</f>
        <v>18.148893339932023</v>
      </c>
      <c r="BA10" s="86">
        <f>'[14]PRINCIPAIS TRIBUTOS'!E10</f>
        <v>1492.1470082323615</v>
      </c>
      <c r="BB10" s="38">
        <f>'[15]PRINCIPAIS TRIBUTOS'!B10</f>
        <v>324.62822062290996</v>
      </c>
      <c r="BC10" s="39">
        <f>'[15]PRINCIPAIS TRIBUTOS'!C10</f>
        <v>6.0887362848491238</v>
      </c>
      <c r="BD10" s="55">
        <f>'[15]PRINCIPAIS TRIBUTOS'!D10</f>
        <v>18.112926871625664</v>
      </c>
      <c r="BE10" s="86">
        <f>'[15]PRINCIPAIS TRIBUTOS'!E10</f>
        <v>1614.8029550200968</v>
      </c>
      <c r="BF10" s="38">
        <f>'[16]PRINCIPAIS TRIBUTOS'!B10</f>
        <v>347.97028409452008</v>
      </c>
      <c r="BG10" s="39">
        <f>'[16]PRINCIPAIS TRIBUTOS'!C10</f>
        <v>6.0213378460513534</v>
      </c>
      <c r="BH10" s="55">
        <f>'[16]PRINCIPAIS TRIBUTOS'!D10</f>
        <v>18.316334021918891</v>
      </c>
      <c r="BI10" s="86">
        <f>'[16]PRINCIPAIS TRIBUTOS'!E10</f>
        <v>1716.0958319294095</v>
      </c>
      <c r="BJ10" s="38">
        <f>'[17]PRINCIPAIS TRIBUTOS'!B10</f>
        <v>350.68109207457991</v>
      </c>
      <c r="BK10" s="39">
        <f>'[17]PRINCIPAIS TRIBUTOS'!C10</f>
        <v>5.8487916944778044</v>
      </c>
      <c r="BL10" s="55">
        <f>'[17]PRINCIPAIS TRIBUTOS'!D10</f>
        <v>17.809830969910951</v>
      </c>
      <c r="BM10" s="86">
        <f>'[17]PRINCIPAIS TRIBUTOS'!E10</f>
        <v>1715.2358957519371</v>
      </c>
      <c r="BN10" s="38">
        <f>'[18]PRINCIPAIS TRIBUTOS'!B10</f>
        <v>384.90309896091003</v>
      </c>
      <c r="BO10" s="39">
        <f>'[18]PRINCIPAIS TRIBUTOS'!C10</f>
        <v>6.1415431434093826</v>
      </c>
      <c r="BP10" s="55">
        <f>'[18]PRINCIPAIS TRIBUTOS'!D10</f>
        <v>18.450346393041382</v>
      </c>
      <c r="BQ10" s="86">
        <f>'[18]PRINCIPAIS TRIBUTOS'!E10</f>
        <v>1867.7233325946127</v>
      </c>
      <c r="BR10" s="38">
        <f>'[19]PRINCIPAIS TRIBUTOS'!B10</f>
        <v>388.43471741115002</v>
      </c>
      <c r="BS10" s="39">
        <f>'[19]PRINCIPAIS TRIBUTOS'!C10</f>
        <v>5.9268239375687015</v>
      </c>
      <c r="BT10" s="55">
        <f>'[19]PRINCIPAIS TRIBUTOS'!D10</f>
        <v>17.628843207270236</v>
      </c>
      <c r="BU10" s="86">
        <f>'[19]PRINCIPAIS TRIBUTOS'!E10</f>
        <v>1870.5238355701954</v>
      </c>
      <c r="BV10" s="38">
        <f>'[20]PRINCIPAIS TRIBUTOS'!B10</f>
        <v>410.27806239995999</v>
      </c>
      <c r="BW10" s="39">
        <f>'[20]PRINCIPAIS TRIBUTOS'!C10</f>
        <v>5.9554010007083438</v>
      </c>
      <c r="BX10" s="55">
        <f>'[20]PRINCIPAIS TRIBUTOS'!D10</f>
        <v>17.290886017097222</v>
      </c>
      <c r="BY10" s="86">
        <f>'[20]PRINCIPAIS TRIBUTOS'!E10</f>
        <v>1967.8086245752775</v>
      </c>
      <c r="BZ10" s="38">
        <f>'[21]PRINCIPAIS TRIBUTOS'!B10</f>
        <v>434.62878518012002</v>
      </c>
      <c r="CA10" s="39">
        <f>'[21]PRINCIPAIS TRIBUTOS'!C10</f>
        <v>5.8820013500927244</v>
      </c>
      <c r="CB10" s="55">
        <f>'[21]PRINCIPAIS TRIBUTOS'!D10</f>
        <v>17.40656643210755</v>
      </c>
      <c r="CC10" s="86">
        <f>'[21]PRINCIPAIS TRIBUTOS'!E10</f>
        <v>2068.2119023999021</v>
      </c>
      <c r="CD10" s="38">
        <f>'[22]PRINCIPAIS TRIBUTOS'!B10</f>
        <v>423.70763108802993</v>
      </c>
      <c r="CE10" s="39">
        <f>'[22]PRINCIPAIS TRIBUTOS'!C10</f>
        <v>5.5680692563355185</v>
      </c>
      <c r="CF10" s="55">
        <f>'[22]PRINCIPAIS TRIBUTOS'!D10</f>
        <v>17.283202970241575</v>
      </c>
      <c r="CG10" s="86">
        <f>'[22]PRINCIPAIS TRIBUTOS'!E10</f>
        <v>2000.9267618082724</v>
      </c>
      <c r="CH10" s="38">
        <f>'[23]PRINCIPAIS TRIBUTOS'!B10</f>
        <v>486.90902489121993</v>
      </c>
      <c r="CI10" s="39">
        <f>'[23]PRINCIPAIS TRIBUTOS'!C10</f>
        <v>5.471670553453543</v>
      </c>
      <c r="CJ10" s="55">
        <f>'[23]PRINCIPAIS TRIBUTOS'!D10</f>
        <v>15.907040017070148</v>
      </c>
      <c r="CK10" s="86">
        <f>'[23]PRINCIPAIS TRIBUTOS'!E10</f>
        <v>2282.5539752538698</v>
      </c>
      <c r="CL10" s="38">
        <f>'[24]PRINCIPAIS TRIBUTOS'!B10</f>
        <v>565.14113629450014</v>
      </c>
      <c r="CM10" s="39">
        <f>'[24]PRINCIPAIS TRIBUTOS'!C10</f>
        <v>5.6067391084247173</v>
      </c>
      <c r="CN10" s="55">
        <f>'[24]PRINCIPAIS TRIBUTOS'!D10</f>
        <v>16.06200587059093</v>
      </c>
      <c r="CO10" s="86">
        <f>'[24]PRINCIPAIS TRIBUTOS'!E10</f>
        <v>2782.839435039823</v>
      </c>
      <c r="CP10" s="38">
        <f>'[25]PRINCIPAIS TRIBUTOS'!B10</f>
        <v>588.33426244319014</v>
      </c>
      <c r="CQ10" s="39">
        <f>'[25]PRINCIPAIS TRIBUTOS'!C10</f>
        <v>5.3761835728017893</v>
      </c>
      <c r="CR10" s="55">
        <f>'[25]PRINCIPAIS TRIBUTOS'!D10</f>
        <v>15.547996916494514</v>
      </c>
      <c r="CS10" s="86">
        <f>'[25]PRINCIPAIS TRIBUTOS'!E10</f>
        <v>2830.8130906091374</v>
      </c>
      <c r="CT10" s="38">
        <f>'[26]PRINCIPAIS TRIBUTOS'!B10</f>
        <v>673.08268854619007</v>
      </c>
      <c r="CU10" s="39">
        <f>'[26]PRINCIPAIS TRIBUTOS'!C10</f>
        <v>5.7309439386381564</v>
      </c>
      <c r="CV10" s="55">
        <f>'[26]PRINCIPAIS TRIBUTOS'!D10</f>
        <v>15.941432974213853</v>
      </c>
      <c r="CW10" s="86">
        <f>'[26]PRINCIPAIS TRIBUTOS'!E10</f>
        <v>3166.2000907698261</v>
      </c>
    </row>
    <row r="11" spans="1:101" s="9" customFormat="1" x14ac:dyDescent="0.25">
      <c r="A11" s="75" t="s">
        <v>76</v>
      </c>
      <c r="B11" s="38">
        <f>'[2]PRINCIPAIS TRIBUTOS'!B11</f>
        <v>53.564799454199999</v>
      </c>
      <c r="C11" s="39">
        <f>'[2]PRINCIPAIS TRIBUTOS'!C11</f>
        <v>4.4549080564452685</v>
      </c>
      <c r="D11" s="55">
        <f>'[2]PRINCIPAIS TRIBUTOS'!D11</f>
        <v>14.577631538886966</v>
      </c>
      <c r="E11" s="86">
        <f>'[2]PRINCIPAIS TRIBUTOS'!E11</f>
        <v>308.82277455790785</v>
      </c>
      <c r="F11" s="38">
        <f>'[3]PRINCIPAIS TRIBUTOS'!B11</f>
        <v>64.90896533915469</v>
      </c>
      <c r="G11" s="39">
        <f>'[3]PRINCIPAIS TRIBUTOS'!C11</f>
        <v>4.9332106158938922</v>
      </c>
      <c r="H11" s="55">
        <f>'[3]PRINCIPAIS TRIBUTOS'!D11</f>
        <v>15.394161846429204</v>
      </c>
      <c r="I11" s="86">
        <f>'[3]PRINCIPAIS TRIBUTOS'!E11</f>
        <v>374.22648780493239</v>
      </c>
      <c r="J11" s="38">
        <f>'[4]PRINCIPAIS TRIBUTOS'!B11</f>
        <v>82.985837813641339</v>
      </c>
      <c r="K11" s="39">
        <f>'[4]PRINCIPAIS TRIBUTOS'!C11</f>
        <v>5.5740571225864635</v>
      </c>
      <c r="L11" s="55">
        <f>'[4]PRINCIPAIS TRIBUTOS'!D11</f>
        <v>16.750440448461234</v>
      </c>
      <c r="M11" s="86">
        <f>'[4]PRINCIPAIS TRIBUTOS'!E11</f>
        <v>465.49046551898044</v>
      </c>
      <c r="N11" s="38">
        <f>'[5]PRINCIPAIS TRIBUTOS'!B11</f>
        <v>91.303066520368674</v>
      </c>
      <c r="O11" s="39">
        <f>'[5]PRINCIPAIS TRIBUTOS'!C11</f>
        <v>5.3146521447288144</v>
      </c>
      <c r="P11" s="55">
        <f>'[5]PRINCIPAIS TRIBUTOS'!D11</f>
        <v>16.303686176067362</v>
      </c>
      <c r="Q11" s="86">
        <f>'[5]PRINCIPAIS TRIBUTOS'!E11</f>
        <v>505.50059476746316</v>
      </c>
      <c r="R11" s="38">
        <f>'[6]PRINCIPAIS TRIBUTOS'!B11</f>
        <v>100.88993270100949</v>
      </c>
      <c r="S11" s="39">
        <f>'[6]PRINCIPAIS TRIBUTOS'!C11</f>
        <v>5.1533587622230552</v>
      </c>
      <c r="T11" s="55">
        <f>'[6]PRINCIPAIS TRIBUTOS'!D11</f>
        <v>15.326924341947837</v>
      </c>
      <c r="U11" s="86">
        <f>'[6]PRINCIPAIS TRIBUTOS'!E11</f>
        <v>551.57789352513157</v>
      </c>
      <c r="V11" s="38">
        <f>'[7]PRINCIPAIS TRIBUTOS'!B11</f>
        <v>123.63890648375551</v>
      </c>
      <c r="W11" s="39">
        <f>'[7]PRINCIPAIS TRIBUTOS'!C11</f>
        <v>5.69610987285711</v>
      </c>
      <c r="X11" s="55">
        <f>'[7]PRINCIPAIS TRIBUTOS'!D11</f>
        <v>16.393726034710753</v>
      </c>
      <c r="Y11" s="86">
        <f>'[7]PRINCIPAIS TRIBUTOS'!E11</f>
        <v>667.77406566491265</v>
      </c>
      <c r="Z11" s="38">
        <f>'[8]PRINCIPAIS TRIBUTOS'!B11</f>
        <v>135.75517793474549</v>
      </c>
      <c r="AA11" s="39">
        <f>'[8]PRINCIPAIS TRIBUTOS'!C11</f>
        <v>5.634280766761937</v>
      </c>
      <c r="AB11" s="55">
        <f>'[8]PRINCIPAIS TRIBUTOS'!D11</f>
        <v>16.365198873076743</v>
      </c>
      <c r="AC11" s="86">
        <f>'[8]PRINCIPAIS TRIBUTOS'!E11</f>
        <v>724.66479117980668</v>
      </c>
      <c r="AD11" s="38">
        <f>'[9]PRINCIPAIS TRIBUTOS'!B11</f>
        <v>159.29438665698848</v>
      </c>
      <c r="AE11" s="39">
        <f>'[9]PRINCIPAIS TRIBUTOS'!C11</f>
        <v>5.8558450656053651</v>
      </c>
      <c r="AF11" s="55">
        <f>'[9]PRINCIPAIS TRIBUTOS'!D11</f>
        <v>16.931450750469928</v>
      </c>
      <c r="AG11" s="86">
        <f>'[9]PRINCIPAIS TRIBUTOS'!E11</f>
        <v>840.7688712063142</v>
      </c>
      <c r="AH11" s="38">
        <f>'[10]PRINCIPAIS TRIBUTOS'!B11</f>
        <v>192.18470554881702</v>
      </c>
      <c r="AI11" s="39">
        <f>'[10]PRINCIPAIS TRIBUTOS'!C11</f>
        <v>6.1799639896423351</v>
      </c>
      <c r="AJ11" s="55">
        <f>'[10]PRINCIPAIS TRIBUTOS'!D11</f>
        <v>17.780295573015238</v>
      </c>
      <c r="AK11" s="86">
        <f>'[10]PRINCIPAIS TRIBUTOS'!E11</f>
        <v>1003.4055147640918</v>
      </c>
      <c r="AL11" s="38">
        <f>'[11]PRINCIPAIS TRIBUTOS'!B11</f>
        <v>189.69444871760098</v>
      </c>
      <c r="AM11" s="39">
        <f>'[11]PRINCIPAIS TRIBUTOS'!C11</f>
        <v>5.6913360064974032</v>
      </c>
      <c r="AN11" s="55">
        <f>'[11]PRINCIPAIS TRIBUTOS'!D11</f>
        <v>17.161108885342809</v>
      </c>
      <c r="AO11" s="86">
        <f>'[11]PRINCIPAIS TRIBUTOS'!E11</f>
        <v>980.1103578567255</v>
      </c>
      <c r="AP11" s="38">
        <f>'[12]PRINCIPAIS TRIBUTOS'!B11</f>
        <v>212.67582889303822</v>
      </c>
      <c r="AQ11" s="39">
        <f>'[12]PRINCIPAIS TRIBUTOS'!C11</f>
        <v>5.4730880781728715</v>
      </c>
      <c r="AR11" s="55">
        <f>'[12]PRINCIPAIS TRIBUTOS'!D11</f>
        <v>16.46910895710403</v>
      </c>
      <c r="AS11" s="86">
        <f>'[12]PRINCIPAIS TRIBUTOS'!E11</f>
        <v>1087.8681609544592</v>
      </c>
      <c r="AT11" s="38">
        <f>'[13]PRINCIPAIS TRIBUTOS'!B11</f>
        <v>257.4581849332555</v>
      </c>
      <c r="AU11" s="39">
        <f>'[13]PRINCIPAIS TRIBUTOS'!C11</f>
        <v>5.8829001886319681</v>
      </c>
      <c r="AV11" s="55">
        <f>'[13]PRINCIPAIS TRIBUTOS'!D11</f>
        <v>17.260492416143496</v>
      </c>
      <c r="AW11" s="86">
        <f>'[13]PRINCIPAIS TRIBUTOS'!E11</f>
        <v>1304.2658270210318</v>
      </c>
      <c r="AX11" s="38">
        <f>'[14]PRINCIPAIS TRIBUTOS'!B11</f>
        <v>264.391770622168</v>
      </c>
      <c r="AY11" s="39">
        <f>'[14]PRINCIPAIS TRIBUTOS'!C11</f>
        <v>5.4912762136049977</v>
      </c>
      <c r="AZ11" s="55">
        <f>'[14]PRINCIPAIS TRIBUTOS'!D11</f>
        <v>16.140038619354101</v>
      </c>
      <c r="BA11" s="86">
        <f>'[14]PRINCIPAIS TRIBUTOS'!E11</f>
        <v>1326.9850611571342</v>
      </c>
      <c r="BB11" s="38">
        <f>'[15]PRINCIPAIS TRIBUTOS'!B11</f>
        <v>291.37605664641347</v>
      </c>
      <c r="BC11" s="39">
        <f>'[15]PRINCIPAIS TRIBUTOS'!C11</f>
        <v>5.4650577366164663</v>
      </c>
      <c r="BD11" s="55">
        <f>'[15]PRINCIPAIS TRIBUTOS'!D11</f>
        <v>16.257592134325623</v>
      </c>
      <c r="BE11" s="86">
        <f>'[15]PRINCIPAIS TRIBUTOS'!E11</f>
        <v>1449.3962243697981</v>
      </c>
      <c r="BF11" s="38">
        <f>'[16]PRINCIPAIS TRIBUTOS'!B11</f>
        <v>317.1933499671</v>
      </c>
      <c r="BG11" s="39">
        <f>'[16]PRINCIPAIS TRIBUTOS'!C11</f>
        <v>5.4887684666599634</v>
      </c>
      <c r="BH11" s="55">
        <f>'[16]PRINCIPAIS TRIBUTOS'!D11</f>
        <v>16.696308889269069</v>
      </c>
      <c r="BI11" s="86">
        <f>'[16]PRINCIPAIS TRIBUTOS'!E11</f>
        <v>1564.3122722698008</v>
      </c>
      <c r="BJ11" s="38">
        <f>'[17]PRINCIPAIS TRIBUTOS'!B11</f>
        <v>340.25035296514994</v>
      </c>
      <c r="BK11" s="39">
        <f>'[17]PRINCIPAIS TRIBUTOS'!C11</f>
        <v>5.6748238882593709</v>
      </c>
      <c r="BL11" s="55">
        <f>'[17]PRINCIPAIS TRIBUTOS'!D11</f>
        <v>17.280091258735762</v>
      </c>
      <c r="BM11" s="86">
        <f>'[17]PRINCIPAIS TRIBUTOS'!E11</f>
        <v>1664.2175245193278</v>
      </c>
      <c r="BN11" s="38">
        <f>'[18]PRINCIPAIS TRIBUTOS'!B11</f>
        <v>369.13102559813001</v>
      </c>
      <c r="BO11" s="39">
        <f>'[18]PRINCIPAIS TRIBUTOS'!C11</f>
        <v>5.8898827403624106</v>
      </c>
      <c r="BP11" s="55">
        <f>'[18]PRINCIPAIS TRIBUTOS'!D11</f>
        <v>17.69431138665837</v>
      </c>
      <c r="BQ11" s="86">
        <f>'[18]PRINCIPAIS TRIBUTOS'!E11</f>
        <v>1791.1901233204262</v>
      </c>
      <c r="BR11" s="38">
        <f>'[19]PRINCIPAIS TRIBUTOS'!B11</f>
        <v>407.70272958438005</v>
      </c>
      <c r="BS11" s="39">
        <f>'[19]PRINCIPAIS TRIBUTOS'!C11</f>
        <v>6.2208195838352749</v>
      </c>
      <c r="BT11" s="55">
        <f>'[19]PRINCIPAIS TRIBUTOS'!D11</f>
        <v>18.503308723075584</v>
      </c>
      <c r="BU11" s="86">
        <f>'[19]PRINCIPAIS TRIBUTOS'!E11</f>
        <v>1963.3097643725753</v>
      </c>
      <c r="BV11" s="38">
        <f>'[20]PRINCIPAIS TRIBUTOS'!B11</f>
        <v>411.91838869666003</v>
      </c>
      <c r="BW11" s="39">
        <f>'[20]PRINCIPAIS TRIBUTOS'!C11</f>
        <v>5.9792111961931127</v>
      </c>
      <c r="BX11" s="55">
        <f>'[20]PRINCIPAIS TRIBUTOS'!D11</f>
        <v>17.360016437722635</v>
      </c>
      <c r="BY11" s="86">
        <f>'[20]PRINCIPAIS TRIBUTOS'!E11</f>
        <v>1975.6760894230988</v>
      </c>
      <c r="BZ11" s="38">
        <f>'[21]PRINCIPAIS TRIBUTOS'!B11</f>
        <v>452.60582299899909</v>
      </c>
      <c r="CA11" s="39">
        <f>'[21]PRINCIPAIS TRIBUTOS'!C11</f>
        <v>6.1252916344154551</v>
      </c>
      <c r="CB11" s="55">
        <f>'[21]PRINCIPAIS TRIBUTOS'!D11</f>
        <v>18.126533709279833</v>
      </c>
      <c r="CC11" s="86">
        <f>'[21]PRINCIPAIS TRIBUTOS'!E11</f>
        <v>2153.756911968218</v>
      </c>
      <c r="CD11" s="38">
        <f>'[22]PRINCIPAIS TRIBUTOS'!B11</f>
        <v>445.66915503757991</v>
      </c>
      <c r="CE11" s="39">
        <f>'[22]PRINCIPAIS TRIBUTOS'!C11</f>
        <v>5.8566722395099235</v>
      </c>
      <c r="CF11" s="55">
        <f>'[22]PRINCIPAIS TRIBUTOS'!D11</f>
        <v>18.179022276070967</v>
      </c>
      <c r="CG11" s="86">
        <f>'[22]PRINCIPAIS TRIBUTOS'!E11</f>
        <v>2104.6383727790417</v>
      </c>
      <c r="CH11" s="38">
        <f>'[23]PRINCIPAIS TRIBUTOS'!B11</f>
        <v>581.1596863643199</v>
      </c>
      <c r="CI11" s="39">
        <f>'[23]PRINCIPAIS TRIBUTOS'!C11</f>
        <v>6.5308182436018072</v>
      </c>
      <c r="CJ11" s="55">
        <f>'[23]PRINCIPAIS TRIBUTOS'!D11</f>
        <v>18.98615534877483</v>
      </c>
      <c r="CK11" s="86">
        <f>'[23]PRINCIPAIS TRIBUTOS'!E11</f>
        <v>2724.3864552819277</v>
      </c>
      <c r="CL11" s="38">
        <f>'[24]PRINCIPAIS TRIBUTOS'!B11</f>
        <v>746.74604659664999</v>
      </c>
      <c r="CM11" s="39">
        <f>'[24]PRINCIPAIS TRIBUTOS'!C11</f>
        <v>7.4084330349174916</v>
      </c>
      <c r="CN11" s="55">
        <f>'[24]PRINCIPAIS TRIBUTOS'!D11</f>
        <v>21.223440684073037</v>
      </c>
      <c r="CO11" s="86">
        <f>'[24]PRINCIPAIS TRIBUTOS'!E11</f>
        <v>3677.0891605143033</v>
      </c>
      <c r="CP11" s="38">
        <f>'[25]PRINCIPAIS TRIBUTOS'!B11</f>
        <v>845.20542070269494</v>
      </c>
      <c r="CQ11" s="39">
        <f>'[25]PRINCIPAIS TRIBUTOS'!C11</f>
        <v>7.7234657039264683</v>
      </c>
      <c r="CR11" s="55">
        <f>'[25]PRINCIPAIS TRIBUTOS'!D11</f>
        <v>22.336369159120448</v>
      </c>
      <c r="CS11" s="86">
        <f>'[25]PRINCIPAIS TRIBUTOS'!E11</f>
        <v>4066.767349640842</v>
      </c>
      <c r="CT11" s="38">
        <f>'[26]PRINCIPAIS TRIBUTOS'!B11</f>
        <v>894.47914808829</v>
      </c>
      <c r="CU11" s="39">
        <f>'[26]PRINCIPAIS TRIBUTOS'!C11</f>
        <v>7.6160179710564977</v>
      </c>
      <c r="CV11" s="55">
        <f>'[26]PRINCIPAIS TRIBUTOS'!D11</f>
        <v>21.185033620282816</v>
      </c>
      <c r="CW11" s="86">
        <f>'[26]PRINCIPAIS TRIBUTOS'!E11</f>
        <v>4207.6553268454909</v>
      </c>
    </row>
    <row r="12" spans="1:101" x14ac:dyDescent="0.25">
      <c r="A12" s="75" t="s">
        <v>18</v>
      </c>
      <c r="B12" s="38">
        <f>'[2]PRINCIPAIS TRIBUTOS'!B12</f>
        <v>38.634038693969998</v>
      </c>
      <c r="C12" s="39">
        <f>'[2]PRINCIPAIS TRIBUTOS'!C12</f>
        <v>3.2131379559807169</v>
      </c>
      <c r="D12" s="55">
        <f>'[2]PRINCIPAIS TRIBUTOS'!D12</f>
        <v>10.514232979091956</v>
      </c>
      <c r="E12" s="86">
        <f>'[2]PRINCIPAIS TRIBUTOS'!E12</f>
        <v>222.74088848313377</v>
      </c>
      <c r="F12" s="38">
        <f>'[3]PRINCIPAIS TRIBUTOS'!B12</f>
        <v>45.678823204409994</v>
      </c>
      <c r="G12" s="39">
        <f>'[3]PRINCIPAIS TRIBUTOS'!C12</f>
        <v>3.4716815215910248</v>
      </c>
      <c r="H12" s="55">
        <f>'[3]PRINCIPAIS TRIBUTOS'!D12</f>
        <v>10.833437163709242</v>
      </c>
      <c r="I12" s="86">
        <f>'[3]PRINCIPAIS TRIBUTOS'!E12</f>
        <v>263.3569258966009</v>
      </c>
      <c r="J12" s="38">
        <f>'[4]PRINCIPAIS TRIBUTOS'!B12</f>
        <v>50.855605865240008</v>
      </c>
      <c r="K12" s="39">
        <f>'[4]PRINCIPAIS TRIBUTOS'!C12</f>
        <v>3.4159087811245001</v>
      </c>
      <c r="L12" s="55">
        <f>'[4]PRINCIPAIS TRIBUTOS'!D12</f>
        <v>10.265050277965498</v>
      </c>
      <c r="M12" s="86">
        <f>'[4]PRINCIPAIS TRIBUTOS'!E12</f>
        <v>285.26312768717975</v>
      </c>
      <c r="N12" s="38">
        <f>'[5]PRINCIPAIS TRIBUTOS'!B12</f>
        <v>57.522166297600009</v>
      </c>
      <c r="O12" s="39">
        <f>'[5]PRINCIPAIS TRIBUTOS'!C12</f>
        <v>3.3483027036642512</v>
      </c>
      <c r="P12" s="55">
        <f>'[5]PRINCIPAIS TRIBUTOS'!D12</f>
        <v>10.271542711814741</v>
      </c>
      <c r="Q12" s="86">
        <f>'[5]PRINCIPAIS TRIBUTOS'!E12</f>
        <v>318.47220891822809</v>
      </c>
      <c r="R12" s="38">
        <f>'[6]PRINCIPAIS TRIBUTOS'!B12</f>
        <v>77.290068584170001</v>
      </c>
      <c r="S12" s="39">
        <f>'[6]PRINCIPAIS TRIBUTOS'!C12</f>
        <v>3.9479008609455439</v>
      </c>
      <c r="T12" s="55">
        <f>'[6]PRINCIPAIS TRIBUTOS'!D12</f>
        <v>11.741697133292666</v>
      </c>
      <c r="U12" s="86">
        <f>'[6]PRINCIPAIS TRIBUTOS'!E12</f>
        <v>422.55448168856668</v>
      </c>
      <c r="V12" s="38">
        <f>'[7]PRINCIPAIS TRIBUTOS'!B12</f>
        <v>86.532235198110016</v>
      </c>
      <c r="W12" s="39">
        <f>'[7]PRINCIPAIS TRIBUTOS'!C12</f>
        <v>3.9865858834420216</v>
      </c>
      <c r="X12" s="55">
        <f>'[7]PRINCIPAIS TRIBUTOS'!D12</f>
        <v>11.473619407943836</v>
      </c>
      <c r="Y12" s="86">
        <f>'[7]PRINCIPAIS TRIBUTOS'!E12</f>
        <v>467.36083448705062</v>
      </c>
      <c r="Z12" s="38">
        <f>'[8]PRINCIPAIS TRIBUTOS'!B12</f>
        <v>89.096351174710009</v>
      </c>
      <c r="AA12" s="39">
        <f>'[8]PRINCIPAIS TRIBUTOS'!C12</f>
        <v>3.6977879256556481</v>
      </c>
      <c r="AB12" s="55">
        <f>'[8]PRINCIPAIS TRIBUTOS'!D12</f>
        <v>10.740507493132089</v>
      </c>
      <c r="AC12" s="86">
        <f>'[8]PRINCIPAIS TRIBUTOS'!E12</f>
        <v>475.59871896701367</v>
      </c>
      <c r="AD12" s="38">
        <f>'[9]PRINCIPAIS TRIBUTOS'!B12</f>
        <v>100.55555147960999</v>
      </c>
      <c r="AE12" s="39">
        <f>'[9]PRINCIPAIS TRIBUTOS'!C12</f>
        <v>3.6965378523918457</v>
      </c>
      <c r="AF12" s="55">
        <f>'[9]PRINCIPAIS TRIBUTOS'!D12</f>
        <v>10.688081377465581</v>
      </c>
      <c r="AG12" s="86">
        <f>'[9]PRINCIPAIS TRIBUTOS'!E12</f>
        <v>530.74046917353223</v>
      </c>
      <c r="AH12" s="38">
        <f>'[10]PRINCIPAIS TRIBUTOS'!B12</f>
        <v>118.43104904162</v>
      </c>
      <c r="AI12" s="39">
        <f>'[10]PRINCIPAIS TRIBUTOS'!C12</f>
        <v>3.8083135504602703</v>
      </c>
      <c r="AJ12" s="55">
        <f>'[10]PRINCIPAIS TRIBUTOS'!D12</f>
        <v>10.956850343366089</v>
      </c>
      <c r="AK12" s="86">
        <f>'[10]PRINCIPAIS TRIBUTOS'!E12</f>
        <v>618.33415613540012</v>
      </c>
      <c r="AL12" s="38">
        <f>'[11]PRINCIPAIS TRIBUTOS'!B12</f>
        <v>114.72393355384001</v>
      </c>
      <c r="AM12" s="39">
        <f>'[11]PRINCIPAIS TRIBUTOS'!C12</f>
        <v>3.4420219371522509</v>
      </c>
      <c r="AN12" s="55">
        <f>'[11]PRINCIPAIS TRIBUTOS'!D12</f>
        <v>10.378742914101977</v>
      </c>
      <c r="AO12" s="86">
        <f>'[11]PRINCIPAIS TRIBUTOS'!E12</f>
        <v>592.75385405494092</v>
      </c>
      <c r="AP12" s="38">
        <f>'[12]PRINCIPAIS TRIBUTOS'!B12</f>
        <v>138.63600394068001</v>
      </c>
      <c r="AQ12" s="39">
        <f>'[12]PRINCIPAIS TRIBUTOS'!C12</f>
        <v>3.567716483450841</v>
      </c>
      <c r="AR12" s="55">
        <f>'[12]PRINCIPAIS TRIBUTOS'!D12</f>
        <v>10.73564149795728</v>
      </c>
      <c r="AS12" s="86">
        <f>'[12]PRINCIPAIS TRIBUTOS'!E12</f>
        <v>709.14356104319688</v>
      </c>
      <c r="AT12" s="38">
        <f>'[13]PRINCIPAIS TRIBUTOS'!B12</f>
        <v>158.16676446288002</v>
      </c>
      <c r="AU12" s="39">
        <f>'[13]PRINCIPAIS TRIBUTOS'!C12</f>
        <v>3.6140986884344204</v>
      </c>
      <c r="AV12" s="55">
        <f>'[13]PRINCIPAIS TRIBUTOS'!D12</f>
        <v>10.603804416648249</v>
      </c>
      <c r="AW12" s="86">
        <f>'[13]PRINCIPAIS TRIBUTOS'!E12</f>
        <v>801.26217744018822</v>
      </c>
      <c r="AX12" s="38">
        <f>'[14]PRINCIPAIS TRIBUTOS'!B12</f>
        <v>174.62599742731999</v>
      </c>
      <c r="AY12" s="39">
        <f>'[14]PRINCIPAIS TRIBUTOS'!C12</f>
        <v>3.6268889296106139</v>
      </c>
      <c r="AZ12" s="55">
        <f>'[14]PRINCIPAIS TRIBUTOS'!D12</f>
        <v>10.660204497998318</v>
      </c>
      <c r="BA12" s="86">
        <f>'[14]PRINCIPAIS TRIBUTOS'!E12</f>
        <v>876.44970692703032</v>
      </c>
      <c r="BB12" s="38">
        <f>'[15]PRINCIPAIS TRIBUTOS'!B12</f>
        <v>193.12482623354995</v>
      </c>
      <c r="BC12" s="39">
        <f>'[15]PRINCIPAIS TRIBUTOS'!C12</f>
        <v>3.6222548204128984</v>
      </c>
      <c r="BD12" s="55">
        <f>'[15]PRINCIPAIS TRIBUTOS'!D12</f>
        <v>10.775575358024915</v>
      </c>
      <c r="BE12" s="86">
        <f>'[15]PRINCIPAIS TRIBUTOS'!E12</f>
        <v>960.66367702497394</v>
      </c>
      <c r="BF12" s="38">
        <f>'[16]PRINCIPAIS TRIBUTOS'!B12</f>
        <v>193.55240874917999</v>
      </c>
      <c r="BG12" s="39">
        <f>'[16]PRINCIPAIS TRIBUTOS'!C12</f>
        <v>3.3492642828065913</v>
      </c>
      <c r="BH12" s="55">
        <f>'[16]PRINCIPAIS TRIBUTOS'!D12</f>
        <v>10.188141721992485</v>
      </c>
      <c r="BI12" s="86">
        <f>'[16]PRINCIPAIS TRIBUTOS'!E12</f>
        <v>954.5484114503904</v>
      </c>
      <c r="BJ12" s="38">
        <f>'[17]PRINCIPAIS TRIBUTOS'!B12</f>
        <v>199.3447021568</v>
      </c>
      <c r="BK12" s="39">
        <f>'[17]PRINCIPAIS TRIBUTOS'!C12</f>
        <v>3.3247462285901754</v>
      </c>
      <c r="BL12" s="55">
        <f>'[17]PRINCIPAIS TRIBUTOS'!D12</f>
        <v>10.124000211008823</v>
      </c>
      <c r="BM12" s="86">
        <f>'[17]PRINCIPAIS TRIBUTOS'!E12</f>
        <v>975.02601792572443</v>
      </c>
      <c r="BN12" s="38">
        <f>'[18]PRINCIPAIS TRIBUTOS'!B12</f>
        <v>200.94414766266004</v>
      </c>
      <c r="BO12" s="39">
        <f>'[18]PRINCIPAIS TRIBUTOS'!C12</f>
        <v>3.2062801147028064</v>
      </c>
      <c r="BP12" s="55">
        <f>'[18]PRINCIPAIS TRIBUTOS'!D12</f>
        <v>9.632266251010515</v>
      </c>
      <c r="BQ12" s="86">
        <f>'[18]PRINCIPAIS TRIBUTOS'!E12</f>
        <v>975.07158074610061</v>
      </c>
      <c r="BR12" s="38">
        <f>'[19]PRINCIPAIS TRIBUTOS'!B12</f>
        <v>214.80577774813</v>
      </c>
      <c r="BS12" s="39">
        <f>'[19]PRINCIPAIS TRIBUTOS'!C12</f>
        <v>3.2775546788679875</v>
      </c>
      <c r="BT12" s="55">
        <f>'[19]PRINCIPAIS TRIBUTOS'!D12</f>
        <v>9.7488128794865077</v>
      </c>
      <c r="BU12" s="86">
        <f>'[19]PRINCIPAIS TRIBUTOS'!E12</f>
        <v>1034.4063217984062</v>
      </c>
      <c r="BV12" s="38">
        <f>'[20]PRINCIPAIS TRIBUTOS'!B12</f>
        <v>243.26353049001</v>
      </c>
      <c r="BW12" s="39">
        <f>'[20]PRINCIPAIS TRIBUTOS'!C12</f>
        <v>3.531097579143172</v>
      </c>
      <c r="BX12" s="55">
        <f>'[20]PRINCIPAIS TRIBUTOS'!D12</f>
        <v>10.252173740937087</v>
      </c>
      <c r="BY12" s="86">
        <f>'[20]PRINCIPAIS TRIBUTOS'!E12</f>
        <v>1166.7601005588626</v>
      </c>
      <c r="BZ12" s="38">
        <f>'[21]PRINCIPAIS TRIBUTOS'!B12</f>
        <v>236.27308958230998</v>
      </c>
      <c r="CA12" s="39">
        <f>'[21]PRINCIPAIS TRIBUTOS'!C12</f>
        <v>3.1975761369274678</v>
      </c>
      <c r="CB12" s="55">
        <f>'[21]PRINCIPAIS TRIBUTOS'!D12</f>
        <v>9.462565228461294</v>
      </c>
      <c r="CC12" s="86">
        <f>'[21]PRINCIPAIS TRIBUTOS'!E12</f>
        <v>1124.3222555736129</v>
      </c>
      <c r="CD12" s="38">
        <f>'[22]PRINCIPAIS TRIBUTOS'!B12</f>
        <v>217.36630498938004</v>
      </c>
      <c r="CE12" s="39">
        <f>'[22]PRINCIPAIS TRIBUTOS'!C12</f>
        <v>2.8564759078487345</v>
      </c>
      <c r="CF12" s="55">
        <f>'[22]PRINCIPAIS TRIBUTOS'!D12</f>
        <v>8.8664581243814702</v>
      </c>
      <c r="CG12" s="86">
        <f>'[22]PRINCIPAIS TRIBUTOS'!E12</f>
        <v>1026.4956891424672</v>
      </c>
      <c r="CH12" s="38">
        <f>'[23]PRINCIPAIS TRIBUTOS'!B12</f>
        <v>267.76451084464003</v>
      </c>
      <c r="CI12" s="39">
        <f>'[23]PRINCIPAIS TRIBUTOS'!C12</f>
        <v>3.0090204008353103</v>
      </c>
      <c r="CJ12" s="55">
        <f>'[23]PRINCIPAIS TRIBUTOS'!D12</f>
        <v>8.7477137851541755</v>
      </c>
      <c r="CK12" s="86">
        <f>'[23]PRINCIPAIS TRIBUTOS'!E12</f>
        <v>1255.2384889495238</v>
      </c>
      <c r="CL12" s="38">
        <f>'[24]PRINCIPAIS TRIBUTOS'!B12</f>
        <v>269.29528162714996</v>
      </c>
      <c r="CM12" s="39">
        <f>'[24]PRINCIPAIS TRIBUTOS'!C12</f>
        <v>2.6716660498526936</v>
      </c>
      <c r="CN12" s="55">
        <f>'[24]PRINCIPAIS TRIBUTOS'!D12</f>
        <v>7.6537029719310743</v>
      </c>
      <c r="CO12" s="86">
        <f>'[24]PRINCIPAIS TRIBUTOS'!E12</f>
        <v>1326.050222243362</v>
      </c>
      <c r="CP12" s="38">
        <f>'[25]PRINCIPAIS TRIBUTOS'!B12</f>
        <v>326.94473821844002</v>
      </c>
      <c r="CQ12" s="39">
        <f>'[25]PRINCIPAIS TRIBUTOS'!C12</f>
        <v>2.9876127280513165</v>
      </c>
      <c r="CR12" s="55">
        <f>'[25]PRINCIPAIS TRIBUTOS'!D12</f>
        <v>8.6402171455640158</v>
      </c>
      <c r="CS12" s="86">
        <f>'[25]PRINCIPAIS TRIBUTOS'!E12</f>
        <v>1573.1183851355352</v>
      </c>
      <c r="CT12" s="38">
        <f>'[26]PRINCIPAIS TRIBUTOS'!B12</f>
        <v>353.79252403217998</v>
      </c>
      <c r="CU12" s="39">
        <f>'[26]PRINCIPAIS TRIBUTOS'!C12</f>
        <v>3.0123566623249665</v>
      </c>
      <c r="CV12" s="55">
        <f>'[26]PRINCIPAIS TRIBUTOS'!D12</f>
        <v>8.3792970828277369</v>
      </c>
      <c r="CW12" s="86">
        <f>'[26]PRINCIPAIS TRIBUTOS'!E12</f>
        <v>1664.2500851178888</v>
      </c>
    </row>
    <row r="13" spans="1:101" x14ac:dyDescent="0.25">
      <c r="A13" s="75" t="s">
        <v>19</v>
      </c>
      <c r="B13" s="38">
        <f>'[2]PRINCIPAIS TRIBUTOS'!B13</f>
        <v>18.708530527099995</v>
      </c>
      <c r="C13" s="39">
        <f>'[2]PRINCIPAIS TRIBUTOS'!C13</f>
        <v>1.5559618297589832</v>
      </c>
      <c r="D13" s="55">
        <f>'[2]PRINCIPAIS TRIBUTOS'!D13</f>
        <v>5.0915165824764061</v>
      </c>
      <c r="E13" s="86">
        <f>'[2]PRINCIPAIS TRIBUTOS'!E13</f>
        <v>107.86225962108624</v>
      </c>
      <c r="F13" s="38">
        <f>'[3]PRINCIPAIS TRIBUTOS'!B13</f>
        <v>21.074052206149997</v>
      </c>
      <c r="G13" s="39">
        <f>'[3]PRINCIPAIS TRIBUTOS'!C13</f>
        <v>1.601669931419603</v>
      </c>
      <c r="H13" s="55">
        <f>'[3]PRINCIPAIS TRIBUTOS'!D13</f>
        <v>4.9980363841337496</v>
      </c>
      <c r="I13" s="86">
        <f>'[3]PRINCIPAIS TRIBUTOS'!E13</f>
        <v>121.50045066529489</v>
      </c>
      <c r="J13" s="38">
        <f>'[4]PRINCIPAIS TRIBUTOS'!B13</f>
        <v>22.421996700430004</v>
      </c>
      <c r="K13" s="39">
        <f>'[4]PRINCIPAIS TRIBUTOS'!C13</f>
        <v>1.5060580660920604</v>
      </c>
      <c r="L13" s="55">
        <f>'[4]PRINCIPAIS TRIBUTOS'!D13</f>
        <v>4.5258122393072826</v>
      </c>
      <c r="M13" s="86">
        <f>'[4]PRINCIPAIS TRIBUTOS'!E13</f>
        <v>125.77116718863226</v>
      </c>
      <c r="N13" s="38">
        <f>'[5]PRINCIPAIS TRIBUTOS'!B13</f>
        <v>24.956352242580003</v>
      </c>
      <c r="O13" s="39">
        <f>'[5]PRINCIPAIS TRIBUTOS'!C13</f>
        <v>1.4526821061486075</v>
      </c>
      <c r="P13" s="55">
        <f>'[5]PRINCIPAIS TRIBUTOS'!D13</f>
        <v>4.4563731599491128</v>
      </c>
      <c r="Q13" s="86">
        <f>'[5]PRINCIPAIS TRIBUTOS'!E13</f>
        <v>138.17116316718827</v>
      </c>
      <c r="R13" s="38">
        <f>'[6]PRINCIPAIS TRIBUTOS'!B13</f>
        <v>28.269333316919997</v>
      </c>
      <c r="S13" s="39">
        <f>'[6]PRINCIPAIS TRIBUTOS'!C13</f>
        <v>1.4439698060131241</v>
      </c>
      <c r="T13" s="55">
        <f>'[6]PRINCIPAIS TRIBUTOS'!D13</f>
        <v>4.2946002772128198</v>
      </c>
      <c r="U13" s="86">
        <f>'[6]PRINCIPAIS TRIBUTOS'!E13</f>
        <v>154.55198457229753</v>
      </c>
      <c r="V13" s="38">
        <f>'[7]PRINCIPAIS TRIBUTOS'!B13</f>
        <v>32.24787701727</v>
      </c>
      <c r="W13" s="39">
        <f>'[7]PRINCIPAIS TRIBUTOS'!C13</f>
        <v>1.4856767653545011</v>
      </c>
      <c r="X13" s="55">
        <f>'[7]PRINCIPAIS TRIBUTOS'!D13</f>
        <v>4.2758616689288571</v>
      </c>
      <c r="Y13" s="86">
        <f>'[7]PRINCIPAIS TRIBUTOS'!E13</f>
        <v>174.1708702973186</v>
      </c>
      <c r="Z13" s="38">
        <f>'[8]PRINCIPAIS TRIBUTOS'!B13</f>
        <v>36.505404629329995</v>
      </c>
      <c r="AA13" s="39">
        <f>'[8]PRINCIPAIS TRIBUTOS'!C13</f>
        <v>1.5150928481325612</v>
      </c>
      <c r="AB13" s="55">
        <f>'[8]PRINCIPAIS TRIBUTOS'!D13</f>
        <v>4.4007029108553599</v>
      </c>
      <c r="AC13" s="86">
        <f>'[8]PRINCIPAIS TRIBUTOS'!E13</f>
        <v>194.86683178569962</v>
      </c>
      <c r="AD13" s="38">
        <f>'[9]PRINCIPAIS TRIBUTOS'!B13</f>
        <v>41.630508849160002</v>
      </c>
      <c r="AE13" s="39">
        <f>'[9]PRINCIPAIS TRIBUTOS'!C13</f>
        <v>1.5303854388035276</v>
      </c>
      <c r="AF13" s="55">
        <f>'[9]PRINCIPAIS TRIBUTOS'!D13</f>
        <v>4.4249199553676277</v>
      </c>
      <c r="AG13" s="86">
        <f>'[9]PRINCIPAIS TRIBUTOS'!E13</f>
        <v>219.72924889200522</v>
      </c>
      <c r="AH13" s="38">
        <f>'[10]PRINCIPAIS TRIBUTOS'!B13</f>
        <v>48.714379836640006</v>
      </c>
      <c r="AI13" s="39">
        <f>'[10]PRINCIPAIS TRIBUTOS'!C13</f>
        <v>1.5664779999453344</v>
      </c>
      <c r="AJ13" s="55">
        <f>'[10]PRINCIPAIS TRIBUTOS'!D13</f>
        <v>4.5068938741932296</v>
      </c>
      <c r="AK13" s="86">
        <f>'[10]PRINCIPAIS TRIBUTOS'!E13</f>
        <v>254.34010077342569</v>
      </c>
      <c r="AL13" s="38">
        <f>'[11]PRINCIPAIS TRIBUTOS'!B13</f>
        <v>54.725947860410002</v>
      </c>
      <c r="AM13" s="39">
        <f>'[11]PRINCIPAIS TRIBUTOS'!C13</f>
        <v>1.6419234176500783</v>
      </c>
      <c r="AN13" s="55">
        <f>'[11]PRINCIPAIS TRIBUTOS'!D13</f>
        <v>4.9508984392274868</v>
      </c>
      <c r="AO13" s="86">
        <f>'[11]PRINCIPAIS TRIBUTOS'!E13</f>
        <v>282.75718506325558</v>
      </c>
      <c r="AP13" s="38">
        <f>'[12]PRINCIPAIS TRIBUTOS'!B13</f>
        <v>61.797213442769994</v>
      </c>
      <c r="AQ13" s="39">
        <f>'[12]PRINCIPAIS TRIBUTOS'!C13</f>
        <v>1.5903151473223212</v>
      </c>
      <c r="AR13" s="55">
        <f>'[12]PRINCIPAIS TRIBUTOS'!D13</f>
        <v>4.7854288225026789</v>
      </c>
      <c r="AS13" s="86">
        <f>'[12]PRINCIPAIS TRIBUTOS'!E13</f>
        <v>316.10184048657078</v>
      </c>
      <c r="AT13" s="38">
        <f>'[13]PRINCIPAIS TRIBUTOS'!B13</f>
        <v>72.26093929261998</v>
      </c>
      <c r="AU13" s="39">
        <f>'[13]PRINCIPAIS TRIBUTOS'!C13</f>
        <v>1.651157035483191</v>
      </c>
      <c r="AV13" s="55">
        <f>'[13]PRINCIPAIS TRIBUTOS'!D13</f>
        <v>4.8445124980859218</v>
      </c>
      <c r="AW13" s="86">
        <f>'[13]PRINCIPAIS TRIBUTOS'!E13</f>
        <v>366.06905223168053</v>
      </c>
      <c r="AX13" s="38">
        <f>'[14]PRINCIPAIS TRIBUTOS'!B13</f>
        <v>83.033513518829992</v>
      </c>
      <c r="AY13" s="39">
        <f>'[14]PRINCIPAIS TRIBUTOS'!C13</f>
        <v>1.7245618373258478</v>
      </c>
      <c r="AZ13" s="55">
        <f>'[14]PRINCIPAIS TRIBUTOS'!D13</f>
        <v>5.0688571423418223</v>
      </c>
      <c r="BA13" s="86">
        <f>'[14]PRINCIPAIS TRIBUTOS'!E13</f>
        <v>416.7460725255944</v>
      </c>
      <c r="BB13" s="38">
        <f>'[15]PRINCIPAIS TRIBUTOS'!B13</f>
        <v>94.415141165540021</v>
      </c>
      <c r="BC13" s="39">
        <f>'[15]PRINCIPAIS TRIBUTOS'!C13</f>
        <v>1.7708531154521736</v>
      </c>
      <c r="BD13" s="55">
        <f>'[15]PRINCIPAIS TRIBUTOS'!D13</f>
        <v>5.2679786872015129</v>
      </c>
      <c r="BE13" s="86">
        <f>'[15]PRINCIPAIS TRIBUTOS'!E13</f>
        <v>469.65063191426657</v>
      </c>
      <c r="BF13" s="38">
        <f>'[16]PRINCIPAIS TRIBUTOS'!B13</f>
        <v>104.74419295153999</v>
      </c>
      <c r="BG13" s="39">
        <f>'[16]PRINCIPAIS TRIBUTOS'!C13</f>
        <v>1.8125115907940414</v>
      </c>
      <c r="BH13" s="55">
        <f>'[16]PRINCIPAIS TRIBUTOS'!D13</f>
        <v>5.5134869632591776</v>
      </c>
      <c r="BI13" s="86">
        <f>'[16]PRINCIPAIS TRIBUTOS'!E13</f>
        <v>516.57018187829328</v>
      </c>
      <c r="BJ13" s="38">
        <f>'[17]PRINCIPAIS TRIBUTOS'!B13</f>
        <v>113.52938475098</v>
      </c>
      <c r="BK13" s="39">
        <f>'[17]PRINCIPAIS TRIBUTOS'!C13</f>
        <v>1.8934859552379031</v>
      </c>
      <c r="BL13" s="55">
        <f>'[17]PRINCIPAIS TRIBUTOS'!D13</f>
        <v>5.7657489902618737</v>
      </c>
      <c r="BM13" s="86">
        <f>'[17]PRINCIPAIS TRIBUTOS'!E13</f>
        <v>555.28992109474791</v>
      </c>
      <c r="BN13" s="38">
        <f>'[18]PRINCIPAIS TRIBUTOS'!B13</f>
        <v>119.08933892390002</v>
      </c>
      <c r="BO13" s="39">
        <f>'[18]PRINCIPAIS TRIBUTOS'!C13</f>
        <v>1.9001985561969015</v>
      </c>
      <c r="BP13" s="55">
        <f>'[18]PRINCIPAIS TRIBUTOS'!D13</f>
        <v>5.70855251827268</v>
      </c>
      <c r="BQ13" s="86">
        <f>'[18]PRINCIPAIS TRIBUTOS'!E13</f>
        <v>577.87515240043558</v>
      </c>
      <c r="BR13" s="38">
        <f>'[19]PRINCIPAIS TRIBUTOS'!B13</f>
        <v>123.53500958701999</v>
      </c>
      <c r="BS13" s="39">
        <f>'[19]PRINCIPAIS TRIBUTOS'!C13</f>
        <v>1.8849248512798153</v>
      </c>
      <c r="BT13" s="55">
        <f>'[19]PRINCIPAIS TRIBUTOS'!D13</f>
        <v>5.6065516726535725</v>
      </c>
      <c r="BU13" s="86">
        <f>'[19]PRINCIPAIS TRIBUTOS'!E13</f>
        <v>594.88807154002473</v>
      </c>
      <c r="BV13" s="38">
        <f>'[20]PRINCIPAIS TRIBUTOS'!B13</f>
        <v>120.65828096146998</v>
      </c>
      <c r="BW13" s="39">
        <f>'[20]PRINCIPAIS TRIBUTOS'!C13</f>
        <v>1.7514181552344119</v>
      </c>
      <c r="BX13" s="55">
        <f>'[20]PRINCIPAIS TRIBUTOS'!D13</f>
        <v>5.0850600466418534</v>
      </c>
      <c r="BY13" s="86">
        <f>'[20]PRINCIPAIS TRIBUTOS'!E13</f>
        <v>578.71094670166985</v>
      </c>
      <c r="BZ13" s="38">
        <f>'[21]PRINCIPAIS TRIBUTOS'!B13</f>
        <v>128.70962267991001</v>
      </c>
      <c r="CA13" s="39">
        <f>'[21]PRINCIPAIS TRIBUTOS'!C13</f>
        <v>1.7418776670749241</v>
      </c>
      <c r="CB13" s="55">
        <f>'[21]PRINCIPAIS TRIBUTOS'!D13</f>
        <v>5.1547266863626646</v>
      </c>
      <c r="CC13" s="86">
        <f>'[21]PRINCIPAIS TRIBUTOS'!E13</f>
        <v>612.47386886644301</v>
      </c>
      <c r="CD13" s="38">
        <f>'[22]PRINCIPAIS TRIBUTOS'!B13</f>
        <v>127.27413977588</v>
      </c>
      <c r="CE13" s="39">
        <f>'[22]PRINCIPAIS TRIBUTOS'!C13</f>
        <v>1.6725477022749038</v>
      </c>
      <c r="CF13" s="55">
        <f>'[22]PRINCIPAIS TRIBUTOS'!D13</f>
        <v>5.1915628353467591</v>
      </c>
      <c r="CG13" s="86">
        <f>'[22]PRINCIPAIS TRIBUTOS'!E13</f>
        <v>601.04235486562504</v>
      </c>
      <c r="CH13" s="38">
        <f>'[23]PRINCIPAIS TRIBUTOS'!B13</f>
        <v>137.16133031404999</v>
      </c>
      <c r="CI13" s="39">
        <f>'[23]PRINCIPAIS TRIBUTOS'!C13</f>
        <v>1.5413590091487241</v>
      </c>
      <c r="CJ13" s="55">
        <f>'[23]PRINCIPAIS TRIBUTOS'!D13</f>
        <v>4.4809823982778134</v>
      </c>
      <c r="CK13" s="86">
        <f>'[23]PRINCIPAIS TRIBUTOS'!E13</f>
        <v>642.99103888942807</v>
      </c>
      <c r="CL13" s="38">
        <f>'[24]PRINCIPAIS TRIBUTOS'!B13</f>
        <v>156.29750849627999</v>
      </c>
      <c r="CM13" s="39">
        <f>'[24]PRINCIPAIS TRIBUTOS'!C13</f>
        <v>1.5506203621652124</v>
      </c>
      <c r="CN13" s="55">
        <f>'[24]PRINCIPAIS TRIBUTOS'!D13</f>
        <v>4.442167341571408</v>
      </c>
      <c r="CO13" s="86">
        <f>'[24]PRINCIPAIS TRIBUTOS'!E13</f>
        <v>769.63229591424215</v>
      </c>
      <c r="CP13" s="38">
        <f>'[25]PRINCIPAIS TRIBUTOS'!B13</f>
        <v>175.43329096683996</v>
      </c>
      <c r="CQ13" s="39">
        <f>'[25]PRINCIPAIS TRIBUTOS'!C13</f>
        <v>1.6031049646875759</v>
      </c>
      <c r="CR13" s="55">
        <f>'[25]PRINCIPAIS TRIBUTOS'!D13</f>
        <v>4.636201630814071</v>
      </c>
      <c r="CS13" s="86">
        <f>'[25]PRINCIPAIS TRIBUTOS'!E13</f>
        <v>844.11003794892201</v>
      </c>
      <c r="CT13" s="38">
        <f>'[26]PRINCIPAIS TRIBUTOS'!B13</f>
        <v>191.995</v>
      </c>
      <c r="CU13" s="39">
        <f>'[26]PRINCIPAIS TRIBUTOS'!C13</f>
        <v>1.6347361181958615</v>
      </c>
      <c r="CV13" s="55">
        <f>'[26]PRINCIPAIS TRIBUTOS'!D13</f>
        <v>4.5472502501810386</v>
      </c>
      <c r="CW13" s="86">
        <f>'[26]PRINCIPAIS TRIBUTOS'!E13</f>
        <v>903.14993502560753</v>
      </c>
    </row>
    <row r="14" spans="1:101" x14ac:dyDescent="0.25">
      <c r="A14" s="75" t="s">
        <v>21</v>
      </c>
      <c r="B14" s="38">
        <f>'[2]PRINCIPAIS TRIBUTOS'!B14</f>
        <v>14.39656139303</v>
      </c>
      <c r="C14" s="39">
        <f>'[2]PRINCIPAIS TRIBUTOS'!C14</f>
        <v>1.1973415001722634</v>
      </c>
      <c r="D14" s="55">
        <f>'[2]PRINCIPAIS TRIBUTOS'!D14</f>
        <v>3.9180164875629133</v>
      </c>
      <c r="E14" s="86">
        <f>'[2]PRINCIPAIS TRIBUTOS'!E14</f>
        <v>83.002010252839199</v>
      </c>
      <c r="F14" s="38">
        <f>'[3]PRINCIPAIS TRIBUTOS'!B14</f>
        <v>17.15700151851</v>
      </c>
      <c r="G14" s="39">
        <f>'[3]PRINCIPAIS TRIBUTOS'!C14</f>
        <v>1.3039662793232782</v>
      </c>
      <c r="H14" s="55">
        <f>'[3]PRINCIPAIS TRIBUTOS'!D14</f>
        <v>4.0690474235005611</v>
      </c>
      <c r="I14" s="86">
        <f>'[3]PRINCIPAIS TRIBUTOS'!E14</f>
        <v>98.917066170870257</v>
      </c>
      <c r="J14" s="38">
        <f>'[4]PRINCIPAIS TRIBUTOS'!B14</f>
        <v>20.266821600150003</v>
      </c>
      <c r="K14" s="39">
        <f>'[4]PRINCIPAIS TRIBUTOS'!C14</f>
        <v>1.361297593285675</v>
      </c>
      <c r="L14" s="55">
        <f>'[4]PRINCIPAIS TRIBUTOS'!D14</f>
        <v>4.0907966616575697</v>
      </c>
      <c r="M14" s="86">
        <f>'[4]PRINCIPAIS TRIBUTOS'!E14</f>
        <v>113.68219529734235</v>
      </c>
      <c r="N14" s="38">
        <f>'[5]PRINCIPAIS TRIBUTOS'!B14</f>
        <v>22.98413782343</v>
      </c>
      <c r="O14" s="39">
        <f>'[5]PRINCIPAIS TRIBUTOS'!C14</f>
        <v>1.3378816510043947</v>
      </c>
      <c r="P14" s="55">
        <f>'[5]PRINCIPAIS TRIBUTOS'!D14</f>
        <v>4.1042013634567862</v>
      </c>
      <c r="Q14" s="86">
        <f>'[5]PRINCIPAIS TRIBUTOS'!E14</f>
        <v>127.25197282798008</v>
      </c>
      <c r="R14" s="38">
        <f>'[6]PRINCIPAIS TRIBUTOS'!B14</f>
        <v>26.393531023000001</v>
      </c>
      <c r="S14" s="39">
        <f>'[6]PRINCIPAIS TRIBUTOS'!C14</f>
        <v>1.3481556655059812</v>
      </c>
      <c r="T14" s="55">
        <f>'[6]PRINCIPAIS TRIBUTOS'!D14</f>
        <v>4.0096334914328517</v>
      </c>
      <c r="U14" s="86">
        <f>'[6]PRINCIPAIS TRIBUTOS'!E14</f>
        <v>144.29673858044794</v>
      </c>
      <c r="V14" s="38">
        <f>'[7]PRINCIPAIS TRIBUTOS'!B14</f>
        <v>28.995769701339999</v>
      </c>
      <c r="W14" s="39">
        <f>'[7]PRINCIPAIS TRIBUTOS'!C14</f>
        <v>1.3358504597304413</v>
      </c>
      <c r="X14" s="55">
        <f>'[7]PRINCIPAIS TRIBUTOS'!D14</f>
        <v>3.8446530964085257</v>
      </c>
      <c r="Y14" s="86">
        <f>'[7]PRINCIPAIS TRIBUTOS'!E14</f>
        <v>156.60622995797274</v>
      </c>
      <c r="Z14" s="38">
        <f>'[8]PRINCIPAIS TRIBUTOS'!B14</f>
        <v>31.935232806380004</v>
      </c>
      <c r="AA14" s="39">
        <f>'[8]PRINCIPAIS TRIBUTOS'!C14</f>
        <v>1.3254158752570091</v>
      </c>
      <c r="AB14" s="55">
        <f>'[8]PRINCIPAIS TRIBUTOS'!D14</f>
        <v>3.849771654276263</v>
      </c>
      <c r="AC14" s="86">
        <f>'[8]PRINCIPAIS TRIBUTOS'!E14</f>
        <v>170.47113167232479</v>
      </c>
      <c r="AD14" s="38">
        <f>'[9]PRINCIPAIS TRIBUTOS'!B14</f>
        <v>36.319612692870002</v>
      </c>
      <c r="AE14" s="39">
        <f>'[9]PRINCIPAIS TRIBUTOS'!C14</f>
        <v>1.3351507811145467</v>
      </c>
      <c r="AF14" s="55">
        <f>'[9]PRINCIPAIS TRIBUTOS'!D14</f>
        <v>3.8604231228162518</v>
      </c>
      <c r="AG14" s="86">
        <f>'[9]PRINCIPAIS TRIBUTOS'!E14</f>
        <v>191.69790227567421</v>
      </c>
      <c r="AH14" s="38">
        <f>'[10]PRINCIPAIS TRIBUTOS'!B14</f>
        <v>0.97129909222999977</v>
      </c>
      <c r="AI14" s="39">
        <f>'[10]PRINCIPAIS TRIBUTOS'!C14</f>
        <v>3.1233460519203299E-2</v>
      </c>
      <c r="AJ14" s="55">
        <f>'[10]PRINCIPAIS TRIBUTOS'!D14</f>
        <v>8.9861390896498888E-2</v>
      </c>
      <c r="AK14" s="86">
        <f>'[10]PRINCIPAIS TRIBUTOS'!E14</f>
        <v>5.0711988909095433</v>
      </c>
      <c r="AL14" s="38">
        <f>'[11]PRINCIPAIS TRIBUTOS'!B14</f>
        <v>27.598789248500001</v>
      </c>
      <c r="AM14" s="39">
        <f>'[11]PRINCIPAIS TRIBUTOS'!C14</f>
        <v>0.82803679310383105</v>
      </c>
      <c r="AN14" s="55">
        <f>'[11]PRINCIPAIS TRIBUTOS'!D14</f>
        <v>2.4967827503599009</v>
      </c>
      <c r="AO14" s="86">
        <f>'[11]PRINCIPAIS TRIBUTOS'!E14</f>
        <v>142.59699948852449</v>
      </c>
      <c r="AP14" s="38">
        <f>'[12]PRINCIPAIS TRIBUTOS'!B14</f>
        <v>37.255019833280002</v>
      </c>
      <c r="AQ14" s="39">
        <f>'[12]PRINCIPAIS TRIBUTOS'!C14</f>
        <v>0.95873614769907312</v>
      </c>
      <c r="AR14" s="55">
        <f>'[12]PRINCIPAIS TRIBUTOS'!D14</f>
        <v>2.8849398825756474</v>
      </c>
      <c r="AS14" s="86">
        <f>'[12]PRINCIPAIS TRIBUTOS'!E14</f>
        <v>190.56490868426511</v>
      </c>
      <c r="AT14" s="38">
        <f>'[13]PRINCIPAIS TRIBUTOS'!B14</f>
        <v>41.140073034149999</v>
      </c>
      <c r="AU14" s="39">
        <f>'[13]PRINCIPAIS TRIBUTOS'!C14</f>
        <v>0.94004757889393564</v>
      </c>
      <c r="AV14" s="55">
        <f>'[13]PRINCIPAIS TRIBUTOS'!D14</f>
        <v>2.7581097054250741</v>
      </c>
      <c r="AW14" s="86">
        <f>'[13]PRINCIPAIS TRIBUTOS'!E14</f>
        <v>208.41283951994654</v>
      </c>
      <c r="AX14" s="38">
        <f>'[14]PRINCIPAIS TRIBUTOS'!B14</f>
        <v>42.5667751079</v>
      </c>
      <c r="AY14" s="39">
        <f>'[14]PRINCIPAIS TRIBUTOS'!C14</f>
        <v>0.88408924033389003</v>
      </c>
      <c r="AZ14" s="55">
        <f>'[14]PRINCIPAIS TRIBUTOS'!D14</f>
        <v>2.5985279062436248</v>
      </c>
      <c r="BA14" s="86">
        <f>'[14]PRINCIPAIS TRIBUTOS'!E14</f>
        <v>213.64308933253395</v>
      </c>
      <c r="BB14" s="38">
        <f>'[15]PRINCIPAIS TRIBUTOS'!B14</f>
        <v>42.70626477479999</v>
      </c>
      <c r="BC14" s="39">
        <f>'[15]PRINCIPAIS TRIBUTOS'!C14</f>
        <v>0.80099993594440999</v>
      </c>
      <c r="BD14" s="55">
        <f>'[15]PRINCIPAIS TRIBUTOS'!D14</f>
        <v>2.3828348913780313</v>
      </c>
      <c r="BE14" s="86">
        <f>'[15]PRINCIPAIS TRIBUTOS'!E14</f>
        <v>212.43440395875066</v>
      </c>
      <c r="BF14" s="38">
        <f>'[16]PRINCIPAIS TRIBUTOS'!B14</f>
        <v>48.910482261369999</v>
      </c>
      <c r="BG14" s="39">
        <f>'[16]PRINCIPAIS TRIBUTOS'!C14</f>
        <v>0.84635542565184385</v>
      </c>
      <c r="BH14" s="55">
        <f>'[16]PRINCIPAIS TRIBUTOS'!D14</f>
        <v>2.574532283995397</v>
      </c>
      <c r="BI14" s="86">
        <f>'[16]PRINCIPAIS TRIBUTOS'!E14</f>
        <v>241.21334085986172</v>
      </c>
      <c r="BJ14" s="38">
        <f>'[17]PRINCIPAIS TRIBUTOS'!B14</f>
        <v>47.961109658980007</v>
      </c>
      <c r="BK14" s="39">
        <f>'[17]PRINCIPAIS TRIBUTOS'!C14</f>
        <v>0.79991350024575592</v>
      </c>
      <c r="BL14" s="55">
        <f>'[17]PRINCIPAIS TRIBUTOS'!D14</f>
        <v>2.4357722028940691</v>
      </c>
      <c r="BM14" s="86">
        <f>'[17]PRINCIPAIS TRIBUTOS'!E14</f>
        <v>234.58526492121825</v>
      </c>
      <c r="BN14" s="38">
        <f>'[18]PRINCIPAIS TRIBUTOS'!B14</f>
        <v>66.329487429979977</v>
      </c>
      <c r="BO14" s="39">
        <f>'[18]PRINCIPAIS TRIBUTOS'!C14</f>
        <v>1.0583583500137617</v>
      </c>
      <c r="BP14" s="55">
        <f>'[18]PRINCIPAIS TRIBUTOS'!D14</f>
        <v>3.1795067965412809</v>
      </c>
      <c r="BQ14" s="86">
        <f>'[18]PRINCIPAIS TRIBUTOS'!E14</f>
        <v>321.86057126184943</v>
      </c>
      <c r="BR14" s="38">
        <f>'[19]PRINCIPAIS TRIBUTOS'!B14</f>
        <v>47.576969316800003</v>
      </c>
      <c r="BS14" s="39">
        <f>'[19]PRINCIPAIS TRIBUTOS'!C14</f>
        <v>0.72594005629345337</v>
      </c>
      <c r="BT14" s="55">
        <f>'[19]PRINCIPAIS TRIBUTOS'!D14</f>
        <v>2.1592481175548457</v>
      </c>
      <c r="BU14" s="86">
        <f>'[19]PRINCIPAIS TRIBUTOS'!E14</f>
        <v>229.10891107879038</v>
      </c>
      <c r="BV14" s="38">
        <f>'[20]PRINCIPAIS TRIBUTOS'!B14</f>
        <v>53.762110791090002</v>
      </c>
      <c r="BW14" s="39">
        <f>'[20]PRINCIPAIS TRIBUTOS'!C14</f>
        <v>0.7803852015205418</v>
      </c>
      <c r="BX14" s="55">
        <f>'[20]PRINCIPAIS TRIBUTOS'!D14</f>
        <v>2.2657670855944367</v>
      </c>
      <c r="BY14" s="86">
        <f>'[20]PRINCIPAIS TRIBUTOS'!E14</f>
        <v>257.85815763881999</v>
      </c>
      <c r="BZ14" s="38">
        <f>'[21]PRINCIPAIS TRIBUTOS'!B14</f>
        <v>52.258162229589985</v>
      </c>
      <c r="CA14" s="39">
        <f>'[21]PRINCIPAIS TRIBUTOS'!C14</f>
        <v>0.70723014965616371</v>
      </c>
      <c r="CB14" s="55">
        <f>'[21]PRINCIPAIS TRIBUTOS'!D14</f>
        <v>2.0929013527998115</v>
      </c>
      <c r="CC14" s="86">
        <f>'[21]PRINCIPAIS TRIBUTOS'!E14</f>
        <v>248.67417162899554</v>
      </c>
      <c r="CD14" s="38">
        <f>'[22]PRINCIPAIS TRIBUTOS'!B14</f>
        <v>55.675970292149998</v>
      </c>
      <c r="CE14" s="39">
        <f>'[22]PRINCIPAIS TRIBUTOS'!C14</f>
        <v>0.73165464993941198</v>
      </c>
      <c r="CF14" s="55">
        <f>'[22]PRINCIPAIS TRIBUTOS'!D14</f>
        <v>2.2710449954687002</v>
      </c>
      <c r="CG14" s="86">
        <f>'[22]PRINCIPAIS TRIBUTOS'!E14</f>
        <v>262.92549572717036</v>
      </c>
      <c r="CH14" s="38">
        <f>'[23]PRINCIPAIS TRIBUTOS'!B14</f>
        <v>70.086018986019994</v>
      </c>
      <c r="CI14" s="39">
        <f>'[23]PRINCIPAIS TRIBUTOS'!C14</f>
        <v>0.78759601217140374</v>
      </c>
      <c r="CJ14" s="55">
        <f>'[23]PRINCIPAIS TRIBUTOS'!D14</f>
        <v>2.2896702497901509</v>
      </c>
      <c r="CK14" s="86">
        <f>'[23]PRINCIPAIS TRIBUTOS'!E14</f>
        <v>328.55238467185541</v>
      </c>
      <c r="CL14" s="38">
        <f>'[24]PRINCIPAIS TRIBUTOS'!B14</f>
        <v>58.255360537810006</v>
      </c>
      <c r="CM14" s="39">
        <f>'[24]PRINCIPAIS TRIBUTOS'!C14</f>
        <v>0.57794874098939297</v>
      </c>
      <c r="CN14" s="55">
        <f>'[24]PRINCIPAIS TRIBUTOS'!D14</f>
        <v>1.6556889648607969</v>
      </c>
      <c r="CO14" s="86">
        <f>'[24]PRINCIPAIS TRIBUTOS'!E14</f>
        <v>286.85810357043385</v>
      </c>
      <c r="CP14" s="38">
        <f>'[25]PRINCIPAIS TRIBUTOS'!B14</f>
        <v>59.723118909839997</v>
      </c>
      <c r="CQ14" s="39">
        <f>'[25]PRINCIPAIS TRIBUTOS'!C14</f>
        <v>0.5457483462992665</v>
      </c>
      <c r="CR14" s="55">
        <f>'[25]PRINCIPAIS TRIBUTOS'!D14</f>
        <v>1.5783117318333828</v>
      </c>
      <c r="CS14" s="86">
        <f>'[25]PRINCIPAIS TRIBUTOS'!E14</f>
        <v>287.36213002435187</v>
      </c>
      <c r="CT14" s="38">
        <f>'[26]PRINCIPAIS TRIBUTOS'!B14</f>
        <v>82.173979121600013</v>
      </c>
      <c r="CU14" s="39">
        <f>'[26]PRINCIPAIS TRIBUTOS'!C14</f>
        <v>0.69966807284539789</v>
      </c>
      <c r="CV14" s="55">
        <f>'[26]PRINCIPAIS TRIBUTOS'!D14</f>
        <v>1.9462259283786927</v>
      </c>
      <c r="CW14" s="86">
        <f>'[26]PRINCIPAIS TRIBUTOS'!E14</f>
        <v>386.54873254235099</v>
      </c>
    </row>
    <row r="15" spans="1:101" x14ac:dyDescent="0.25">
      <c r="A15" s="75" t="s">
        <v>23</v>
      </c>
      <c r="B15" s="38">
        <f>'[2]PRINCIPAIS TRIBUTOS'!B15</f>
        <v>17.553938179349998</v>
      </c>
      <c r="C15" s="39">
        <f>'[2]PRINCIPAIS TRIBUTOS'!C15</f>
        <v>1.4599360291527566</v>
      </c>
      <c r="D15" s="55">
        <f>'[2]PRINCIPAIS TRIBUTOS'!D15</f>
        <v>4.7772948922130221</v>
      </c>
      <c r="E15" s="86">
        <f>'[2]PRINCIPAIS TRIBUTOS'!E15</f>
        <v>101.20556686859382</v>
      </c>
      <c r="F15" s="38">
        <f>'[3]PRINCIPAIS TRIBUTOS'!B15</f>
        <v>18.83748975244</v>
      </c>
      <c r="G15" s="39">
        <f>'[3]PRINCIPAIS TRIBUTOS'!C15</f>
        <v>1.4316867313778019</v>
      </c>
      <c r="H15" s="55">
        <f>'[3]PRINCIPAIS TRIBUTOS'!D15</f>
        <v>4.4676011166455227</v>
      </c>
      <c r="I15" s="86">
        <f>'[3]PRINCIPAIS TRIBUTOS'!E15</f>
        <v>108.60576181245337</v>
      </c>
      <c r="J15" s="38">
        <f>'[4]PRINCIPAIS TRIBUTOS'!B15</f>
        <v>18.471561741290003</v>
      </c>
      <c r="K15" s="39">
        <f>'[4]PRINCIPAIS TRIBUTOS'!C15</f>
        <v>1.2407121865847837</v>
      </c>
      <c r="L15" s="55">
        <f>'[4]PRINCIPAIS TRIBUTOS'!D15</f>
        <v>3.7284288872563796</v>
      </c>
      <c r="M15" s="86">
        <f>'[4]PRINCIPAIS TRIBUTOS'!E15</f>
        <v>103.61208731934096</v>
      </c>
      <c r="N15" s="38">
        <f>'[5]PRINCIPAIS TRIBUTOS'!B15</f>
        <v>17.92386812981</v>
      </c>
      <c r="O15" s="39">
        <f>'[5]PRINCIPAIS TRIBUTOS'!C15</f>
        <v>1.0433288588032248</v>
      </c>
      <c r="P15" s="55">
        <f>'[5]PRINCIPAIS TRIBUTOS'!D15</f>
        <v>3.2006057648068769</v>
      </c>
      <c r="Q15" s="86">
        <f>'[5]PRINCIPAIS TRIBUTOS'!E15</f>
        <v>99.235724992119884</v>
      </c>
      <c r="R15" s="38">
        <f>'[6]PRINCIPAIS TRIBUTOS'!B15</f>
        <v>21.05903418362</v>
      </c>
      <c r="S15" s="39">
        <f>'[6]PRINCIPAIS TRIBUTOS'!C15</f>
        <v>1.0756748015258324</v>
      </c>
      <c r="T15" s="55">
        <f>'[6]PRINCIPAIS TRIBUTOS'!D15</f>
        <v>3.1992312315578282</v>
      </c>
      <c r="U15" s="86">
        <f>'[6]PRINCIPAIS TRIBUTOS'!E15</f>
        <v>115.13237647901249</v>
      </c>
      <c r="V15" s="38">
        <f>'[7]PRINCIPAIS TRIBUTOS'!B15</f>
        <v>24.061421317649998</v>
      </c>
      <c r="W15" s="39">
        <f>'[7]PRINCIPAIS TRIBUTOS'!C15</f>
        <v>1.1085224175809747</v>
      </c>
      <c r="X15" s="55">
        <f>'[7]PRINCIPAIS TRIBUTOS'!D15</f>
        <v>3.1903901474503038</v>
      </c>
      <c r="Y15" s="86">
        <f>'[7]PRINCIPAIS TRIBUTOS'!E15</f>
        <v>129.95580109788989</v>
      </c>
      <c r="Z15" s="38">
        <f>'[8]PRINCIPAIS TRIBUTOS'!B15</f>
        <v>26.780064494209995</v>
      </c>
      <c r="AA15" s="39">
        <f>'[8]PRINCIPAIS TRIBUTOS'!C15</f>
        <v>1.1114596482271886</v>
      </c>
      <c r="AB15" s="55">
        <f>'[8]PRINCIPAIS TRIBUTOS'!D15</f>
        <v>3.2283194493857934</v>
      </c>
      <c r="AC15" s="86">
        <f>'[8]PRINCIPAIS TRIBUTOS'!E15</f>
        <v>142.95270456502774</v>
      </c>
      <c r="AD15" s="38">
        <f>'[9]PRINCIPAIS TRIBUTOS'!B15</f>
        <v>31.24002807738</v>
      </c>
      <c r="AE15" s="39">
        <f>'[9]PRINCIPAIS TRIBUTOS'!C15</f>
        <v>1.1484194019982625</v>
      </c>
      <c r="AF15" s="55">
        <f>'[9]PRINCIPAIS TRIBUTOS'!D15</f>
        <v>3.3205124671117963</v>
      </c>
      <c r="AG15" s="86">
        <f>'[9]PRINCIPAIS TRIBUTOS'!E15</f>
        <v>164.88743699193017</v>
      </c>
      <c r="AH15" s="38">
        <f>'[10]PRINCIPAIS TRIBUTOS'!B15</f>
        <v>36.695285377910004</v>
      </c>
      <c r="AI15" s="39">
        <f>'[10]PRINCIPAIS TRIBUTOS'!C15</f>
        <v>1.1799874583023429</v>
      </c>
      <c r="AJ15" s="55">
        <f>'[10]PRINCIPAIS TRIBUTOS'!D15</f>
        <v>3.3949268662778884</v>
      </c>
      <c r="AK15" s="86">
        <f>'[10]PRINCIPAIS TRIBUTOS'!E15</f>
        <v>191.58783530089127</v>
      </c>
      <c r="AL15" s="38">
        <f>'[11]PRINCIPAIS TRIBUTOS'!B15</f>
        <v>42.808449156000002</v>
      </c>
      <c r="AM15" s="39">
        <f>'[11]PRINCIPAIS TRIBUTOS'!C15</f>
        <v>1.2843668842758815</v>
      </c>
      <c r="AN15" s="55">
        <f>'[11]PRINCIPAIS TRIBUTOS'!D15</f>
        <v>3.8727567524785096</v>
      </c>
      <c r="AO15" s="86">
        <f>'[11]PRINCIPAIS TRIBUTOS'!E15</f>
        <v>221.18203619147647</v>
      </c>
      <c r="AP15" s="38">
        <f>'[12]PRINCIPAIS TRIBUTOS'!B15</f>
        <v>45.1996155227</v>
      </c>
      <c r="AQ15" s="39">
        <f>'[12]PRINCIPAIS TRIBUTOS'!C15</f>
        <v>1.1631856715588647</v>
      </c>
      <c r="AR15" s="55">
        <f>'[12]PRINCIPAIS TRIBUTOS'!D15</f>
        <v>3.5001504248841528</v>
      </c>
      <c r="AS15" s="86">
        <f>'[12]PRINCIPAIS TRIBUTOS'!E15</f>
        <v>231.20268471720937</v>
      </c>
      <c r="AT15" s="38">
        <f>'[13]PRINCIPAIS TRIBUTOS'!B15</f>
        <v>56.964314448210004</v>
      </c>
      <c r="AU15" s="39">
        <f>'[13]PRINCIPAIS TRIBUTOS'!C15</f>
        <v>1.3016303066827808</v>
      </c>
      <c r="AV15" s="55">
        <f>'[13]PRINCIPAIS TRIBUTOS'!D15</f>
        <v>3.8189973170945781</v>
      </c>
      <c r="AW15" s="86">
        <f>'[13]PRINCIPAIS TRIBUTOS'!E15</f>
        <v>288.57738088125529</v>
      </c>
      <c r="AX15" s="38">
        <f>'[14]PRINCIPAIS TRIBUTOS'!B15</f>
        <v>55.608133454889995</v>
      </c>
      <c r="AY15" s="39">
        <f>'[14]PRINCIPAIS TRIBUTOS'!C15</f>
        <v>1.154951305047188</v>
      </c>
      <c r="AZ15" s="55">
        <f>'[14]PRINCIPAIS TRIBUTOS'!D15</f>
        <v>3.3946496118244491</v>
      </c>
      <c r="BA15" s="86">
        <f>'[14]PRINCIPAIS TRIBUTOS'!E15</f>
        <v>279.0978032327767</v>
      </c>
      <c r="BB15" s="38">
        <f>'[15]PRINCIPAIS TRIBUTOS'!B15</f>
        <v>59.775636327709996</v>
      </c>
      <c r="BC15" s="39">
        <f>'[15]PRINCIPAIS TRIBUTOS'!C15</f>
        <v>1.1211535619426294</v>
      </c>
      <c r="BD15" s="55">
        <f>'[15]PRINCIPAIS TRIBUTOS'!D15</f>
        <v>3.3352360045320455</v>
      </c>
      <c r="BE15" s="86">
        <f>'[15]PRINCIPAIS TRIBUTOS'!E15</f>
        <v>297.34283111608391</v>
      </c>
      <c r="BF15" s="38">
        <f>'[16]PRINCIPAIS TRIBUTOS'!B15</f>
        <v>61.590539157700007</v>
      </c>
      <c r="BG15" s="39">
        <f>'[16]PRINCIPAIS TRIBUTOS'!C15</f>
        <v>1.0657733184142526</v>
      </c>
      <c r="BH15" s="55">
        <f>'[16]PRINCIPAIS TRIBUTOS'!D15</f>
        <v>3.2419805350277442</v>
      </c>
      <c r="BI15" s="86">
        <f>'[16]PRINCIPAIS TRIBUTOS'!E15</f>
        <v>303.74797034709951</v>
      </c>
      <c r="BJ15" s="38">
        <f>'[17]PRINCIPAIS TRIBUTOS'!B15</f>
        <v>58.696026286709987</v>
      </c>
      <c r="BK15" s="39">
        <f>'[17]PRINCIPAIS TRIBUTOS'!C15</f>
        <v>0.97895449399236467</v>
      </c>
      <c r="BL15" s="55">
        <f>'[17]PRINCIPAIS TRIBUTOS'!D15</f>
        <v>2.9809599958398532</v>
      </c>
      <c r="BM15" s="86">
        <f>'[17]PRINCIPAIS TRIBUTOS'!E15</f>
        <v>287.09141581991253</v>
      </c>
      <c r="BN15" s="38">
        <f>'[18]PRINCIPAIS TRIBUTOS'!B15</f>
        <v>53.986153537223601</v>
      </c>
      <c r="BO15" s="39">
        <f>'[18]PRINCIPAIS TRIBUTOS'!C15</f>
        <v>0.86140717492444552</v>
      </c>
      <c r="BP15" s="55">
        <f>'[18]PRINCIPAIS TRIBUTOS'!D15</f>
        <v>2.5878285622502868</v>
      </c>
      <c r="BQ15" s="86">
        <f>'[18]PRINCIPAIS TRIBUTOS'!E15</f>
        <v>261.96515141268816</v>
      </c>
      <c r="BR15" s="38">
        <f>'[19]PRINCIPAIS TRIBUTOS'!B15</f>
        <v>67.348213325779994</v>
      </c>
      <c r="BS15" s="39">
        <f>'[19]PRINCIPAIS TRIBUTOS'!C15</f>
        <v>1.0276141266466992</v>
      </c>
      <c r="BT15" s="55">
        <f>'[19]PRINCIPAIS TRIBUTOS'!D15</f>
        <v>3.0565524650394775</v>
      </c>
      <c r="BU15" s="86">
        <f>'[19]PRINCIPAIS TRIBUTOS'!E15</f>
        <v>324.31817410284236</v>
      </c>
      <c r="BV15" s="38">
        <f>'[20]PRINCIPAIS TRIBUTOS'!B15</f>
        <v>74.914335688860007</v>
      </c>
      <c r="BW15" s="39">
        <f>'[20]PRINCIPAIS TRIBUTOS'!C15</f>
        <v>1.0874208265464429</v>
      </c>
      <c r="BX15" s="55">
        <f>'[20]PRINCIPAIS TRIBUTOS'!D15</f>
        <v>3.1572130175945836</v>
      </c>
      <c r="BY15" s="86">
        <f>'[20]PRINCIPAIS TRIBUTOS'!E15</f>
        <v>359.310159091949</v>
      </c>
      <c r="BZ15" s="38">
        <f>'[21]PRINCIPAIS TRIBUTOS'!B15</f>
        <v>79.552491322690003</v>
      </c>
      <c r="CA15" s="39">
        <f>'[21]PRINCIPAIS TRIBUTOS'!C15</f>
        <v>1.0766149811485275</v>
      </c>
      <c r="CB15" s="55">
        <f>'[21]PRINCIPAIS TRIBUTOS'!D15</f>
        <v>3.1860193624179702</v>
      </c>
      <c r="CC15" s="86">
        <f>'[21]PRINCIPAIS TRIBUTOS'!E15</f>
        <v>378.55617259903033</v>
      </c>
      <c r="CD15" s="38">
        <f>'[22]PRINCIPAIS TRIBUTOS'!B15</f>
        <v>76.66360747856001</v>
      </c>
      <c r="CE15" s="39">
        <f>'[22]PRINCIPAIS TRIBUTOS'!C15</f>
        <v>1.0074594946166007</v>
      </c>
      <c r="CF15" s="55">
        <f>'[22]PRINCIPAIS TRIBUTOS'!D15</f>
        <v>3.1271390724789683</v>
      </c>
      <c r="CG15" s="86">
        <f>'[22]PRINCIPAIS TRIBUTOS'!E15</f>
        <v>362.03800121963195</v>
      </c>
      <c r="CH15" s="38">
        <f>'[23]PRINCIPAIS TRIBUTOS'!B15</f>
        <v>111.00247203440001</v>
      </c>
      <c r="CI15" s="39">
        <f>'[23]PRINCIPAIS TRIBUTOS'!C15</f>
        <v>1.247397206751033</v>
      </c>
      <c r="CJ15" s="55">
        <f>'[23]PRINCIPAIS TRIBUTOS'!D15</f>
        <v>3.6263874243024965</v>
      </c>
      <c r="CK15" s="86">
        <f>'[23]PRINCIPAIS TRIBUTOS'!E15</f>
        <v>520.36236925723711</v>
      </c>
      <c r="CL15" s="38">
        <f>'[24]PRINCIPAIS TRIBUTOS'!B15</f>
        <v>154.59303085605998</v>
      </c>
      <c r="CM15" s="39">
        <f>'[24]PRINCIPAIS TRIBUTOS'!C15</f>
        <v>1.5337103182290779</v>
      </c>
      <c r="CN15" s="55">
        <f>'[24]PRINCIPAIS TRIBUTOS'!D15</f>
        <v>4.393723991573899</v>
      </c>
      <c r="CO15" s="86">
        <f>'[24]PRINCIPAIS TRIBUTOS'!E15</f>
        <v>761.23919322055315</v>
      </c>
      <c r="CP15" s="38">
        <f>'[25]PRINCIPAIS TRIBUTOS'!B15</f>
        <v>152.44527609270997</v>
      </c>
      <c r="CQ15" s="39">
        <f>'[25]PRINCIPAIS TRIBUTOS'!C15</f>
        <v>1.3930410676362728</v>
      </c>
      <c r="CR15" s="55">
        <f>'[25]PRINCIPAIS TRIBUTOS'!D15</f>
        <v>4.0286939482000319</v>
      </c>
      <c r="CS15" s="86">
        <f>'[25]PRINCIPAIS TRIBUTOS'!E15</f>
        <v>733.50153256871999</v>
      </c>
      <c r="CT15" s="38">
        <f>'[26]PRINCIPAIS TRIBUTOS'!B15</f>
        <v>160.60670028164003</v>
      </c>
      <c r="CU15" s="39">
        <f>'[26]PRINCIPAIS TRIBUTOS'!C15</f>
        <v>1.3674813082353938</v>
      </c>
      <c r="CV15" s="55">
        <f>'[26]PRINCIPAIS TRIBUTOS'!D15</f>
        <v>3.8038431106874597</v>
      </c>
      <c r="CW15" s="86">
        <f>'[26]PRINCIPAIS TRIBUTOS'!E15</f>
        <v>755.49848133566206</v>
      </c>
    </row>
    <row r="16" spans="1:101" x14ac:dyDescent="0.25">
      <c r="A16" s="75" t="s">
        <v>22</v>
      </c>
      <c r="B16" s="38">
        <f>'[2]PRINCIPAIS TRIBUTOS'!B16</f>
        <v>8.6657558989200005</v>
      </c>
      <c r="C16" s="39">
        <f>'[2]PRINCIPAIS TRIBUTOS'!C16</f>
        <v>0.72071857194752931</v>
      </c>
      <c r="D16" s="55">
        <f>'[2]PRINCIPAIS TRIBUTOS'!D16</f>
        <v>2.3583808356905323</v>
      </c>
      <c r="E16" s="86">
        <f>'[2]PRINCIPAIS TRIBUTOS'!E16</f>
        <v>49.961594323418915</v>
      </c>
      <c r="F16" s="38">
        <f>'[3]PRINCIPAIS TRIBUTOS'!B16</f>
        <v>8.9678194372099984</v>
      </c>
      <c r="G16" s="39">
        <f>'[3]PRINCIPAIS TRIBUTOS'!C16</f>
        <v>0.68157213441788156</v>
      </c>
      <c r="H16" s="55">
        <f>'[3]PRINCIPAIS TRIBUTOS'!D16</f>
        <v>2.126856638441716</v>
      </c>
      <c r="I16" s="86">
        <f>'[3]PRINCIPAIS TRIBUTOS'!E16</f>
        <v>51.703113024842558</v>
      </c>
      <c r="J16" s="38">
        <f>'[4]PRINCIPAIS TRIBUTOS'!B16</f>
        <v>12.374588637700001</v>
      </c>
      <c r="K16" s="39">
        <f>'[4]PRINCIPAIS TRIBUTOS'!C16</f>
        <v>0.83118596801960254</v>
      </c>
      <c r="L16" s="55">
        <f>'[4]PRINCIPAIS TRIBUTOS'!D16</f>
        <v>2.4977733009755303</v>
      </c>
      <c r="M16" s="86">
        <f>'[4]PRINCIPAIS TRIBUTOS'!E16</f>
        <v>69.412482627511409</v>
      </c>
      <c r="N16" s="38">
        <f>'[5]PRINCIPAIS TRIBUTOS'!B16</f>
        <v>15.66135307399</v>
      </c>
      <c r="O16" s="39">
        <f>'[5]PRINCIPAIS TRIBUTOS'!C16</f>
        <v>0.91163031950813456</v>
      </c>
      <c r="P16" s="55">
        <f>'[5]PRINCIPAIS TRIBUTOS'!D16</f>
        <v>2.7965959451532538</v>
      </c>
      <c r="Q16" s="86">
        <f>'[5]PRINCIPAIS TRIBUTOS'!E16</f>
        <v>86.709281467551037</v>
      </c>
      <c r="R16" s="38">
        <f>'[6]PRINCIPAIS TRIBUTOS'!B16</f>
        <v>19.309498564270001</v>
      </c>
      <c r="S16" s="39">
        <f>'[6]PRINCIPAIS TRIBUTOS'!C16</f>
        <v>0.98631023885417513</v>
      </c>
      <c r="T16" s="55">
        <f>'[6]PRINCIPAIS TRIBUTOS'!D16</f>
        <v>2.9334465357667492</v>
      </c>
      <c r="U16" s="86">
        <f>'[6]PRINCIPAIS TRIBUTOS'!E16</f>
        <v>105.56744620566121</v>
      </c>
      <c r="V16" s="38">
        <f>'[7]PRINCIPAIS TRIBUTOS'!B16</f>
        <v>24.948634396940001</v>
      </c>
      <c r="W16" s="39">
        <f>'[7]PRINCIPAIS TRIBUTOS'!C16</f>
        <v>1.1493967938108851</v>
      </c>
      <c r="X16" s="55">
        <f>'[7]PRINCIPAIS TRIBUTOS'!D16</f>
        <v>3.3080289115734995</v>
      </c>
      <c r="Y16" s="86">
        <f>'[7]PRINCIPAIS TRIBUTOS'!E16</f>
        <v>134.74764131969266</v>
      </c>
      <c r="Z16" s="38">
        <f>'[8]PRINCIPAIS TRIBUTOS'!B16</f>
        <v>26.547247109490002</v>
      </c>
      <c r="AA16" s="39">
        <f>'[8]PRINCIPAIS TRIBUTOS'!C16</f>
        <v>1.1017969706567889</v>
      </c>
      <c r="AB16" s="55">
        <f>'[8]PRINCIPAIS TRIBUTOS'!D16</f>
        <v>3.2002534642792528</v>
      </c>
      <c r="AC16" s="86">
        <f>'[8]PRINCIPAIS TRIBUTOS'!E16</f>
        <v>141.70991910337676</v>
      </c>
      <c r="AD16" s="38">
        <f>'[9]PRINCIPAIS TRIBUTOS'!B16</f>
        <v>33.18320064665</v>
      </c>
      <c r="AE16" s="39">
        <f>'[9]PRINCIPAIS TRIBUTOS'!C16</f>
        <v>1.219852663020083</v>
      </c>
      <c r="AF16" s="55">
        <f>'[9]PRINCIPAIS TRIBUTOS'!D16</f>
        <v>3.5270528942211636</v>
      </c>
      <c r="AG16" s="86">
        <f>'[9]PRINCIPAIS TRIBUTOS'!E16</f>
        <v>175.14366159538849</v>
      </c>
      <c r="AH16" s="38">
        <f>'[10]PRINCIPAIS TRIBUTOS'!B16</f>
        <v>41.663704322950011</v>
      </c>
      <c r="AI16" s="39">
        <f>'[10]PRINCIPAIS TRIBUTOS'!C16</f>
        <v>1.3397538147255634</v>
      </c>
      <c r="AJ16" s="55">
        <f>'[10]PRINCIPAIS TRIBUTOS'!D16</f>
        <v>3.8545886126229454</v>
      </c>
      <c r="AK16" s="86">
        <f>'[10]PRINCIPAIS TRIBUTOS'!E16</f>
        <v>217.52818760351093</v>
      </c>
      <c r="AL16" s="38">
        <f>'[11]PRINCIPAIS TRIBUTOS'!B16</f>
        <v>30.439081343480002</v>
      </c>
      <c r="AM16" s="39">
        <f>'[11]PRINCIPAIS TRIBUTOS'!C16</f>
        <v>0.91325308055141274</v>
      </c>
      <c r="AN16" s="55">
        <f>'[11]PRINCIPAIS TRIBUTOS'!D16</f>
        <v>2.753735772642032</v>
      </c>
      <c r="AO16" s="86">
        <f>'[11]PRINCIPAIS TRIBUTOS'!E16</f>
        <v>157.27217696708496</v>
      </c>
      <c r="AP16" s="38">
        <f>'[12]PRINCIPAIS TRIBUTOS'!B16</f>
        <v>40.007507456120003</v>
      </c>
      <c r="AQ16" s="39">
        <f>'[12]PRINCIPAIS TRIBUTOS'!C16</f>
        <v>1.029569806946079</v>
      </c>
      <c r="AR16" s="55">
        <f>'[12]PRINCIPAIS TRIBUTOS'!D16</f>
        <v>3.0980859593986545</v>
      </c>
      <c r="AS16" s="86">
        <f>'[12]PRINCIPAIS TRIBUTOS'!E16</f>
        <v>204.64428791553084</v>
      </c>
      <c r="AT16" s="38">
        <f>'[13]PRINCIPAIS TRIBUTOS'!B16</f>
        <v>41.153665609030007</v>
      </c>
      <c r="AU16" s="39">
        <f>'[13]PRINCIPAIS TRIBUTOS'!C16</f>
        <v>0.94035816820903684</v>
      </c>
      <c r="AV16" s="55">
        <f>'[13]PRINCIPAIS TRIBUTOS'!D16</f>
        <v>2.7590209778155526</v>
      </c>
      <c r="AW16" s="86">
        <f>'[13]PRINCIPAIS TRIBUTOS'!E16</f>
        <v>208.48169858893212</v>
      </c>
      <c r="AX16" s="38">
        <f>'[14]PRINCIPAIS TRIBUTOS'!B16</f>
        <v>46.352208561249995</v>
      </c>
      <c r="AY16" s="39">
        <f>'[14]PRINCIPAIS TRIBUTOS'!C16</f>
        <v>0.9627106763628922</v>
      </c>
      <c r="AZ16" s="55">
        <f>'[14]PRINCIPAIS TRIBUTOS'!D16</f>
        <v>2.8296131702981375</v>
      </c>
      <c r="BA16" s="86">
        <f>'[14]PRINCIPAIS TRIBUTOS'!E16</f>
        <v>232.64221941430333</v>
      </c>
      <c r="BB16" s="38">
        <f>'[15]PRINCIPAIS TRIBUTOS'!B16</f>
        <v>49.724601599550006</v>
      </c>
      <c r="BC16" s="39">
        <f>'[15]PRINCIPAIS TRIBUTOS'!C16</f>
        <v>0.93263606419644784</v>
      </c>
      <c r="BD16" s="55">
        <f>'[15]PRINCIPAIS TRIBUTOS'!D16</f>
        <v>2.7744293788295735</v>
      </c>
      <c r="BE16" s="86">
        <f>'[15]PRINCIPAIS TRIBUTOS'!E16</f>
        <v>247.34582053918848</v>
      </c>
      <c r="BF16" s="38">
        <f>'[16]PRINCIPAIS TRIBUTOS'!B16</f>
        <v>50.830252342889999</v>
      </c>
      <c r="BG16" s="39">
        <f>'[16]PRINCIPAIS TRIBUTOS'!C16</f>
        <v>0.87957545844186635</v>
      </c>
      <c r="BH16" s="55">
        <f>'[16]PRINCIPAIS TRIBUTOS'!D16</f>
        <v>2.6755844475440953</v>
      </c>
      <c r="BI16" s="86">
        <f>'[16]PRINCIPAIS TRIBUTOS'!E16</f>
        <v>250.68113045497654</v>
      </c>
      <c r="BJ16" s="38">
        <f>'[17]PRINCIPAIS TRIBUTOS'!B16</f>
        <v>52.442132156099994</v>
      </c>
      <c r="BK16" s="39">
        <f>'[17]PRINCIPAIS TRIBUTOS'!C16</f>
        <v>0.87464968578937152</v>
      </c>
      <c r="BL16" s="55">
        <f>'[17]PRINCIPAIS TRIBUTOS'!D16</f>
        <v>2.663347213494021</v>
      </c>
      <c r="BM16" s="86">
        <f>'[17]PRINCIPAIS TRIBUTOS'!E16</f>
        <v>256.50264458734972</v>
      </c>
      <c r="BN16" s="38">
        <f>'[18]PRINCIPAIS TRIBUTOS'!B16</f>
        <v>52.680544936609991</v>
      </c>
      <c r="BO16" s="39">
        <f>'[18]PRINCIPAIS TRIBUTOS'!C16</f>
        <v>0.8405747847183872</v>
      </c>
      <c r="BP16" s="55">
        <f>'[18]PRINCIPAIS TRIBUTOS'!D16</f>
        <v>2.5252441585391039</v>
      </c>
      <c r="BQ16" s="86">
        <f>'[18]PRINCIPAIS TRIBUTOS'!E16</f>
        <v>255.62974997480603</v>
      </c>
      <c r="BR16" s="38">
        <f>'[19]PRINCIPAIS TRIBUTOS'!B16</f>
        <v>57.142050989510004</v>
      </c>
      <c r="BS16" s="39">
        <f>'[19]PRINCIPAIS TRIBUTOS'!C16</f>
        <v>0.87188621527854626</v>
      </c>
      <c r="BT16" s="55">
        <f>'[19]PRINCIPAIS TRIBUTOS'!D16</f>
        <v>2.5933527882103697</v>
      </c>
      <c r="BU16" s="86">
        <f>'[19]PRINCIPAIS TRIBUTOS'!E16</f>
        <v>275.16996704522114</v>
      </c>
      <c r="BV16" s="38">
        <f>'[20]PRINCIPAIS TRIBUTOS'!B16</f>
        <v>63.690798612759998</v>
      </c>
      <c r="BW16" s="39">
        <f>'[20]PRINCIPAIS TRIBUTOS'!C16</f>
        <v>0.92450530641479767</v>
      </c>
      <c r="BX16" s="55">
        <f>'[20]PRINCIPAIS TRIBUTOS'!D16</f>
        <v>2.6842047871366628</v>
      </c>
      <c r="BY16" s="86">
        <f>'[20]PRINCIPAIS TRIBUTOS'!E16</f>
        <v>305.47892832275511</v>
      </c>
      <c r="BZ16" s="38">
        <f>'[21]PRINCIPAIS TRIBUTOS'!B16</f>
        <v>63.740820517509995</v>
      </c>
      <c r="CA16" s="39">
        <f>'[21]PRINCIPAIS TRIBUTOS'!C16</f>
        <v>0.86262945558158322</v>
      </c>
      <c r="CB16" s="55">
        <f>'[21]PRINCIPAIS TRIBUTOS'!D16</f>
        <v>2.5527734577342276</v>
      </c>
      <c r="CC16" s="86">
        <f>'[21]PRINCIPAIS TRIBUTOS'!E16</f>
        <v>303.31521555438837</v>
      </c>
      <c r="CD16" s="38">
        <f>'[22]PRINCIPAIS TRIBUTOS'!B16</f>
        <v>61.010338544389995</v>
      </c>
      <c r="CE16" s="39">
        <f>'[22]PRINCIPAIS TRIBUTOS'!C16</f>
        <v>0.80175518551626312</v>
      </c>
      <c r="CF16" s="55">
        <f>'[22]PRINCIPAIS TRIBUTOS'!D16</f>
        <v>2.4886360003432908</v>
      </c>
      <c r="CG16" s="86">
        <f>'[22]PRINCIPAIS TRIBUTOS'!E16</f>
        <v>288.11664030447878</v>
      </c>
      <c r="CH16" s="38">
        <f>'[23]PRINCIPAIS TRIBUTOS'!B16</f>
        <v>74.069402776950028</v>
      </c>
      <c r="CI16" s="39">
        <f>'[23]PRINCIPAIS TRIBUTOS'!C16</f>
        <v>0.83235953611061464</v>
      </c>
      <c r="CJ16" s="55">
        <f>'[23]PRINCIPAIS TRIBUTOS'!D16</f>
        <v>2.4198051253551061</v>
      </c>
      <c r="CK16" s="86">
        <f>'[23]PRINCIPAIS TRIBUTOS'!E16</f>
        <v>347.22586994763253</v>
      </c>
      <c r="CL16" s="38">
        <f>'[24]PRINCIPAIS TRIBUTOS'!B16</f>
        <v>77.836053241339997</v>
      </c>
      <c r="CM16" s="39">
        <f>'[24]PRINCIPAIS TRIBUTOS'!C16</f>
        <v>0.77220788883829206</v>
      </c>
      <c r="CN16" s="55">
        <f>'[24]PRINCIPAIS TRIBUTOS'!D16</f>
        <v>2.2121963237419315</v>
      </c>
      <c r="CO16" s="86">
        <f>'[24]PRINCIPAIS TRIBUTOS'!E16</f>
        <v>383.27636145563685</v>
      </c>
      <c r="CP16" s="38">
        <f>'[25]PRINCIPAIS TRIBUTOS'!B16</f>
        <v>90.271788571729999</v>
      </c>
      <c r="CQ16" s="39">
        <f>'[25]PRINCIPAIS TRIBUTOS'!C16</f>
        <v>0.82490131509829179</v>
      </c>
      <c r="CR16" s="55">
        <f>'[25]PRINCIPAIS TRIBUTOS'!D16</f>
        <v>2.385625961220013</v>
      </c>
      <c r="CS16" s="86">
        <f>'[25]PRINCIPAIS TRIBUTOS'!E16</f>
        <v>434.34927576775101</v>
      </c>
      <c r="CT16" s="38">
        <f>'[26]PRINCIPAIS TRIBUTOS'!B16</f>
        <v>99.843386388089996</v>
      </c>
      <c r="CU16" s="39">
        <f>'[26]PRINCIPAIS TRIBUTOS'!C16</f>
        <v>0.85011375239769671</v>
      </c>
      <c r="CV16" s="55">
        <f>'[26]PRINCIPAIS TRIBUTOS'!D16</f>
        <v>2.3647119129777567</v>
      </c>
      <c r="CW16" s="86">
        <f>'[26]PRINCIPAIS TRIBUTOS'!E16</f>
        <v>469.66612635297849</v>
      </c>
    </row>
    <row r="17" spans="1:101" x14ac:dyDescent="0.25">
      <c r="A17" s="75" t="s">
        <v>24</v>
      </c>
      <c r="B17" s="38">
        <f>'[2]PRINCIPAIS TRIBUTOS'!B17</f>
        <v>9.4840235188800008</v>
      </c>
      <c r="C17" s="39">
        <f>'[2]PRINCIPAIS TRIBUTOS'!C17</f>
        <v>0.7887727241077549</v>
      </c>
      <c r="D17" s="55">
        <f>'[2]PRINCIPAIS TRIBUTOS'!D17</f>
        <v>2.5810719310651749</v>
      </c>
      <c r="E17" s="86">
        <f>'[2]PRINCIPAIS TRIBUTOS'!E17</f>
        <v>54.679238733588157</v>
      </c>
      <c r="F17" s="38">
        <f>'[3]PRINCIPAIS TRIBUTOS'!B17</f>
        <v>11.18600073815</v>
      </c>
      <c r="G17" s="39">
        <f>'[3]PRINCIPAIS TRIBUTOS'!C17</f>
        <v>0.85015833024765253</v>
      </c>
      <c r="H17" s="55">
        <f>'[3]PRINCIPAIS TRIBUTOS'!D17</f>
        <v>2.6529325321641344</v>
      </c>
      <c r="I17" s="86">
        <f>'[3]PRINCIPAIS TRIBUTOS'!E17</f>
        <v>64.491827083493774</v>
      </c>
      <c r="J17" s="38">
        <f>'[4]PRINCIPAIS TRIBUTOS'!B17</f>
        <v>12.472114273009998</v>
      </c>
      <c r="K17" s="39">
        <f>'[4]PRINCIPAIS TRIBUTOS'!C17</f>
        <v>0.83773664553828031</v>
      </c>
      <c r="L17" s="55">
        <f>'[4]PRINCIPAIS TRIBUTOS'!D17</f>
        <v>2.5174585555864071</v>
      </c>
      <c r="M17" s="86">
        <f>'[4]PRINCIPAIS TRIBUTOS'!E17</f>
        <v>69.959530829668893</v>
      </c>
      <c r="N17" s="38">
        <f>'[5]PRINCIPAIS TRIBUTOS'!B17</f>
        <v>16.506661782369999</v>
      </c>
      <c r="O17" s="39">
        <f>'[5]PRINCIPAIS TRIBUTOS'!C17</f>
        <v>0.96083481954480632</v>
      </c>
      <c r="P17" s="55">
        <f>'[5]PRINCIPAIS TRIBUTOS'!D17</f>
        <v>2.9475399213914439</v>
      </c>
      <c r="Q17" s="86">
        <f>'[5]PRINCIPAIS TRIBUTOS'!E17</f>
        <v>91.389343935692551</v>
      </c>
      <c r="R17" s="38">
        <f>'[6]PRINCIPAIS TRIBUTOS'!B17</f>
        <v>19.27806162253</v>
      </c>
      <c r="S17" s="39">
        <f>'[6]PRINCIPAIS TRIBUTOS'!C17</f>
        <v>0.98470447071818623</v>
      </c>
      <c r="T17" s="55">
        <f>'[6]PRINCIPAIS TRIBUTOS'!D17</f>
        <v>2.9286707210279364</v>
      </c>
      <c r="U17" s="86">
        <f>'[6]PRINCIPAIS TRIBUTOS'!E17</f>
        <v>105.39557650925444</v>
      </c>
      <c r="V17" s="38">
        <f>'[7]PRINCIPAIS TRIBUTOS'!B17</f>
        <v>21.296733059440001</v>
      </c>
      <c r="W17" s="39">
        <f>'[7]PRINCIPAIS TRIBUTOS'!C17</f>
        <v>0.98115176597276776</v>
      </c>
      <c r="X17" s="55">
        <f>'[7]PRINCIPAIS TRIBUTOS'!D17</f>
        <v>2.8238102158942833</v>
      </c>
      <c r="Y17" s="86">
        <f>'[7]PRINCIPAIS TRIBUTOS'!E17</f>
        <v>115.02371239712564</v>
      </c>
      <c r="Z17" s="38">
        <f>'[8]PRINCIPAIS TRIBUTOS'!B17</f>
        <v>23.387889583129997</v>
      </c>
      <c r="AA17" s="39">
        <f>'[8]PRINCIPAIS TRIBUTOS'!C17</f>
        <v>0.97067337289132372</v>
      </c>
      <c r="AB17" s="55">
        <f>'[8]PRINCIPAIS TRIBUTOS'!D17</f>
        <v>2.8193949584262681</v>
      </c>
      <c r="AC17" s="86">
        <f>'[8]PRINCIPAIS TRIBUTOS'!E17</f>
        <v>124.84518365142571</v>
      </c>
      <c r="AD17" s="38">
        <f>'[9]PRINCIPAIS TRIBUTOS'!B17</f>
        <v>25.779152216560004</v>
      </c>
      <c r="AE17" s="39">
        <f>'[9]PRINCIPAIS TRIBUTOS'!C17</f>
        <v>0.94767131768362123</v>
      </c>
      <c r="AF17" s="55">
        <f>'[9]PRINCIPAIS TRIBUTOS'!D17</f>
        <v>2.7400742443199237</v>
      </c>
      <c r="AG17" s="86">
        <f>'[9]PRINCIPAIS TRIBUTOS'!E17</f>
        <v>136.06448516258516</v>
      </c>
      <c r="AH17" s="38">
        <f>'[10]PRINCIPAIS TRIBUTOS'!B17</f>
        <v>30.326771021260004</v>
      </c>
      <c r="AI17" s="39">
        <f>'[10]PRINCIPAIS TRIBUTOS'!C17</f>
        <v>0.97519910493558615</v>
      </c>
      <c r="AJ17" s="55">
        <f>'[10]PRINCIPAIS TRIBUTOS'!D17</f>
        <v>2.8057329067540628</v>
      </c>
      <c r="AK17" s="86">
        <f>'[10]PRINCIPAIS TRIBUTOS'!E17</f>
        <v>158.33751807055518</v>
      </c>
      <c r="AL17" s="38">
        <f>'[11]PRINCIPAIS TRIBUTOS'!B17</f>
        <v>26.190433288040001</v>
      </c>
      <c r="AM17" s="39">
        <f>'[11]PRINCIPAIS TRIBUTOS'!C17</f>
        <v>0.78578238322563887</v>
      </c>
      <c r="AN17" s="55">
        <f>'[11]PRINCIPAIS TRIBUTOS'!D17</f>
        <v>2.3693728543394013</v>
      </c>
      <c r="AO17" s="86">
        <f>'[11]PRINCIPAIS TRIBUTOS'!E17</f>
        <v>135.32032758943782</v>
      </c>
      <c r="AP17" s="38">
        <f>'[12]PRINCIPAIS TRIBUTOS'!B17</f>
        <v>31.407240443990002</v>
      </c>
      <c r="AQ17" s="39">
        <f>'[12]PRINCIPAIS TRIBUTOS'!C17</f>
        <v>0.80824696505009064</v>
      </c>
      <c r="AR17" s="55">
        <f>'[12]PRINCIPAIS TRIBUTOS'!D17</f>
        <v>2.4321017936371963</v>
      </c>
      <c r="AS17" s="86">
        <f>'[12]PRINCIPAIS TRIBUTOS'!E17</f>
        <v>160.65265658205857</v>
      </c>
      <c r="AT17" s="38">
        <f>'[13]PRINCIPAIS TRIBUTOS'!B17</f>
        <v>36.656296818840005</v>
      </c>
      <c r="AU17" s="39">
        <f>'[13]PRINCIPAIS TRIBUTOS'!C17</f>
        <v>0.83759362914023527</v>
      </c>
      <c r="AV17" s="55">
        <f>'[13]PRINCIPAIS TRIBUTOS'!D17</f>
        <v>2.45750871509297</v>
      </c>
      <c r="AW17" s="86">
        <f>'[13]PRINCIPAIS TRIBUTOS'!E17</f>
        <v>185.69833116141604</v>
      </c>
      <c r="AX17" s="38">
        <f>'[14]PRINCIPAIS TRIBUTOS'!B17</f>
        <v>42.316509592660005</v>
      </c>
      <c r="AY17" s="39">
        <f>'[14]PRINCIPAIS TRIBUTOS'!C17</f>
        <v>0.8788913589184093</v>
      </c>
      <c r="AZ17" s="55">
        <f>'[14]PRINCIPAIS TRIBUTOS'!D17</f>
        <v>2.5832502178664081</v>
      </c>
      <c r="BA17" s="86">
        <f>'[14]PRINCIPAIS TRIBUTOS'!E17</f>
        <v>212.38700409483999</v>
      </c>
      <c r="BB17" s="38">
        <f>'[15]PRINCIPAIS TRIBUTOS'!B17</f>
        <v>45.783504649339996</v>
      </c>
      <c r="BC17" s="39">
        <f>'[15]PRINCIPAIS TRIBUTOS'!C17</f>
        <v>0.85871673593593234</v>
      </c>
      <c r="BD17" s="55">
        <f>'[15]PRINCIPAIS TRIBUTOS'!D17</f>
        <v>2.5545322894263025</v>
      </c>
      <c r="BE17" s="86">
        <f>'[15]PRINCIPAIS TRIBUTOS'!E17</f>
        <v>227.74156374041686</v>
      </c>
      <c r="BF17" s="38">
        <f>'[16]PRINCIPAIS TRIBUTOS'!B17</f>
        <v>50.493151794877214</v>
      </c>
      <c r="BG17" s="39">
        <f>'[16]PRINCIPAIS TRIBUTOS'!C17</f>
        <v>0.87374221238479022</v>
      </c>
      <c r="BH17" s="55">
        <f>'[16]PRINCIPAIS TRIBUTOS'!D17</f>
        <v>2.6578402707606066</v>
      </c>
      <c r="BI17" s="86">
        <f>'[16]PRINCIPAIS TRIBUTOS'!E17</f>
        <v>249.01864123728024</v>
      </c>
      <c r="BJ17" s="38">
        <f>'[17]PRINCIPAIS TRIBUTOS'!B17</f>
        <v>54.074215310498822</v>
      </c>
      <c r="BK17" s="39">
        <f>'[17]PRINCIPAIS TRIBUTOS'!C17</f>
        <v>0.90187018502323091</v>
      </c>
      <c r="BL17" s="55">
        <f>'[17]PRINCIPAIS TRIBUTOS'!D17</f>
        <v>2.7462348449221241</v>
      </c>
      <c r="BM17" s="86">
        <f>'[17]PRINCIPAIS TRIBUTOS'!E17</f>
        <v>264.48541775232428</v>
      </c>
      <c r="BN17" s="38">
        <f>'[18]PRINCIPAIS TRIBUTOS'!B17</f>
        <v>41.757059205250002</v>
      </c>
      <c r="BO17" s="39">
        <f>'[18]PRINCIPAIS TRIBUTOS'!C17</f>
        <v>0.66627881496217212</v>
      </c>
      <c r="BP17" s="55">
        <f>'[18]PRINCIPAIS TRIBUTOS'!D17</f>
        <v>2.0016264061564319</v>
      </c>
      <c r="BQ17" s="86">
        <f>'[18]PRINCIPAIS TRIBUTOS'!E17</f>
        <v>202.62407340633192</v>
      </c>
      <c r="BR17" s="38">
        <f>'[19]PRINCIPAIS TRIBUTOS'!B17</f>
        <v>56.279560322004087</v>
      </c>
      <c r="BS17" s="39">
        <f>'[19]PRINCIPAIS TRIBUTOS'!C17</f>
        <v>0.85872613945377663</v>
      </c>
      <c r="BT17" s="55">
        <f>'[19]PRINCIPAIS TRIBUTOS'!D17</f>
        <v>2.554209240881407</v>
      </c>
      <c r="BU17" s="86">
        <f>'[19]PRINCIPAIS TRIBUTOS'!E17</f>
        <v>271.01660670122538</v>
      </c>
      <c r="BV17" s="38">
        <f>'[20]PRINCIPAIS TRIBUTOS'!B17</f>
        <v>63.776391482763628</v>
      </c>
      <c r="BW17" s="39">
        <f>'[20]PRINCIPAIS TRIBUTOS'!C17</f>
        <v>0.92574773176089431</v>
      </c>
      <c r="BX17" s="55">
        <f>'[20]PRINCIPAIS TRIBUTOS'!D17</f>
        <v>2.6878120396191667</v>
      </c>
      <c r="BY17" s="86">
        <f>'[20]PRINCIPAIS TRIBUTOS'!E17</f>
        <v>305.88945572656036</v>
      </c>
      <c r="BZ17" s="38">
        <f>'[21]PRINCIPAIS TRIBUTOS'!B17</f>
        <v>71.31485364559488</v>
      </c>
      <c r="CA17" s="39">
        <f>'[21]PRINCIPAIS TRIBUTOS'!C17</f>
        <v>0.96513180840338175</v>
      </c>
      <c r="CB17" s="55">
        <f>'[21]PRINCIPAIS TRIBUTOS'!D17</f>
        <v>2.8561079705377375</v>
      </c>
      <c r="CC17" s="86">
        <f>'[21]PRINCIPAIS TRIBUTOS'!E17</f>
        <v>339.3567894188173</v>
      </c>
      <c r="CD17" s="38">
        <f>'[22]PRINCIPAIS TRIBUTOS'!B17</f>
        <v>71.841188200757529</v>
      </c>
      <c r="CE17" s="39">
        <f>'[22]PRINCIPAIS TRIBUTOS'!C17</f>
        <v>0.94408663429558137</v>
      </c>
      <c r="CF17" s="55">
        <f>'[22]PRINCIPAIS TRIBUTOS'!D17</f>
        <v>2.9304306701029206</v>
      </c>
      <c r="CG17" s="86">
        <f>'[22]PRINCIPAIS TRIBUTOS'!E17</f>
        <v>339.26449637423451</v>
      </c>
      <c r="CH17" s="38">
        <f>'[23]PRINCIPAIS TRIBUTOS'!B17</f>
        <v>90.520455889977896</v>
      </c>
      <c r="CI17" s="39">
        <f>'[23]PRINCIPAIS TRIBUTOS'!C17</f>
        <v>1.0172292721192355</v>
      </c>
      <c r="CJ17" s="55">
        <f>'[23]PRINCIPAIS TRIBUTOS'!D17</f>
        <v>2.9572516437274943</v>
      </c>
      <c r="CK17" s="86">
        <f>'[23]PRINCIPAIS TRIBUTOS'!E17</f>
        <v>424.34585491534477</v>
      </c>
      <c r="CL17" s="38">
        <f>'[24]PRINCIPAIS TRIBUTOS'!B17</f>
        <v>109.34861963538836</v>
      </c>
      <c r="CM17" s="39">
        <f>'[24]PRINCIPAIS TRIBUTOS'!C17</f>
        <v>1.0848426044189154</v>
      </c>
      <c r="CN17" s="55">
        <f>'[24]PRINCIPAIS TRIBUTOS'!D17</f>
        <v>3.1078222017966288</v>
      </c>
      <c r="CO17" s="86">
        <f>'[24]PRINCIPAIS TRIBUTOS'!E17</f>
        <v>538.44894902493058</v>
      </c>
      <c r="CP17" s="38">
        <f>'[25]PRINCIPAIS TRIBUTOS'!B17</f>
        <v>123.44516212376996</v>
      </c>
      <c r="CQ17" s="39">
        <f>'[25]PRINCIPAIS TRIBUTOS'!C17</f>
        <v>1.1280387614952976</v>
      </c>
      <c r="CR17" s="55">
        <f>'[25]PRINCIPAIS TRIBUTOS'!D17</f>
        <v>3.2623036300590624</v>
      </c>
      <c r="CS17" s="86">
        <f>'[25]PRINCIPAIS TRIBUTOS'!E17</f>
        <v>593.96537516133242</v>
      </c>
      <c r="CT17" s="38">
        <f>'[26]PRINCIPAIS TRIBUTOS'!B17</f>
        <v>142.63379301107994</v>
      </c>
      <c r="CU17" s="39">
        <f>'[26]PRINCIPAIS TRIBUTOS'!C17</f>
        <v>1.2144514862912306</v>
      </c>
      <c r="CV17" s="55">
        <f>'[26]PRINCIPAIS TRIBUTOS'!D17</f>
        <v>3.3781689677017819</v>
      </c>
      <c r="CW17" s="86">
        <f>'[26]PRINCIPAIS TRIBUTOS'!E17</f>
        <v>670.95341488274596</v>
      </c>
    </row>
    <row r="18" spans="1:101" x14ac:dyDescent="0.25">
      <c r="A18" s="75" t="s">
        <v>25</v>
      </c>
      <c r="B18" s="38">
        <f>'[2]PRINCIPAIS TRIBUTOS'!B18</f>
        <v>6.7093918960699988</v>
      </c>
      <c r="C18" s="39">
        <f>'[2]PRINCIPAIS TRIBUTOS'!C18</f>
        <v>0.55801056507656144</v>
      </c>
      <c r="D18" s="55">
        <f>'[2]PRINCIPAIS TRIBUTOS'!D18</f>
        <v>1.8259574180713862</v>
      </c>
      <c r="E18" s="86">
        <f>'[2]PRINCIPAIS TRIBUTOS'!E18</f>
        <v>38.682363082724343</v>
      </c>
      <c r="F18" s="38">
        <f>'[3]PRINCIPAIS TRIBUTOS'!B18</f>
        <v>7.4459304488406808</v>
      </c>
      <c r="G18" s="39">
        <f>'[3]PRINCIPAIS TRIBUTOS'!C18</f>
        <v>0.56590554083706168</v>
      </c>
      <c r="H18" s="55">
        <f>'[3]PRINCIPAIS TRIBUTOS'!D18</f>
        <v>1.7659172015420308</v>
      </c>
      <c r="I18" s="86">
        <f>'[3]PRINCIPAIS TRIBUTOS'!E18</f>
        <v>42.928806302025393</v>
      </c>
      <c r="J18" s="38">
        <f>'[4]PRINCIPAIS TRIBUTOS'!B18</f>
        <v>8.4952964499300005</v>
      </c>
      <c r="K18" s="39">
        <f>'[4]PRINCIPAIS TRIBUTOS'!C18</f>
        <v>0.57061866136190065</v>
      </c>
      <c r="L18" s="55">
        <f>'[4]PRINCIPAIS TRIBUTOS'!D18</f>
        <v>1.7147499022198835</v>
      </c>
      <c r="M18" s="86">
        <f>'[4]PRINCIPAIS TRIBUTOS'!E18</f>
        <v>47.652462195779798</v>
      </c>
      <c r="N18" s="38">
        <f>'[5]PRINCIPAIS TRIBUTOS'!B18</f>
        <v>9.6740002598550028</v>
      </c>
      <c r="O18" s="39">
        <f>'[5]PRINCIPAIS TRIBUTOS'!C18</f>
        <v>0.56311302772810634</v>
      </c>
      <c r="P18" s="55">
        <f>'[5]PRINCIPAIS TRIBUTOS'!D18</f>
        <v>1.7274541843420359</v>
      </c>
      <c r="Q18" s="86">
        <f>'[5]PRINCIPAIS TRIBUTOS'!E18</f>
        <v>53.560226085575636</v>
      </c>
      <c r="R18" s="38">
        <f>'[6]PRINCIPAIS TRIBUTOS'!B18</f>
        <v>11.681605275100001</v>
      </c>
      <c r="S18" s="39">
        <f>'[6]PRINCIPAIS TRIBUTOS'!C18</f>
        <v>0.59668493465716532</v>
      </c>
      <c r="T18" s="55">
        <f>'[6]PRINCIPAIS TRIBUTOS'!D18</f>
        <v>1.7746377210356192</v>
      </c>
      <c r="U18" s="86">
        <f>'[6]PRINCIPAIS TRIBUTOS'!E18</f>
        <v>63.864798579325971</v>
      </c>
      <c r="V18" s="38">
        <f>'[7]PRINCIPAIS TRIBUTOS'!B18</f>
        <v>14.04991844339</v>
      </c>
      <c r="W18" s="39">
        <f>'[7]PRINCIPAIS TRIBUTOS'!C18</f>
        <v>0.64728718034032295</v>
      </c>
      <c r="X18" s="55">
        <f>'[7]PRINCIPAIS TRIBUTOS'!D18</f>
        <v>1.8629290756565184</v>
      </c>
      <c r="Y18" s="86">
        <f>'[7]PRINCIPAIS TRIBUTOS'!E18</f>
        <v>75.883647211290025</v>
      </c>
      <c r="Z18" s="38">
        <f>'[8]PRINCIPAIS TRIBUTOS'!B18</f>
        <v>16.916468680179996</v>
      </c>
      <c r="AA18" s="39">
        <f>'[8]PRINCIPAIS TRIBUTOS'!C18</f>
        <v>0.70208838864388123</v>
      </c>
      <c r="AB18" s="55">
        <f>'[8]PRINCIPAIS TRIBUTOS'!D18</f>
        <v>2.0392693552682846</v>
      </c>
      <c r="AC18" s="86">
        <f>'[8]PRINCIPAIS TRIBUTOS'!E18</f>
        <v>90.300564811714935</v>
      </c>
      <c r="AD18" s="38">
        <f>'[9]PRINCIPAIS TRIBUTOS'!B18</f>
        <v>19.740562864659999</v>
      </c>
      <c r="AE18" s="39">
        <f>'[9]PRINCIPAIS TRIBUTOS'!C18</f>
        <v>0.7256858202556149</v>
      </c>
      <c r="AF18" s="55">
        <f>'[9]PRINCIPAIS TRIBUTOS'!D18</f>
        <v>2.0982306718017858</v>
      </c>
      <c r="AG18" s="86">
        <f>'[9]PRINCIPAIS TRIBUTOS'!E18</f>
        <v>104.1923140231968</v>
      </c>
      <c r="AH18" s="38">
        <f>'[10]PRINCIPAIS TRIBUTOS'!B18</f>
        <v>23.82135202213</v>
      </c>
      <c r="AI18" s="39">
        <f>'[10]PRINCIPAIS TRIBUTOS'!C18</f>
        <v>0.7660083941693413</v>
      </c>
      <c r="AJ18" s="55">
        <f>'[10]PRINCIPAIS TRIBUTOS'!D18</f>
        <v>2.203872980905492</v>
      </c>
      <c r="AK18" s="86">
        <f>'[10]PRINCIPAIS TRIBUTOS'!E18</f>
        <v>124.37241517156266</v>
      </c>
      <c r="AL18" s="38">
        <f>'[11]PRINCIPAIS TRIBUTOS'!B18</f>
        <v>15.806918437590005</v>
      </c>
      <c r="AM18" s="39">
        <f>'[11]PRINCIPAIS TRIBUTOS'!C18</f>
        <v>0.4742494293523119</v>
      </c>
      <c r="AN18" s="55">
        <f>'[11]PRINCIPAIS TRIBUTOS'!D18</f>
        <v>1.4300062562876958</v>
      </c>
      <c r="AO18" s="86">
        <f>'[11]PRINCIPAIS TRIBUTOS'!E18</f>
        <v>81.670942883216398</v>
      </c>
      <c r="AP18" s="38">
        <f>'[12]PRINCIPAIS TRIBUTOS'!B18</f>
        <v>21.080739008959995</v>
      </c>
      <c r="AQ18" s="39">
        <f>'[12]PRINCIPAIS TRIBUTOS'!C18</f>
        <v>0.54250048982782895</v>
      </c>
      <c r="AR18" s="55">
        <f>'[12]PRINCIPAIS TRIBUTOS'!D18</f>
        <v>1.6324421512396898</v>
      </c>
      <c r="AS18" s="86">
        <f>'[12]PRINCIPAIS TRIBUTOS'!E18</f>
        <v>107.83108215260347</v>
      </c>
      <c r="AT18" s="38">
        <f>'[13]PRINCIPAIS TRIBUTOS'!B18</f>
        <v>26.644493091240001</v>
      </c>
      <c r="AU18" s="39">
        <f>'[13]PRINCIPAIS TRIBUTOS'!C18</f>
        <v>0.60882466592815709</v>
      </c>
      <c r="AV18" s="55">
        <f>'[13]PRINCIPAIS TRIBUTOS'!D18</f>
        <v>1.786298116925517</v>
      </c>
      <c r="AW18" s="86">
        <f>'[13]PRINCIPAIS TRIBUTOS'!E18</f>
        <v>134.97920769623786</v>
      </c>
      <c r="AX18" s="38">
        <f>'[14]PRINCIPAIS TRIBUTOS'!B18</f>
        <v>31.085492404929997</v>
      </c>
      <c r="AY18" s="39">
        <f>'[14]PRINCIPAIS TRIBUTOS'!C18</f>
        <v>0.64562911557232328</v>
      </c>
      <c r="AZ18" s="55">
        <f>'[14]PRINCIPAIS TRIBUTOS'!D18</f>
        <v>1.8976424520950723</v>
      </c>
      <c r="BA18" s="86">
        <f>'[14]PRINCIPAIS TRIBUTOS'!E18</f>
        <v>156.0184114013307</v>
      </c>
      <c r="BB18" s="38">
        <f>'[15]PRINCIPAIS TRIBUTOS'!B18</f>
        <v>36.709334433320002</v>
      </c>
      <c r="BC18" s="39">
        <f>'[15]PRINCIPAIS TRIBUTOS'!C18</f>
        <v>0.68852133720207698</v>
      </c>
      <c r="BD18" s="55">
        <f>'[15]PRINCIPAIS TRIBUTOS'!D18</f>
        <v>2.0482307077952489</v>
      </c>
      <c r="BE18" s="86">
        <f>'[15]PRINCIPAIS TRIBUTOS'!E18</f>
        <v>182.60378474182068</v>
      </c>
      <c r="BF18" s="38">
        <f>'[16]PRINCIPAIS TRIBUTOS'!B18</f>
        <v>36.764845972899998</v>
      </c>
      <c r="BG18" s="39">
        <f>'[16]PRINCIPAIS TRIBUTOS'!C18</f>
        <v>0.63618523931411097</v>
      </c>
      <c r="BH18" s="55">
        <f>'[16]PRINCIPAIS TRIBUTOS'!D18</f>
        <v>1.9352146717250125</v>
      </c>
      <c r="BI18" s="86">
        <f>'[16]PRINCIPAIS TRIBUTOS'!E18</f>
        <v>181.31433004343148</v>
      </c>
      <c r="BJ18" s="38">
        <f>'[17]PRINCIPAIS TRIBUTOS'!B18</f>
        <v>38.963128408579998</v>
      </c>
      <c r="BK18" s="39">
        <f>'[17]PRINCIPAIS TRIBUTOS'!C18</f>
        <v>0.64984177070633087</v>
      </c>
      <c r="BL18" s="55">
        <f>'[17]PRINCIPAIS TRIBUTOS'!D18</f>
        <v>1.978797108536912</v>
      </c>
      <c r="BM18" s="86">
        <f>'[17]PRINCIPAIS TRIBUTOS'!E18</f>
        <v>190.57473575728289</v>
      </c>
      <c r="BN18" s="38">
        <f>'[18]PRINCIPAIS TRIBUTOS'!B18</f>
        <v>37.704100321029998</v>
      </c>
      <c r="BO18" s="39">
        <f>'[18]PRINCIPAIS TRIBUTOS'!C18</f>
        <v>0.60160949451996548</v>
      </c>
      <c r="BP18" s="55">
        <f>'[18]PRINCIPAIS TRIBUTOS'!D18</f>
        <v>1.8073476499383432</v>
      </c>
      <c r="BQ18" s="86">
        <f>'[18]PRINCIPAIS TRIBUTOS'!E18</f>
        <v>182.95729001451232</v>
      </c>
      <c r="BR18" s="38">
        <f>'[19]PRINCIPAIS TRIBUTOS'!B18</f>
        <v>32.430855851270003</v>
      </c>
      <c r="BS18" s="39">
        <f>'[19]PRINCIPAIS TRIBUTOS'!C18</f>
        <v>0.49483726391967869</v>
      </c>
      <c r="BT18" s="55">
        <f>'[19]PRINCIPAIS TRIBUTOS'!D18</f>
        <v>1.4718521472283059</v>
      </c>
      <c r="BU18" s="86">
        <f>'[19]PRINCIPAIS TRIBUTOS'!E18</f>
        <v>156.17216010465793</v>
      </c>
      <c r="BV18" s="38">
        <f>'[20]PRINCIPAIS TRIBUTOS'!B18</f>
        <v>40.69489102032</v>
      </c>
      <c r="BW18" s="39">
        <f>'[20]PRINCIPAIS TRIBUTOS'!C18</f>
        <v>0.59070766125894214</v>
      </c>
      <c r="BX18" s="55">
        <f>'[20]PRINCIPAIS TRIBUTOS'!D18</f>
        <v>1.7150581193507535</v>
      </c>
      <c r="BY18" s="86">
        <f>'[20]PRINCIPAIS TRIBUTOS'!E18</f>
        <v>195.1841077183183</v>
      </c>
      <c r="BZ18" s="38">
        <f>'[21]PRINCIPAIS TRIBUTOS'!B18</f>
        <v>42.926630044120003</v>
      </c>
      <c r="CA18" s="39">
        <f>'[21]PRINCIPAIS TRIBUTOS'!C18</f>
        <v>0.58094287466442263</v>
      </c>
      <c r="CB18" s="55">
        <f>'[21]PRINCIPAIS TRIBUTOS'!D18</f>
        <v>1.7191802822259457</v>
      </c>
      <c r="CC18" s="86">
        <f>'[21]PRINCIPAIS TRIBUTOS'!E18</f>
        <v>204.26941384099356</v>
      </c>
      <c r="CD18" s="38">
        <f>'[22]PRINCIPAIS TRIBUTOS'!B18</f>
        <v>45.713057662609998</v>
      </c>
      <c r="CE18" s="39">
        <f>'[22]PRINCIPAIS TRIBUTOS'!C18</f>
        <v>0.60072902234651848</v>
      </c>
      <c r="CF18" s="55">
        <f>'[22]PRINCIPAIS TRIBUTOS'!D18</f>
        <v>1.8646538226003775</v>
      </c>
      <c r="CG18" s="86">
        <f>'[22]PRINCIPAIS TRIBUTOS'!E18</f>
        <v>215.87640563924015</v>
      </c>
      <c r="CH18" s="38">
        <f>'[23]PRINCIPAIS TRIBUTOS'!B18</f>
        <v>62.028225092980023</v>
      </c>
      <c r="CI18" s="39">
        <f>'[23]PRINCIPAIS TRIBUTOS'!C18</f>
        <v>0.6970460504404733</v>
      </c>
      <c r="CJ18" s="55">
        <f>'[23]PRINCIPAIS TRIBUTOS'!D18</f>
        <v>2.0264267210128275</v>
      </c>
      <c r="CK18" s="86">
        <f>'[23]PRINCIPAIS TRIBUTOS'!E18</f>
        <v>290.77869689425933</v>
      </c>
      <c r="CL18" s="38">
        <f>'[24]PRINCIPAIS TRIBUTOS'!B18</f>
        <v>59.015767544939983</v>
      </c>
      <c r="CM18" s="39">
        <f>'[24]PRINCIPAIS TRIBUTOS'!C18</f>
        <v>0.58549270378274043</v>
      </c>
      <c r="CN18" s="55">
        <f>'[24]PRINCIPAIS TRIBUTOS'!D18</f>
        <v>1.6773006668378325</v>
      </c>
      <c r="CO18" s="86">
        <f>'[24]PRINCIPAIS TRIBUTOS'!E18</f>
        <v>290.60246134271819</v>
      </c>
      <c r="CP18" s="38">
        <f>'[25]PRINCIPAIS TRIBUTOS'!B18</f>
        <v>58.575785866770005</v>
      </c>
      <c r="CQ18" s="39">
        <f>'[25]PRINCIPAIS TRIBUTOS'!C18</f>
        <v>0.53526404604269051</v>
      </c>
      <c r="CR18" s="55">
        <f>'[25]PRINCIPAIS TRIBUTOS'!D18</f>
        <v>1.5479909911344387</v>
      </c>
      <c r="CS18" s="86">
        <f>'[25]PRINCIPAIS TRIBUTOS'!E18</f>
        <v>281.84165364732877</v>
      </c>
      <c r="CT18" s="38">
        <f>'[26]PRINCIPAIS TRIBUTOS'!B18</f>
        <v>77.507333275820002</v>
      </c>
      <c r="CU18" s="39">
        <f>'[26]PRINCIPAIS TRIBUTOS'!C18</f>
        <v>0.65993404583987558</v>
      </c>
      <c r="CV18" s="55">
        <f>'[26]PRINCIPAIS TRIBUTOS'!D18</f>
        <v>1.8357000996345616</v>
      </c>
      <c r="CW18" s="86">
        <f>'[26]PRINCIPAIS TRIBUTOS'!E18</f>
        <v>364.59669789351261</v>
      </c>
    </row>
    <row r="19" spans="1:101" s="9" customFormat="1" x14ac:dyDescent="0.25">
      <c r="A19" s="75" t="s">
        <v>26</v>
      </c>
      <c r="B19" s="38">
        <f>'[2]PRINCIPAIS TRIBUTOS'!B19</f>
        <v>8.4307441880700011</v>
      </c>
      <c r="C19" s="39">
        <f>'[2]PRINCIPAIS TRIBUTOS'!C19</f>
        <v>0.70117298277903373</v>
      </c>
      <c r="D19" s="55">
        <f>'[2]PRINCIPAIS TRIBUTOS'!D19</f>
        <v>2.2944225242060652</v>
      </c>
      <c r="E19" s="86">
        <f>'[2]PRINCIPAIS TRIBUTOS'!E19</f>
        <v>48.60665657814922</v>
      </c>
      <c r="F19" s="38">
        <f>'[3]PRINCIPAIS TRIBUTOS'!B19</f>
        <v>9.0965328661400022</v>
      </c>
      <c r="G19" s="39">
        <f>'[3]PRINCIPAIS TRIBUTOS'!C19</f>
        <v>0.69135461131745668</v>
      </c>
      <c r="H19" s="55">
        <f>'[3]PRINCIPAIS TRIBUTOS'!D19</f>
        <v>2.1573830125166098</v>
      </c>
      <c r="I19" s="86">
        <f>'[3]PRINCIPAIS TRIBUTOS'!E19</f>
        <v>52.4451981003036</v>
      </c>
      <c r="J19" s="38">
        <f>'[4]PRINCIPAIS TRIBUTOS'!B19</f>
        <v>7.9535269308999998</v>
      </c>
      <c r="K19" s="39">
        <f>'[4]PRINCIPAIS TRIBUTOS'!C19</f>
        <v>0.53422866608185049</v>
      </c>
      <c r="L19" s="55">
        <f>'[4]PRINCIPAIS TRIBUTOS'!D19</f>
        <v>1.6053953628865258</v>
      </c>
      <c r="M19" s="86">
        <f>'[4]PRINCIPAIS TRIBUTOS'!E19</f>
        <v>44.613527453883222</v>
      </c>
      <c r="N19" s="38">
        <f>'[5]PRINCIPAIS TRIBUTOS'!B19</f>
        <v>8.1282985647099988</v>
      </c>
      <c r="O19" s="39">
        <f>'[5]PRINCIPAIS TRIBUTOS'!C19</f>
        <v>0.47313941411042221</v>
      </c>
      <c r="P19" s="55">
        <f>'[5]PRINCIPAIS TRIBUTOS'!D19</f>
        <v>1.4514433522870409</v>
      </c>
      <c r="Q19" s="86">
        <f>'[5]PRINCIPAIS TRIBUTOS'!E19</f>
        <v>45.00242889423415</v>
      </c>
      <c r="R19" s="38">
        <f>'[6]PRINCIPAIS TRIBUTOS'!B19</f>
        <v>9.215887946799997</v>
      </c>
      <c r="S19" s="39">
        <f>'[6]PRINCIPAIS TRIBUTOS'!C19</f>
        <v>0.47073851305911724</v>
      </c>
      <c r="T19" s="55">
        <f>'[6]PRINCIPAIS TRIBUTOS'!D19</f>
        <v>1.4000526467103018</v>
      </c>
      <c r="U19" s="86">
        <f>'[6]PRINCIPAIS TRIBUTOS'!E19</f>
        <v>50.384413236988209</v>
      </c>
      <c r="V19" s="38">
        <f>'[7]PRINCIPAIS TRIBUTOS'!B19</f>
        <v>8.9411286647900017</v>
      </c>
      <c r="W19" s="39">
        <f>'[7]PRINCIPAIS TRIBUTOS'!C19</f>
        <v>0.41192253078271535</v>
      </c>
      <c r="X19" s="55">
        <f>'[7]PRINCIPAIS TRIBUTOS'!D19</f>
        <v>1.1855363165228647</v>
      </c>
      <c r="Y19" s="86">
        <f>'[7]PRINCIPAIS TRIBUTOS'!E19</f>
        <v>48.291059909239614</v>
      </c>
      <c r="Z19" s="38">
        <f>'[8]PRINCIPAIS TRIBUTOS'!B19</f>
        <v>9.8571358125100019</v>
      </c>
      <c r="AA19" s="39">
        <f>'[8]PRINCIPAIS TRIBUTOS'!C19</f>
        <v>0.40910314854053842</v>
      </c>
      <c r="AB19" s="55">
        <f>'[8]PRINCIPAIS TRIBUTOS'!D19</f>
        <v>1.1882713451135778</v>
      </c>
      <c r="AC19" s="86">
        <f>'[8]PRINCIPAIS TRIBUTOS'!E19</f>
        <v>52.617656091446435</v>
      </c>
      <c r="AD19" s="38">
        <f>'[9]PRINCIPAIS TRIBUTOS'!B19</f>
        <v>12.216069787259999</v>
      </c>
      <c r="AE19" s="39">
        <f>'[9]PRINCIPAIS TRIBUTOS'!C19</f>
        <v>0.44907679100366393</v>
      </c>
      <c r="AF19" s="55">
        <f>'[9]PRINCIPAIS TRIBUTOS'!D19</f>
        <v>1.2984499222353616</v>
      </c>
      <c r="AG19" s="86">
        <f>'[9]PRINCIPAIS TRIBUTOS'!E19</f>
        <v>64.477420837990024</v>
      </c>
      <c r="AH19" s="38">
        <f>'[10]PRINCIPAIS TRIBUTOS'!B19</f>
        <v>17.101490331640001</v>
      </c>
      <c r="AI19" s="39">
        <f>'[10]PRINCIPAIS TRIBUTOS'!C19</f>
        <v>0.54992198321372776</v>
      </c>
      <c r="AJ19" s="55">
        <f>'[10]PRINCIPAIS TRIBUTOS'!D19</f>
        <v>1.5821735239924417</v>
      </c>
      <c r="AK19" s="86">
        <f>'[10]PRINCIPAIS TRIBUTOS'!E19</f>
        <v>89.287696752193511</v>
      </c>
      <c r="AL19" s="38">
        <f>'[11]PRINCIPAIS TRIBUTOS'!B19</f>
        <v>20.071087781520003</v>
      </c>
      <c r="AM19" s="39">
        <f>'[11]PRINCIPAIS TRIBUTOS'!C19</f>
        <v>0.60218580645230979</v>
      </c>
      <c r="AN19" s="55">
        <f>'[11]PRINCIPAIS TRIBUTOS'!D19</f>
        <v>1.8157733407302343</v>
      </c>
      <c r="AO19" s="86">
        <f>'[11]PRINCIPAIS TRIBUTOS'!E19</f>
        <v>103.70298741532991</v>
      </c>
      <c r="AP19" s="38">
        <f>'[12]PRINCIPAIS TRIBUTOS'!B19</f>
        <v>21.277523129349998</v>
      </c>
      <c r="AQ19" s="39">
        <f>'[12]PRINCIPAIS TRIBUTOS'!C19</f>
        <v>0.54756461408156309</v>
      </c>
      <c r="AR19" s="55">
        <f>'[12]PRINCIPAIS TRIBUTOS'!D19</f>
        <v>1.6476806441920824</v>
      </c>
      <c r="AS19" s="86">
        <f>'[12]PRINCIPAIS TRIBUTOS'!E19</f>
        <v>108.83766188603137</v>
      </c>
      <c r="AT19" s="38">
        <f>'[13]PRINCIPAIS TRIBUTOS'!B19</f>
        <v>23.939386537409995</v>
      </c>
      <c r="AU19" s="39">
        <f>'[13]PRINCIPAIS TRIBUTOS'!C19</f>
        <v>0.54701318434748147</v>
      </c>
      <c r="AV19" s="55">
        <f>'[13]PRINCIPAIS TRIBUTOS'!D19</f>
        <v>1.6049425652682747</v>
      </c>
      <c r="AW19" s="86">
        <f>'[13]PRINCIPAIS TRIBUTOS'!E19</f>
        <v>121.27532006288969</v>
      </c>
      <c r="AX19" s="38">
        <f>'[14]PRINCIPAIS TRIBUTOS'!B19</f>
        <v>26.685160329119999</v>
      </c>
      <c r="AY19" s="39">
        <f>'[14]PRINCIPAIS TRIBUTOS'!C19</f>
        <v>0.5542365627595145</v>
      </c>
      <c r="AZ19" s="55">
        <f>'[14]PRINCIPAIS TRIBUTOS'!D19</f>
        <v>1.6290201365274295</v>
      </c>
      <c r="BA19" s="86">
        <f>'[14]PRINCIPAIS TRIBUTOS'!E19</f>
        <v>133.93309870423101</v>
      </c>
      <c r="BB19" s="38">
        <f>'[15]PRINCIPAIS TRIBUTOS'!B19</f>
        <v>28.809676666690002</v>
      </c>
      <c r="BC19" s="39">
        <f>'[15]PRINCIPAIS TRIBUTOS'!C19</f>
        <v>0.54035512790186258</v>
      </c>
      <c r="BD19" s="55">
        <f>'[15]PRINCIPAIS TRIBUTOS'!D19</f>
        <v>1.6074621166873051</v>
      </c>
      <c r="BE19" s="86">
        <f>'[15]PRINCIPAIS TRIBUTOS'!E19</f>
        <v>143.30840037651782</v>
      </c>
      <c r="BF19" s="38">
        <f>'[16]PRINCIPAIS TRIBUTOS'!B19</f>
        <v>31.271538787669993</v>
      </c>
      <c r="BG19" s="39">
        <f>'[16]PRINCIPAIS TRIBUTOS'!C19</f>
        <v>0.54112810378748522</v>
      </c>
      <c r="BH19" s="55">
        <f>'[16]PRINCIPAIS TRIBUTOS'!D19</f>
        <v>1.6460599539550635</v>
      </c>
      <c r="BI19" s="86">
        <f>'[16]PRINCIPAIS TRIBUTOS'!E19</f>
        <v>154.22281678789039</v>
      </c>
      <c r="BJ19" s="38">
        <f>'[17]PRINCIPAIS TRIBUTOS'!B19</f>
        <v>34.912678887919995</v>
      </c>
      <c r="BK19" s="39">
        <f>'[17]PRINCIPAIS TRIBUTOS'!C19</f>
        <v>0.58228684387754259</v>
      </c>
      <c r="BL19" s="55">
        <f>'[17]PRINCIPAIS TRIBUTOS'!D19</f>
        <v>1.7730893502761109</v>
      </c>
      <c r="BM19" s="86">
        <f>'[17]PRINCIPAIS TRIBUTOS'!E19</f>
        <v>170.76335564931367</v>
      </c>
      <c r="BN19" s="38">
        <f>'[18]PRINCIPAIS TRIBUTOS'!B19</f>
        <v>33.642583159099999</v>
      </c>
      <c r="BO19" s="39">
        <f>'[18]PRINCIPAIS TRIBUTOS'!C19</f>
        <v>0.53680361754721595</v>
      </c>
      <c r="BP19" s="55">
        <f>'[18]PRINCIPAIS TRIBUTOS'!D19</f>
        <v>1.6126586523148108</v>
      </c>
      <c r="BQ19" s="86">
        <f>'[18]PRINCIPAIS TRIBUTOS'!E19</f>
        <v>163.24897800156978</v>
      </c>
      <c r="BR19" s="38">
        <f>'[19]PRINCIPAIS TRIBUTOS'!B19</f>
        <v>39.125595798160013</v>
      </c>
      <c r="BS19" s="39">
        <f>'[19]PRINCIPAIS TRIBUTOS'!C19</f>
        <v>0.59698710582226588</v>
      </c>
      <c r="BT19" s="55">
        <f>'[19]PRINCIPAIS TRIBUTOS'!D19</f>
        <v>1.7756883275361808</v>
      </c>
      <c r="BU19" s="86">
        <f>'[19]PRINCIPAIS TRIBUTOS'!E19</f>
        <v>188.41096390433663</v>
      </c>
      <c r="BV19" s="38">
        <f>'[20]PRINCIPAIS TRIBUTOS'!B19</f>
        <v>44.770656425719999</v>
      </c>
      <c r="BW19" s="39">
        <f>'[20]PRINCIPAIS TRIBUTOS'!C19</f>
        <v>0.64986953121607671</v>
      </c>
      <c r="BX19" s="55">
        <f>'[20]PRINCIPAIS TRIBUTOS'!D19</f>
        <v>1.8868284417632104</v>
      </c>
      <c r="BY19" s="86">
        <f>'[20]PRINCIPAIS TRIBUTOS'!E19</f>
        <v>214.73262140090716</v>
      </c>
      <c r="BZ19" s="38">
        <f>'[21]PRINCIPAIS TRIBUTOS'!B19</f>
        <v>47.941197879910014</v>
      </c>
      <c r="CA19" s="39">
        <f>'[21]PRINCIPAIS TRIBUTOS'!C19</f>
        <v>0.64880698257900704</v>
      </c>
      <c r="CB19" s="55">
        <f>'[21]PRINCIPAIS TRIBUTOS'!D19</f>
        <v>1.9200100733908709</v>
      </c>
      <c r="CC19" s="86">
        <f>'[21]PRINCIPAIS TRIBUTOS'!E19</f>
        <v>228.1315905697497</v>
      </c>
      <c r="CD19" s="38">
        <f>'[22]PRINCIPAIS TRIBUTOS'!B19</f>
        <v>49.426632933050001</v>
      </c>
      <c r="CE19" s="39">
        <f>'[22]PRINCIPAIS TRIBUTOS'!C19</f>
        <v>0.64953023048461045</v>
      </c>
      <c r="CF19" s="55">
        <f>'[22]PRINCIPAIS TRIBUTOS'!D19</f>
        <v>2.0161320364325701</v>
      </c>
      <c r="CG19" s="86">
        <f>'[22]PRINCIPAIS TRIBUTOS'!E19</f>
        <v>233.41347978051047</v>
      </c>
      <c r="CH19" s="38">
        <f>'[23]PRINCIPAIS TRIBUTOS'!B19</f>
        <v>53.679325098460005</v>
      </c>
      <c r="CI19" s="39">
        <f>'[23]PRINCIPAIS TRIBUTOS'!C19</f>
        <v>0.60322476572727768</v>
      </c>
      <c r="CJ19" s="55">
        <f>'[23]PRINCIPAIS TRIBUTOS'!D19</f>
        <v>1.7536729220028036</v>
      </c>
      <c r="CK19" s="86">
        <f>'[23]PRINCIPAIS TRIBUTOS'!E19</f>
        <v>251.6403488717593</v>
      </c>
      <c r="CL19" s="38">
        <f>'[24]PRINCIPAIS TRIBUTOS'!B19</f>
        <v>66.218662344070012</v>
      </c>
      <c r="CM19" s="39">
        <f>'[24]PRINCIPAIS TRIBUTOS'!C19</f>
        <v>0.6569522903719327</v>
      </c>
      <c r="CN19" s="55">
        <f>'[24]PRINCIPAIS TRIBUTOS'!D19</f>
        <v>1.8820157921735092</v>
      </c>
      <c r="CO19" s="86">
        <f>'[24]PRINCIPAIS TRIBUTOS'!E19</f>
        <v>326.07059205585199</v>
      </c>
      <c r="CP19" s="38">
        <f>'[25]PRINCIPAIS TRIBUTOS'!B19</f>
        <v>82.462626627600017</v>
      </c>
      <c r="CQ19" s="39">
        <f>'[25]PRINCIPAIS TRIBUTOS'!C19</f>
        <v>0.75354139125663988</v>
      </c>
      <c r="CR19" s="55">
        <f>'[25]PRINCIPAIS TRIBUTOS'!D19</f>
        <v>2.1792520789247192</v>
      </c>
      <c r="CS19" s="86">
        <f>'[25]PRINCIPAIS TRIBUTOS'!E19</f>
        <v>396.77492514888928</v>
      </c>
      <c r="CT19" s="38">
        <f>'[26]PRINCIPAIS TRIBUTOS'!B19</f>
        <v>87.533121672609994</v>
      </c>
      <c r="CU19" s="39">
        <f>'[26]PRINCIPAIS TRIBUTOS'!C19</f>
        <v>0.74529834389774996</v>
      </c>
      <c r="CV19" s="55">
        <f>'[26]PRINCIPAIS TRIBUTOS'!D19</f>
        <v>2.0731529957806352</v>
      </c>
      <c r="CW19" s="86">
        <f>'[26]PRINCIPAIS TRIBUTOS'!E19</f>
        <v>411.75829136803731</v>
      </c>
    </row>
    <row r="20" spans="1:101" x14ac:dyDescent="0.25">
      <c r="A20" s="75" t="s">
        <v>27</v>
      </c>
      <c r="B20" s="38">
        <f>'[2]PRINCIPAIS TRIBUTOS'!B20</f>
        <v>5.2968909999999996</v>
      </c>
      <c r="C20" s="39">
        <f>'[2]PRINCIPAIS TRIBUTOS'!C20</f>
        <v>0.44053487795075069</v>
      </c>
      <c r="D20" s="55">
        <f>'[2]PRINCIPAIS TRIBUTOS'!D20</f>
        <v>1.4415460542453691</v>
      </c>
      <c r="E20" s="86">
        <f>'[2]PRINCIPAIS TRIBUTOS'!E20</f>
        <v>30.538723038615775</v>
      </c>
      <c r="F20" s="38">
        <f>'[3]PRINCIPAIS TRIBUTOS'!B20</f>
        <v>6.2183107360099994</v>
      </c>
      <c r="G20" s="39">
        <f>'[3]PRINCIPAIS TRIBUTOS'!C20</f>
        <v>0.47260399816151177</v>
      </c>
      <c r="H20" s="55">
        <f>'[3]PRINCIPAIS TRIBUTOS'!D20</f>
        <v>1.4747682601525334</v>
      </c>
      <c r="I20" s="86">
        <f>'[3]PRINCIPAIS TRIBUTOS'!E20</f>
        <v>35.851081197453446</v>
      </c>
      <c r="J20" s="38">
        <f>'[4]PRINCIPAIS TRIBUTOS'!B20</f>
        <v>6.9447605335100002</v>
      </c>
      <c r="K20" s="39">
        <f>'[4]PRINCIPAIS TRIBUTOS'!C20</f>
        <v>0.46647106224799112</v>
      </c>
      <c r="L20" s="55">
        <f>'[4]PRINCIPAIS TRIBUTOS'!D20</f>
        <v>1.4017789156580762</v>
      </c>
      <c r="M20" s="86">
        <f>'[4]PRINCIPAIS TRIBUTOS'!E20</f>
        <v>38.955078346271918</v>
      </c>
      <c r="N20" s="38">
        <f>'[5]PRINCIPAIS TRIBUTOS'!B20</f>
        <v>7.6435455051599996</v>
      </c>
      <c r="O20" s="39">
        <f>'[5]PRINCIPAIS TRIBUTOS'!C20</f>
        <v>0.44492246602986119</v>
      </c>
      <c r="P20" s="55">
        <f>'[5]PRINCIPAIS TRIBUTOS'!D20</f>
        <v>1.3648826040340944</v>
      </c>
      <c r="Q20" s="86">
        <f>'[5]PRINCIPAIS TRIBUTOS'!E20</f>
        <v>42.31858738423179</v>
      </c>
      <c r="R20" s="38">
        <f>'[6]PRINCIPAIS TRIBUTOS'!B20</f>
        <v>8.8129406267299988</v>
      </c>
      <c r="S20" s="39">
        <f>'[6]PRINCIPAIS TRIBUTOS'!C20</f>
        <v>0.45015635934958009</v>
      </c>
      <c r="T20" s="55">
        <f>'[6]PRINCIPAIS TRIBUTOS'!D20</f>
        <v>1.3388379851166012</v>
      </c>
      <c r="U20" s="86">
        <f>'[6]PRINCIPAIS TRIBUTOS'!E20</f>
        <v>48.181449789044684</v>
      </c>
      <c r="V20" s="38">
        <f>'[7]PRINCIPAIS TRIBUTOS'!B20</f>
        <v>10.38759111385</v>
      </c>
      <c r="W20" s="39">
        <f>'[7]PRINCIPAIS TRIBUTOS'!C20</f>
        <v>0.4785618215296798</v>
      </c>
      <c r="X20" s="55">
        <f>'[7]PRINCIPAIS TRIBUTOS'!D20</f>
        <v>1.3773279603004804</v>
      </c>
      <c r="Y20" s="86">
        <f>'[7]PRINCIPAIS TRIBUTOS'!E20</f>
        <v>56.103407477740063</v>
      </c>
      <c r="Z20" s="38">
        <f>'[8]PRINCIPAIS TRIBUTOS'!B20</f>
        <v>12.064105158209999</v>
      </c>
      <c r="AA20" s="39">
        <f>'[8]PRINCIPAIS TRIBUTOS'!C20</f>
        <v>0.5006995438050178</v>
      </c>
      <c r="AB20" s="55">
        <f>'[8]PRINCIPAIS TRIBUTOS'!D20</f>
        <v>1.4543200719365459</v>
      </c>
      <c r="AC20" s="86">
        <f>'[8]PRINCIPAIS TRIBUTOS'!E20</f>
        <v>64.398517818950324</v>
      </c>
      <c r="AD20" s="38">
        <f>'[9]PRINCIPAIS TRIBUTOS'!B20</f>
        <v>14.286212447479999</v>
      </c>
      <c r="AE20" s="39">
        <f>'[9]PRINCIPAIS TRIBUTOS'!C20</f>
        <v>0.5251776187625975</v>
      </c>
      <c r="AF20" s="55">
        <f>'[9]PRINCIPAIS TRIBUTOS'!D20</f>
        <v>1.5184860404787286</v>
      </c>
      <c r="AG20" s="86">
        <f>'[9]PRINCIPAIS TRIBUTOS'!E20</f>
        <v>75.403804021956716</v>
      </c>
      <c r="AH20" s="38">
        <f>'[10]PRINCIPAIS TRIBUTOS'!B20</f>
        <v>16.629265263440001</v>
      </c>
      <c r="AI20" s="39">
        <f>'[10]PRINCIPAIS TRIBUTOS'!C20</f>
        <v>0.53473693553707424</v>
      </c>
      <c r="AJ20" s="55">
        <f>'[10]PRINCIPAIS TRIBUTOS'!D20</f>
        <v>1.5384848169977503</v>
      </c>
      <c r="AK20" s="86">
        <f>'[10]PRINCIPAIS TRIBUTOS'!E20</f>
        <v>86.822187146272384</v>
      </c>
      <c r="AL20" s="38">
        <f>'[11]PRINCIPAIS TRIBUTOS'!B20</f>
        <v>14.184849605029997</v>
      </c>
      <c r="AM20" s="39">
        <f>'[11]PRINCIPAIS TRIBUTOS'!C20</f>
        <v>0.42558306713572802</v>
      </c>
      <c r="AN20" s="55">
        <f>'[11]PRINCIPAIS TRIBUTOS'!D20</f>
        <v>1.28326237399031</v>
      </c>
      <c r="AO20" s="86">
        <f>'[11]PRINCIPAIS TRIBUTOS'!E20</f>
        <v>73.290062606032421</v>
      </c>
      <c r="AP20" s="38">
        <f>'[12]PRINCIPAIS TRIBUTOS'!B20</f>
        <v>16.364693568250001</v>
      </c>
      <c r="AQ20" s="39">
        <f>'[12]PRINCIPAIS TRIBUTOS'!C20</f>
        <v>0.42113581847792769</v>
      </c>
      <c r="AR20" s="55">
        <f>'[12]PRINCIPAIS TRIBUTOS'!D20</f>
        <v>1.2672428400910354</v>
      </c>
      <c r="AS20" s="86">
        <f>'[12]PRINCIPAIS TRIBUTOS'!E20</f>
        <v>83.707815736921063</v>
      </c>
      <c r="AT20" s="38">
        <f>'[13]PRINCIPAIS TRIBUTOS'!B20</f>
        <v>18.378709162539998</v>
      </c>
      <c r="AU20" s="39">
        <f>'[13]PRINCIPAIS TRIBUTOS'!C20</f>
        <v>0.41995212398140741</v>
      </c>
      <c r="AV20" s="55">
        <f>'[13]PRINCIPAIS TRIBUTOS'!D20</f>
        <v>1.2321440477830117</v>
      </c>
      <c r="AW20" s="86">
        <f>'[13]PRINCIPAIS TRIBUTOS'!E20</f>
        <v>93.105302951131705</v>
      </c>
      <c r="AX20" s="38">
        <f>'[14]PRINCIPAIS TRIBUTOS'!B20</f>
        <v>20.246647526210001</v>
      </c>
      <c r="AY20" s="39">
        <f>'[14]PRINCIPAIS TRIBUTOS'!C20</f>
        <v>0.42051208214345059</v>
      </c>
      <c r="AZ20" s="55">
        <f>'[14]PRINCIPAIS TRIBUTOS'!D20</f>
        <v>1.2359752053420401</v>
      </c>
      <c r="BA20" s="86">
        <f>'[14]PRINCIPAIS TRIBUTOS'!E20</f>
        <v>101.61813562718375</v>
      </c>
      <c r="BB20" s="38">
        <f>'[15]PRINCIPAIS TRIBUTOS'!B20</f>
        <v>22.58085756877999</v>
      </c>
      <c r="BC20" s="39">
        <f>'[15]PRINCIPAIS TRIBUTOS'!C20</f>
        <v>0.42352721694442141</v>
      </c>
      <c r="BD20" s="55">
        <f>'[15]PRINCIPAIS TRIBUTOS'!D20</f>
        <v>1.2599194889991094</v>
      </c>
      <c r="BE20" s="86">
        <f>'[15]PRINCIPAIS TRIBUTOS'!E20</f>
        <v>112.32429349175473</v>
      </c>
      <c r="BF20" s="38">
        <f>'[16]PRINCIPAIS TRIBUTOS'!B20</f>
        <v>25.04215666628766</v>
      </c>
      <c r="BG20" s="39">
        <f>'[16]PRINCIPAIS TRIBUTOS'!C20</f>
        <v>0.43333380053943438</v>
      </c>
      <c r="BH20" s="55">
        <f>'[16]PRINCIPAIS TRIBUTOS'!D20</f>
        <v>1.3181599897891141</v>
      </c>
      <c r="BI20" s="86">
        <f>'[16]PRINCIPAIS TRIBUTOS'!E20</f>
        <v>123.50117996244239</v>
      </c>
      <c r="BJ20" s="38">
        <f>'[17]PRINCIPAIS TRIBUTOS'!B20</f>
        <v>28.085178097271708</v>
      </c>
      <c r="BK20" s="39">
        <f>'[17]PRINCIPAIS TRIBUTOS'!C20</f>
        <v>0.46841520716582674</v>
      </c>
      <c r="BL20" s="55">
        <f>'[17]PRINCIPAIS TRIBUTOS'!D20</f>
        <v>1.426345149415349</v>
      </c>
      <c r="BM20" s="86">
        <f>'[17]PRINCIPAIS TRIBUTOS'!E20</f>
        <v>137.36898481193722</v>
      </c>
      <c r="BN20" s="38">
        <f>'[18]PRINCIPAIS TRIBUTOS'!B20</f>
        <v>31.866790050081548</v>
      </c>
      <c r="BO20" s="39">
        <f>'[18]PRINCIPAIS TRIBUTOS'!C20</f>
        <v>0.50846892753757933</v>
      </c>
      <c r="BP20" s="55">
        <f>'[18]PRINCIPAIS TRIBUTOS'!D20</f>
        <v>1.5275359342275403</v>
      </c>
      <c r="BQ20" s="86">
        <f>'[18]PRINCIPAIS TRIBUTOS'!E20</f>
        <v>154.63202939157347</v>
      </c>
      <c r="BR20" s="38">
        <f>'[19]PRINCIPAIS TRIBUTOS'!B20</f>
        <v>35.284886591271473</v>
      </c>
      <c r="BS20" s="39">
        <f>'[19]PRINCIPAIS TRIBUTOS'!C20</f>
        <v>0.53838470432648733</v>
      </c>
      <c r="BT20" s="55">
        <f>'[19]PRINCIPAIS TRIBUTOS'!D20</f>
        <v>1.6013803746729189</v>
      </c>
      <c r="BU20" s="86">
        <f>'[19]PRINCIPAIS TRIBUTOS'!E20</f>
        <v>169.91586602827664</v>
      </c>
      <c r="BV20" s="38">
        <f>'[20]PRINCIPAIS TRIBUTOS'!B20</f>
        <v>45.062242620379266</v>
      </c>
      <c r="BW20" s="39">
        <f>'[20]PRINCIPAIS TRIBUTOS'!C20</f>
        <v>0.65410205757955975</v>
      </c>
      <c r="BX20" s="55">
        <f>'[20]PRINCIPAIS TRIBUTOS'!D20</f>
        <v>1.8991171408628413</v>
      </c>
      <c r="BY20" s="86">
        <f>'[20]PRINCIPAIS TRIBUTOS'!E20</f>
        <v>216.13115054794753</v>
      </c>
      <c r="BZ20" s="38">
        <f>'[21]PRINCIPAIS TRIBUTOS'!B20</f>
        <v>50.587825506897673</v>
      </c>
      <c r="CA20" s="39">
        <f>'[21]PRINCIPAIS TRIBUTOS'!C20</f>
        <v>0.68462482945420333</v>
      </c>
      <c r="CB20" s="55">
        <f>'[21]PRINCIPAIS TRIBUTOS'!D20</f>
        <v>2.0260055830787991</v>
      </c>
      <c r="CC20" s="86">
        <f>'[21]PRINCIPAIS TRIBUTOS'!E20</f>
        <v>240.72575585746259</v>
      </c>
      <c r="CD20" s="38">
        <f>'[22]PRINCIPAIS TRIBUTOS'!B20</f>
        <v>50.81945996504686</v>
      </c>
      <c r="CE20" s="39">
        <f>'[22]PRINCIPAIS TRIBUTOS'!C20</f>
        <v>0.66783378889902922</v>
      </c>
      <c r="CF20" s="55">
        <f>'[22]PRINCIPAIS TRIBUTOS'!D20</f>
        <v>2.0729460056184106</v>
      </c>
      <c r="CG20" s="86">
        <f>'[22]PRINCIPAIS TRIBUTOS'!E20</f>
        <v>239.9909985184571</v>
      </c>
      <c r="CH20" s="38">
        <f>'[23]PRINCIPAIS TRIBUTOS'!B20</f>
        <v>60.043900864102831</v>
      </c>
      <c r="CI20" s="39">
        <f>'[23]PRINCIPAIS TRIBUTOS'!C20</f>
        <v>0.67474708308393805</v>
      </c>
      <c r="CJ20" s="55">
        <f>'[23]PRINCIPAIS TRIBUTOS'!D20</f>
        <v>1.9615999806938467</v>
      </c>
      <c r="CK20" s="86">
        <f>'[23]PRINCIPAIS TRIBUTOS'!E20</f>
        <v>281.47649273439987</v>
      </c>
      <c r="CL20" s="38">
        <f>'[24]PRINCIPAIS TRIBUTOS'!B20</f>
        <v>65.580775459973196</v>
      </c>
      <c r="CM20" s="39">
        <f>'[24]PRINCIPAIS TRIBUTOS'!C20</f>
        <v>0.65062384405980112</v>
      </c>
      <c r="CN20" s="55">
        <f>'[24]PRINCIPAIS TRIBUTOS'!D20</f>
        <v>1.8638862627177084</v>
      </c>
      <c r="CO20" s="86">
        <f>'[24]PRINCIPAIS TRIBUTOS'!E20</f>
        <v>322.92954168426081</v>
      </c>
      <c r="CP20" s="38">
        <f>'[25]PRINCIPAIS TRIBUTOS'!B20</f>
        <v>72.900986012390021</v>
      </c>
      <c r="CQ20" s="39">
        <f>'[25]PRINCIPAIS TRIBUTOS'!C20</f>
        <v>0.66616736175331803</v>
      </c>
      <c r="CR20" s="55">
        <f>'[25]PRINCIPAIS TRIBUTOS'!D20</f>
        <v>1.9265651825597994</v>
      </c>
      <c r="CS20" s="86">
        <f>'[25]PRINCIPAIS TRIBUTOS'!E20</f>
        <v>350.76839595435661</v>
      </c>
      <c r="CT20" s="38">
        <f>'[26]PRINCIPAIS TRIBUTOS'!B20</f>
        <v>77.634383739106241</v>
      </c>
      <c r="CU20" s="39">
        <f>'[26]PRINCIPAIS TRIBUTOS'!C20</f>
        <v>0.6610158134961559</v>
      </c>
      <c r="CV20" s="55">
        <f>'[26]PRINCIPAIS TRIBUTOS'!D20</f>
        <v>1.8387091897200531</v>
      </c>
      <c r="CW20" s="86">
        <f>'[26]PRINCIPAIS TRIBUTOS'!E20</f>
        <v>365.19434688261094</v>
      </c>
    </row>
    <row r="21" spans="1:101" x14ac:dyDescent="0.25">
      <c r="A21" s="75" t="s">
        <v>28</v>
      </c>
      <c r="B21" s="38">
        <f>'[2]PRINCIPAIS TRIBUTOS'!B21</f>
        <v>5.5586584232500007</v>
      </c>
      <c r="C21" s="39">
        <f>'[2]PRINCIPAIS TRIBUTOS'!C21</f>
        <v>0.46230570160049578</v>
      </c>
      <c r="D21" s="55">
        <f>'[2]PRINCIPAIS TRIBUTOS'!D21</f>
        <v>1.5127859185574755</v>
      </c>
      <c r="E21" s="86">
        <f>'[2]PRINCIPAIS TRIBUTOS'!E21</f>
        <v>32.047918307909384</v>
      </c>
      <c r="F21" s="38">
        <f>'[3]PRINCIPAIS TRIBUTOS'!B21</f>
        <v>5.9793952914693929</v>
      </c>
      <c r="G21" s="39">
        <f>'[3]PRINCIPAIS TRIBUTOS'!C21</f>
        <v>0.45444594863552806</v>
      </c>
      <c r="H21" s="55">
        <f>'[3]PRINCIPAIS TRIBUTOS'!D21</f>
        <v>1.418105779066102</v>
      </c>
      <c r="I21" s="86">
        <f>'[3]PRINCIPAIS TRIBUTOS'!E21</f>
        <v>34.473636845573566</v>
      </c>
      <c r="J21" s="38">
        <f>'[4]PRINCIPAIS TRIBUTOS'!B21</f>
        <v>6.9639611940499995</v>
      </c>
      <c r="K21" s="39">
        <f>'[4]PRINCIPAIS TRIBUTOS'!C21</f>
        <v>0.46776074710821625</v>
      </c>
      <c r="L21" s="55">
        <f>'[4]PRINCIPAIS TRIBUTOS'!D21</f>
        <v>1.4056545109333645</v>
      </c>
      <c r="M21" s="86">
        <f>'[4]PRINCIPAIS TRIBUTOS'!E21</f>
        <v>39.062780149959274</v>
      </c>
      <c r="N21" s="38">
        <f>'[5]PRINCIPAIS TRIBUTOS'!B21</f>
        <v>8.091733552960001</v>
      </c>
      <c r="O21" s="39">
        <f>'[5]PRINCIPAIS TRIBUTOS'!C21</f>
        <v>0.47101100456707129</v>
      </c>
      <c r="P21" s="55">
        <f>'[5]PRINCIPAIS TRIBUTOS'!D21</f>
        <v>1.4449140592488583</v>
      </c>
      <c r="Q21" s="86">
        <f>'[5]PRINCIPAIS TRIBUTOS'!E21</f>
        <v>44.799986239329677</v>
      </c>
      <c r="R21" s="38">
        <f>'[6]PRINCIPAIS TRIBUTOS'!B21</f>
        <v>9.5086534598955001</v>
      </c>
      <c r="S21" s="39">
        <f>'[6]PRINCIPAIS TRIBUTOS'!C21</f>
        <v>0.48569268818636796</v>
      </c>
      <c r="T21" s="55">
        <f>'[6]PRINCIPAIS TRIBUTOS'!D21</f>
        <v>1.4445287876791362</v>
      </c>
      <c r="U21" s="86">
        <f>'[6]PRINCIPAIS TRIBUTOS'!E21</f>
        <v>51.984998951408123</v>
      </c>
      <c r="V21" s="38">
        <f>'[7]PRINCIPAIS TRIBUTOS'!B21</f>
        <v>9.9101774907400006</v>
      </c>
      <c r="W21" s="39">
        <f>'[7]PRINCIPAIS TRIBUTOS'!C21</f>
        <v>0.4565671231829207</v>
      </c>
      <c r="X21" s="55">
        <f>'[7]PRINCIPAIS TRIBUTOS'!D21</f>
        <v>1.3140259757950423</v>
      </c>
      <c r="Y21" s="86">
        <f>'[7]PRINCIPAIS TRIBUTOS'!E21</f>
        <v>53.524895218333533</v>
      </c>
      <c r="Z21" s="38">
        <f>'[8]PRINCIPAIS TRIBUTOS'!B21</f>
        <v>10.870440675319999</v>
      </c>
      <c r="AA21" s="39">
        <f>'[8]PRINCIPAIS TRIBUTOS'!C21</f>
        <v>0.4511585911855403</v>
      </c>
      <c r="AB21" s="55">
        <f>'[8]PRINCIPAIS TRIBUTOS'!D21</f>
        <v>1.3104245907666636</v>
      </c>
      <c r="AC21" s="86">
        <f>'[8]PRINCIPAIS TRIBUTOS'!E21</f>
        <v>58.026704703666987</v>
      </c>
      <c r="AD21" s="38">
        <f>'[9]PRINCIPAIS TRIBUTOS'!B21</f>
        <v>11.879156686149997</v>
      </c>
      <c r="AE21" s="39">
        <f>'[9]PRINCIPAIS TRIBUTOS'!C21</f>
        <v>0.43669147748397846</v>
      </c>
      <c r="AF21" s="55">
        <f>'[9]PRINCIPAIS TRIBUTOS'!D21</f>
        <v>1.2626393221360908</v>
      </c>
      <c r="AG21" s="86">
        <f>'[9]PRINCIPAIS TRIBUTOS'!E21</f>
        <v>62.699165786700384</v>
      </c>
      <c r="AH21" s="38">
        <f>'[10]PRINCIPAIS TRIBUTOS'!B21</f>
        <v>12.857911024079998</v>
      </c>
      <c r="AI21" s="39">
        <f>'[10]PRINCIPAIS TRIBUTOS'!C21</f>
        <v>0.41346384398240016</v>
      </c>
      <c r="AJ21" s="55">
        <f>'[10]PRINCIPAIS TRIBUTOS'!D21</f>
        <v>1.1895715520484125</v>
      </c>
      <c r="AK21" s="86">
        <f>'[10]PRINCIPAIS TRIBUTOS'!E21</f>
        <v>67.131766771267394</v>
      </c>
      <c r="AL21" s="38">
        <f>'[11]PRINCIPAIS TRIBUTOS'!B21</f>
        <v>19.193097568059997</v>
      </c>
      <c r="AM21" s="39">
        <f>'[11]PRINCIPAIS TRIBUTOS'!C21</f>
        <v>0.57584377404704823</v>
      </c>
      <c r="AN21" s="55">
        <f>'[11]PRINCIPAIS TRIBUTOS'!D21</f>
        <v>1.7363441019975643</v>
      </c>
      <c r="AO21" s="86">
        <f>'[11]PRINCIPAIS TRIBUTOS'!E21</f>
        <v>99.166601094452076</v>
      </c>
      <c r="AP21" s="38">
        <f>'[12]PRINCIPAIS TRIBUTOS'!B21</f>
        <v>26.529574587689996</v>
      </c>
      <c r="AQ21" s="39">
        <f>'[12]PRINCIPAIS TRIBUTOS'!C21</f>
        <v>0.68272308682482852</v>
      </c>
      <c r="AR21" s="55">
        <f>'[12]PRINCIPAIS TRIBUTOS'!D21</f>
        <v>2.0543869829703389</v>
      </c>
      <c r="AS21" s="86">
        <f>'[12]PRINCIPAIS TRIBUTOS'!E21</f>
        <v>135.70267795749123</v>
      </c>
      <c r="AT21" s="38">
        <f>'[13]PRINCIPAIS TRIBUTOS'!B21</f>
        <v>31.8704784904</v>
      </c>
      <c r="AU21" s="39">
        <f>'[13]PRINCIPAIS TRIBUTOS'!C21</f>
        <v>0.72823803978720325</v>
      </c>
      <c r="AV21" s="55">
        <f>'[13]PRINCIPAIS TRIBUTOS'!D21</f>
        <v>2.1366582399585545</v>
      </c>
      <c r="AW21" s="86">
        <f>'[13]PRINCIPAIS TRIBUTOS'!E21</f>
        <v>161.45369779800828</v>
      </c>
      <c r="AX21" s="38">
        <f>'[14]PRINCIPAIS TRIBUTOS'!B21</f>
        <v>30.998400117089997</v>
      </c>
      <c r="AY21" s="39">
        <f>'[14]PRINCIPAIS TRIBUTOS'!C21</f>
        <v>0.64382025515477392</v>
      </c>
      <c r="AZ21" s="55">
        <f>'[14]PRINCIPAIS TRIBUTOS'!D21</f>
        <v>1.8923258233441937</v>
      </c>
      <c r="BA21" s="86">
        <f>'[14]PRINCIPAIS TRIBUTOS'!E21</f>
        <v>155.58129429804976</v>
      </c>
      <c r="BB21" s="38">
        <f>'[15]PRINCIPAIS TRIBUTOS'!B21</f>
        <v>29.412259601910002</v>
      </c>
      <c r="BC21" s="39">
        <f>'[15]PRINCIPAIS TRIBUTOS'!C21</f>
        <v>0.55165719084409459</v>
      </c>
      <c r="BD21" s="55">
        <f>'[15]PRINCIPAIS TRIBUTOS'!D21</f>
        <v>1.6410837797047291</v>
      </c>
      <c r="BE21" s="86">
        <f>'[15]PRINCIPAIS TRIBUTOS'!E21</f>
        <v>146.30583757581863</v>
      </c>
      <c r="BF21" s="38">
        <f>'[16]PRINCIPAIS TRIBUTOS'!B21</f>
        <v>29.739886525400003</v>
      </c>
      <c r="BG21" s="39">
        <f>'[16]PRINCIPAIS TRIBUTOS'!C21</f>
        <v>0.51462412872020247</v>
      </c>
      <c r="BH21" s="55">
        <f>'[16]PRINCIPAIS TRIBUTOS'!D21</f>
        <v>1.5654373958703498</v>
      </c>
      <c r="BI21" s="86">
        <f>'[16]PRINCIPAIS TRIBUTOS'!E21</f>
        <v>146.66911986780278</v>
      </c>
      <c r="BJ21" s="38">
        <f>'[17]PRINCIPAIS TRIBUTOS'!B21</f>
        <v>34.68021132266</v>
      </c>
      <c r="BK21" s="39">
        <f>'[17]PRINCIPAIS TRIBUTOS'!C21</f>
        <v>0.57840966202868782</v>
      </c>
      <c r="BL21" s="55">
        <f>'[17]PRINCIPAIS TRIBUTOS'!D21</f>
        <v>1.7612831590190503</v>
      </c>
      <c r="BM21" s="86">
        <f>'[17]PRINCIPAIS TRIBUTOS'!E21</f>
        <v>169.62632054379051</v>
      </c>
      <c r="BN21" s="38">
        <f>'[18]PRINCIPAIS TRIBUTOS'!B21</f>
        <v>31.443843066339998</v>
      </c>
      <c r="BO21" s="39">
        <f>'[18]PRINCIPAIS TRIBUTOS'!C21</f>
        <v>0.50172035327295017</v>
      </c>
      <c r="BP21" s="55">
        <f>'[18]PRINCIPAIS TRIBUTOS'!D21</f>
        <v>1.5072619526020605</v>
      </c>
      <c r="BQ21" s="86">
        <f>'[18]PRINCIPAIS TRIBUTOS'!E21</f>
        <v>152.57969998160726</v>
      </c>
      <c r="BR21" s="38">
        <f>'[19]PRINCIPAIS TRIBUTOS'!B21</f>
        <v>34.408094746450004</v>
      </c>
      <c r="BS21" s="39">
        <f>'[19]PRINCIPAIS TRIBUTOS'!C21</f>
        <v>0.52500641793440761</v>
      </c>
      <c r="BT21" s="55">
        <f>'[19]PRINCIPAIS TRIBUTOS'!D21</f>
        <v>1.5615877782212215</v>
      </c>
      <c r="BU21" s="86">
        <f>'[19]PRINCIPAIS TRIBUTOS'!E21</f>
        <v>165.69363775912802</v>
      </c>
      <c r="BV21" s="38">
        <f>'[20]PRINCIPAIS TRIBUTOS'!B21</f>
        <v>36.612378865470006</v>
      </c>
      <c r="BW21" s="39">
        <f>'[20]PRINCIPAIS TRIBUTOS'!C21</f>
        <v>0.53144785869924283</v>
      </c>
      <c r="BX21" s="55">
        <f>'[20]PRINCIPAIS TRIBUTOS'!D21</f>
        <v>1.543003459835202</v>
      </c>
      <c r="BY21" s="86">
        <f>'[20]PRINCIPAIS TRIBUTOS'!E21</f>
        <v>175.6032347336554</v>
      </c>
      <c r="BZ21" s="38">
        <f>'[21]PRINCIPAIS TRIBUTOS'!B21</f>
        <v>40.941984042829986</v>
      </c>
      <c r="CA21" s="39">
        <f>'[21]PRINCIPAIS TRIBUTOS'!C21</f>
        <v>0.55408388405659592</v>
      </c>
      <c r="CB21" s="55">
        <f>'[21]PRINCIPAIS TRIBUTOS'!D21</f>
        <v>1.6396966547175775</v>
      </c>
      <c r="CC21" s="86">
        <f>'[21]PRINCIPAIS TRIBUTOS'!E21</f>
        <v>194.82533507336817</v>
      </c>
      <c r="CD21" s="38">
        <f>'[22]PRINCIPAIS TRIBUTOS'!B21</f>
        <v>21.944817092709997</v>
      </c>
      <c r="CE21" s="39">
        <f>'[22]PRINCIPAIS TRIBUTOS'!C21</f>
        <v>0.28838343335014976</v>
      </c>
      <c r="CF21" s="55">
        <f>'[22]PRINCIPAIS TRIBUTOS'!D21</f>
        <v>0.8951378264870915</v>
      </c>
      <c r="CG21" s="86">
        <f>'[22]PRINCIPAIS TRIBUTOS'!E21</f>
        <v>103.63271412184753</v>
      </c>
      <c r="CH21" s="38">
        <f>'[23]PRINCIPAIS TRIBUTOS'!B21</f>
        <v>49.01222802457</v>
      </c>
      <c r="CI21" s="39">
        <f>'[23]PRINCIPAIS TRIBUTOS'!C21</f>
        <v>0.55077797110272053</v>
      </c>
      <c r="CJ21" s="55">
        <f>'[23]PRINCIPAIS TRIBUTOS'!D21</f>
        <v>1.6012015236044983</v>
      </c>
      <c r="CK21" s="86">
        <f>'[23]PRINCIPAIS TRIBUTOS'!E21</f>
        <v>229.76172178883903</v>
      </c>
      <c r="CL21" s="38">
        <f>'[24]PRINCIPAIS TRIBUTOS'!B21</f>
        <v>58.96007748597998</v>
      </c>
      <c r="CM21" s="39">
        <f>'[24]PRINCIPAIS TRIBUTOS'!C21</f>
        <v>0.58494020528020929</v>
      </c>
      <c r="CN21" s="55">
        <f>'[24]PRINCIPAIS TRIBUTOS'!D21</f>
        <v>1.6757178868975615</v>
      </c>
      <c r="CO21" s="86">
        <f>'[24]PRINCIPAIS TRIBUTOS'!E21</f>
        <v>290.32823516759009</v>
      </c>
      <c r="CP21" s="38">
        <f>'[25]PRINCIPAIS TRIBUTOS'!B21</f>
        <v>61.012797037120002</v>
      </c>
      <c r="CQ21" s="39">
        <f>'[25]PRINCIPAIS TRIBUTOS'!C21</f>
        <v>0.55753339232614829</v>
      </c>
      <c r="CR21" s="55">
        <f>'[25]PRINCIPAIS TRIBUTOS'!D21</f>
        <v>1.6123942472098456</v>
      </c>
      <c r="CS21" s="86">
        <f>'[25]PRINCIPAIS TRIBUTOS'!E21</f>
        <v>293.56751012615933</v>
      </c>
      <c r="CT21" s="38">
        <f>'[26]PRINCIPAIS TRIBUTOS'!B21</f>
        <v>67.402229597279984</v>
      </c>
      <c r="CU21" s="39">
        <f>'[26]PRINCIPAIS TRIBUTOS'!C21</f>
        <v>0.57389442000887358</v>
      </c>
      <c r="CV21" s="55">
        <f>'[26]PRINCIPAIS TRIBUTOS'!D21</f>
        <v>1.5963686835542132</v>
      </c>
      <c r="CW21" s="86">
        <f>'[26]PRINCIPAIS TRIBUTOS'!E21</f>
        <v>317.06200308010364</v>
      </c>
    </row>
    <row r="22" spans="1:101" x14ac:dyDescent="0.25">
      <c r="A22" s="75" t="s">
        <v>16</v>
      </c>
      <c r="B22" s="38">
        <f>'[2]PRINCIPAIS TRIBUTOS'!B22</f>
        <v>3.09098993904</v>
      </c>
      <c r="C22" s="39">
        <f>'[2]PRINCIPAIS TRIBUTOS'!C22</f>
        <v>0.25707322947404143</v>
      </c>
      <c r="D22" s="55">
        <f>'[2]PRINCIPAIS TRIBUTOS'!D22</f>
        <v>0.84121125964933885</v>
      </c>
      <c r="E22" s="86">
        <f>'[2]PRINCIPAIS TRIBUTOS'!E22</f>
        <v>17.820809539688547</v>
      </c>
      <c r="F22" s="38">
        <f>'[3]PRINCIPAIS TRIBUTOS'!B22</f>
        <v>3.5519022288999995</v>
      </c>
      <c r="G22" s="39">
        <f>'[3]PRINCIPAIS TRIBUTOS'!C22</f>
        <v>0.26995164212942374</v>
      </c>
      <c r="H22" s="55">
        <f>'[3]PRINCIPAIS TRIBUTOS'!D22</f>
        <v>0.84238837406634459</v>
      </c>
      <c r="I22" s="86">
        <f>'[3]PRINCIPAIS TRIBUTOS'!E22</f>
        <v>20.478155663127509</v>
      </c>
      <c r="J22" s="38">
        <f>'[4]PRINCIPAIS TRIBUTOS'!B22</f>
        <v>3.9932629838199998</v>
      </c>
      <c r="K22" s="39">
        <f>'[4]PRINCIPAIS TRIBUTOS'!C22</f>
        <v>0.26822258548872335</v>
      </c>
      <c r="L22" s="55">
        <f>'[4]PRINCIPAIS TRIBUTOS'!D22</f>
        <v>0.80602805933865307</v>
      </c>
      <c r="M22" s="86">
        <f>'[4]PRINCIPAIS TRIBUTOS'!E22</f>
        <v>22.399314078775593</v>
      </c>
      <c r="N22" s="38">
        <f>'[5]PRINCIPAIS TRIBUTOS'!B22</f>
        <v>4.4184167645799999</v>
      </c>
      <c r="O22" s="39">
        <f>'[5]PRINCIPAIS TRIBUTOS'!C22</f>
        <v>0.25719123167612562</v>
      </c>
      <c r="P22" s="55">
        <f>'[5]PRINCIPAIS TRIBUTOS'!D22</f>
        <v>0.78898204704566754</v>
      </c>
      <c r="Q22" s="86">
        <f>'[5]PRINCIPAIS TRIBUTOS'!E22</f>
        <v>24.462620890476327</v>
      </c>
      <c r="R22" s="38">
        <f>'[6]PRINCIPAIS TRIBUTOS'!B22</f>
        <v>5.2309541445300001</v>
      </c>
      <c r="S22" s="39">
        <f>'[6]PRINCIPAIS TRIBUTOS'!C22</f>
        <v>0.26719200473042792</v>
      </c>
      <c r="T22" s="55">
        <f>'[6]PRINCIPAIS TRIBUTOS'!D22</f>
        <v>0.79467233511800706</v>
      </c>
      <c r="U22" s="86">
        <f>'[6]PRINCIPAIS TRIBUTOS'!E22</f>
        <v>28.598281225115183</v>
      </c>
      <c r="V22" s="38">
        <f>'[7]PRINCIPAIS TRIBUTOS'!B22</f>
        <v>5.9653248037899997</v>
      </c>
      <c r="W22" s="39">
        <f>'[7]PRINCIPAIS TRIBUTOS'!C22</f>
        <v>0.27482567159498472</v>
      </c>
      <c r="X22" s="55">
        <f>'[7]PRINCIPAIS TRIBUTOS'!D22</f>
        <v>0.79096381003860394</v>
      </c>
      <c r="Y22" s="86">
        <f>'[7]PRINCIPAIS TRIBUTOS'!E22</f>
        <v>32.218735271344158</v>
      </c>
      <c r="Z22" s="38">
        <f>'[8]PRINCIPAIS TRIBUTOS'!B22</f>
        <v>6.7375805047800004</v>
      </c>
      <c r="AA22" s="39">
        <f>'[8]PRINCIPAIS TRIBUTOS'!C22</f>
        <v>0.27963147211106271</v>
      </c>
      <c r="AB22" s="55">
        <f>'[8]PRINCIPAIS TRIBUTOS'!D22</f>
        <v>0.81221097096635197</v>
      </c>
      <c r="AC22" s="86">
        <f>'[8]PRINCIPAIS TRIBUTOS'!E22</f>
        <v>35.965385953090056</v>
      </c>
      <c r="AD22" s="38">
        <f>'[9]PRINCIPAIS TRIBUTOS'!B22</f>
        <v>7.8165821498900012</v>
      </c>
      <c r="AE22" s="39">
        <f>'[9]PRINCIPAIS TRIBUTOS'!C22</f>
        <v>0.28734655986902746</v>
      </c>
      <c r="AF22" s="55">
        <f>'[9]PRINCIPAIS TRIBUTOS'!D22</f>
        <v>0.83082698948361666</v>
      </c>
      <c r="AG22" s="86">
        <f>'[9]PRINCIPAIS TRIBUTOS'!E22</f>
        <v>41.25656332765773</v>
      </c>
      <c r="AH22" s="38">
        <f>'[10]PRINCIPAIS TRIBUTOS'!B22</f>
        <v>20.167891471099999</v>
      </c>
      <c r="AI22" s="39">
        <f>'[10]PRINCIPAIS TRIBUTOS'!C22</f>
        <v>0.64852633659109593</v>
      </c>
      <c r="AJ22" s="55">
        <f>'[10]PRINCIPAIS TRIBUTOS'!D22</f>
        <v>1.8658668514574643</v>
      </c>
      <c r="AK22" s="86">
        <f>'[10]PRINCIPAIS TRIBUTOS'!E22</f>
        <v>105.29752336678592</v>
      </c>
      <c r="AL22" s="38">
        <f>'[11]PRINCIPAIS TRIBUTOS'!B22</f>
        <v>4.1835575361699995</v>
      </c>
      <c r="AM22" s="39">
        <f>'[11]PRINCIPAIS TRIBUTOS'!C22</f>
        <v>0.12551780930766185</v>
      </c>
      <c r="AN22" s="55">
        <f>'[11]PRINCIPAIS TRIBUTOS'!D22</f>
        <v>0.37847436702373216</v>
      </c>
      <c r="AO22" s="86">
        <f>'[11]PRINCIPAIS TRIBUTOS'!E22</f>
        <v>21.615540684556279</v>
      </c>
      <c r="AP22" s="38">
        <f>'[12]PRINCIPAIS TRIBUTOS'!B22</f>
        <v>5.5727660216000006</v>
      </c>
      <c r="AQ22" s="39">
        <f>'[12]PRINCIPAIS TRIBUTOS'!C22</f>
        <v>0.14341187446649342</v>
      </c>
      <c r="AR22" s="55">
        <f>'[12]PRINCIPAIS TRIBUTOS'!D22</f>
        <v>0.43154170965209243</v>
      </c>
      <c r="AS22" s="86">
        <f>'[12]PRINCIPAIS TRIBUTOS'!E22</f>
        <v>28.505518257067624</v>
      </c>
      <c r="AT22" s="38">
        <f>'[13]PRINCIPAIS TRIBUTOS'!B22</f>
        <v>6.8709687197200005</v>
      </c>
      <c r="AU22" s="39">
        <f>'[13]PRINCIPAIS TRIBUTOS'!C22</f>
        <v>0.15700111918292325</v>
      </c>
      <c r="AV22" s="55">
        <f>'[13]PRINCIPAIS TRIBUTOS'!D22</f>
        <v>0.4606429720190548</v>
      </c>
      <c r="AW22" s="86">
        <f>'[13]PRINCIPAIS TRIBUTOS'!E22</f>
        <v>34.807864826610505</v>
      </c>
      <c r="AX22" s="38">
        <f>'[14]PRINCIPAIS TRIBUTOS'!B22</f>
        <v>7.9039373667400001</v>
      </c>
      <c r="AY22" s="39">
        <f>'[14]PRINCIPAIS TRIBUTOS'!C22</f>
        <v>0.16416056806029791</v>
      </c>
      <c r="AZ22" s="55">
        <f>'[14]PRINCIPAIS TRIBUTOS'!D22</f>
        <v>0.48250312044108473</v>
      </c>
      <c r="BA22" s="86">
        <f>'[14]PRINCIPAIS TRIBUTOS'!E22</f>
        <v>39.669944284968729</v>
      </c>
      <c r="BB22" s="38">
        <f>'[15]PRINCIPAIS TRIBUTOS'!B22</f>
        <v>9.3046846365899984</v>
      </c>
      <c r="BC22" s="39">
        <f>'[15]PRINCIPAIS TRIBUTOS'!C22</f>
        <v>0.174518933865867</v>
      </c>
      <c r="BD22" s="55">
        <f>'[15]PRINCIPAIS TRIBUTOS'!D22</f>
        <v>0.51916334341697545</v>
      </c>
      <c r="BE22" s="86">
        <f>'[15]PRINCIPAIS TRIBUTOS'!E22</f>
        <v>46.284430287251645</v>
      </c>
      <c r="BF22" s="38">
        <f>'[16]PRINCIPAIS TRIBUTOS'!B22</f>
        <v>9.9345402635077438</v>
      </c>
      <c r="BG22" s="39">
        <f>'[16]PRINCIPAIS TRIBUTOS'!C22</f>
        <v>0.17190899914755739</v>
      </c>
      <c r="BH22" s="55">
        <f>'[16]PRINCIPAIS TRIBUTOS'!D22</f>
        <v>0.52293073902592924</v>
      </c>
      <c r="BI22" s="86">
        <f>'[16]PRINCIPAIS TRIBUTOS'!E22</f>
        <v>48.994480039305813</v>
      </c>
      <c r="BJ22" s="38">
        <f>'[17]PRINCIPAIS TRIBUTOS'!B22</f>
        <v>10.160812069321333</v>
      </c>
      <c r="BK22" s="39">
        <f>'[17]PRINCIPAIS TRIBUTOS'!C22</f>
        <v>0.16946586110082518</v>
      </c>
      <c r="BL22" s="55">
        <f>'[17]PRINCIPAIS TRIBUTOS'!D22</f>
        <v>0.51603108796398567</v>
      </c>
      <c r="BM22" s="86">
        <f>'[17]PRINCIPAIS TRIBUTOS'!E22</f>
        <v>49.698115995324294</v>
      </c>
      <c r="BN22" s="38">
        <f>'[18]PRINCIPAIS TRIBUTOS'!B22</f>
        <v>9.7763205583815616</v>
      </c>
      <c r="BO22" s="39">
        <f>'[18]PRINCIPAIS TRIBUTOS'!C22</f>
        <v>0.1559917149412148</v>
      </c>
      <c r="BP22" s="55">
        <f>'[18]PRINCIPAIS TRIBUTOS'!D22</f>
        <v>0.46862834110325052</v>
      </c>
      <c r="BQ22" s="86">
        <f>'[18]PRINCIPAIS TRIBUTOS'!E22</f>
        <v>47.439114060414532</v>
      </c>
      <c r="BR22" s="38">
        <f>'[19]PRINCIPAIS TRIBUTOS'!B22</f>
        <v>10.293095183890959</v>
      </c>
      <c r="BS22" s="39">
        <f>'[19]PRINCIPAIS TRIBUTOS'!C22</f>
        <v>0.15705435223233444</v>
      </c>
      <c r="BT22" s="55">
        <f>'[19]PRINCIPAIS TRIBUTOS'!D22</f>
        <v>0.46714506448777438</v>
      </c>
      <c r="BU22" s="86">
        <f>'[19]PRINCIPAIS TRIBUTOS'!E22</f>
        <v>49.56683586776672</v>
      </c>
      <c r="BV22" s="38">
        <f>'[20]PRINCIPAIS TRIBUTOS'!B22</f>
        <v>11.493558029060191</v>
      </c>
      <c r="BW22" s="39">
        <f>'[20]PRINCIPAIS TRIBUTOS'!C22</f>
        <v>0.1668350157148718</v>
      </c>
      <c r="BX22" s="55">
        <f>'[20]PRINCIPAIS TRIBUTOS'!D22</f>
        <v>0.48438807731727201</v>
      </c>
      <c r="BY22" s="86">
        <f>'[20]PRINCIPAIS TRIBUTOS'!E22</f>
        <v>55.126326970396832</v>
      </c>
      <c r="BZ22" s="38">
        <f>'[21]PRINCIPAIS TRIBUTOS'!B22</f>
        <v>12.808551159474884</v>
      </c>
      <c r="CA22" s="39">
        <f>'[21]PRINCIPAIS TRIBUTOS'!C22</f>
        <v>0.17334313276452784</v>
      </c>
      <c r="CB22" s="55">
        <f>'[21]PRINCIPAIS TRIBUTOS'!D22</f>
        <v>0.51297314917614356</v>
      </c>
      <c r="CC22" s="86">
        <f>'[21]PRINCIPAIS TRIBUTOS'!E22</f>
        <v>60.950399199964714</v>
      </c>
      <c r="CD22" s="38">
        <f>'[22]PRINCIPAIS TRIBUTOS'!B22</f>
        <v>14.581663237076393</v>
      </c>
      <c r="CE22" s="39">
        <f>'[22]PRINCIPAIS TRIBUTOS'!C22</f>
        <v>0.19162201673855256</v>
      </c>
      <c r="CF22" s="55">
        <f>'[22]PRINCIPAIS TRIBUTOS'!D22</f>
        <v>0.5947918490940316</v>
      </c>
      <c r="CG22" s="86">
        <f>'[22]PRINCIPAIS TRIBUTOS'!E22</f>
        <v>68.860785272664089</v>
      </c>
      <c r="CH22" s="38">
        <f>'[23]PRINCIPAIS TRIBUTOS'!B22</f>
        <v>21.087290686173805</v>
      </c>
      <c r="CI22" s="39">
        <f>'[23]PRINCIPAIS TRIBUTOS'!C22</f>
        <v>0.23696974506773613</v>
      </c>
      <c r="CJ22" s="55">
        <f>'[23]PRINCIPAIS TRIBUTOS'!D22</f>
        <v>0.68890975448955183</v>
      </c>
      <c r="CK22" s="86">
        <f>'[23]PRINCIPAIS TRIBUTOS'!E22</f>
        <v>98.853947498330442</v>
      </c>
      <c r="CL22" s="38">
        <f>'[24]PRINCIPAIS TRIBUTOS'!B22</f>
        <v>20.306394000397397</v>
      </c>
      <c r="CM22" s="39">
        <f>'[24]PRINCIPAIS TRIBUTOS'!C22</f>
        <v>0.20145879689384261</v>
      </c>
      <c r="CN22" s="55">
        <f>'[24]PRINCIPAIS TRIBUTOS'!D22</f>
        <v>0.57713268190576339</v>
      </c>
      <c r="CO22" s="86">
        <f>'[24]PRINCIPAIS TRIBUTOS'!E22</f>
        <v>99.991719552183454</v>
      </c>
      <c r="CP22" s="38">
        <f>'[25]PRINCIPAIS TRIBUTOS'!B22</f>
        <v>21.648619978919999</v>
      </c>
      <c r="CQ22" s="39">
        <f>'[25]PRINCIPAIS TRIBUTOS'!C22</f>
        <v>0.19782454045966205</v>
      </c>
      <c r="CR22" s="55">
        <f>'[25]PRINCIPAIS TRIBUTOS'!D22</f>
        <v>0.5721112948289514</v>
      </c>
      <c r="CS22" s="86">
        <f>'[25]PRINCIPAIS TRIBUTOS'!E22</f>
        <v>104.16390943382594</v>
      </c>
      <c r="CT22" s="38">
        <f>'[26]PRINCIPAIS TRIBUTOS'!B22</f>
        <v>25.102511717889996</v>
      </c>
      <c r="CU22" s="39">
        <f>'[26]PRINCIPAIS TRIBUTOS'!C22</f>
        <v>0.21373464185353588</v>
      </c>
      <c r="CV22" s="55">
        <f>'[26]PRINCIPAIS TRIBUTOS'!D22</f>
        <v>0.59453320497589901</v>
      </c>
      <c r="CW22" s="86">
        <f>'[26]PRINCIPAIS TRIBUTOS'!E22</f>
        <v>118.08292834184172</v>
      </c>
    </row>
    <row r="23" spans="1:101" x14ac:dyDescent="0.25">
      <c r="A23" s="75" t="s">
        <v>15</v>
      </c>
      <c r="B23" s="38">
        <f>'[2]PRINCIPAIS TRIBUTOS'!B23</f>
        <v>1.13592244914</v>
      </c>
      <c r="C23" s="39">
        <f>'[2]PRINCIPAIS TRIBUTOS'!C23</f>
        <v>9.4473051737973782E-2</v>
      </c>
      <c r="D23" s="55">
        <f>'[2]PRINCIPAIS TRIBUTOS'!D23</f>
        <v>0.30914068733649658</v>
      </c>
      <c r="E23" s="86">
        <f>'[2]PRINCIPAIS TRIBUTOS'!E23</f>
        <v>6.5490532215279806</v>
      </c>
      <c r="F23" s="38">
        <f>'[3]PRINCIPAIS TRIBUTOS'!B23</f>
        <v>1.2718676154356061</v>
      </c>
      <c r="G23" s="39">
        <f>'[3]PRINCIPAIS TRIBUTOS'!C23</f>
        <v>9.666447138225627E-2</v>
      </c>
      <c r="H23" s="55">
        <f>'[3]PRINCIPAIS TRIBUTOS'!D23</f>
        <v>0.30164301367221091</v>
      </c>
      <c r="I23" s="86">
        <f>'[3]PRINCIPAIS TRIBUTOS'!E23</f>
        <v>7.3328321933701579</v>
      </c>
      <c r="J23" s="38">
        <f>'[4]PRINCIPAIS TRIBUTOS'!B23</f>
        <v>1.5283992897100001</v>
      </c>
      <c r="K23" s="39">
        <f>'[4]PRINCIPAIS TRIBUTOS'!C23</f>
        <v>0.10266070900068311</v>
      </c>
      <c r="L23" s="55">
        <f>'[4]PRINCIPAIS TRIBUTOS'!D23</f>
        <v>0.30850277539222987</v>
      </c>
      <c r="M23" s="86">
        <f>'[4]PRINCIPAIS TRIBUTOS'!E23</f>
        <v>8.5732134013478234</v>
      </c>
      <c r="N23" s="38">
        <f>'[5]PRINCIPAIS TRIBUTOS'!B23</f>
        <v>1.6147846514799999</v>
      </c>
      <c r="O23" s="39">
        <f>'[5]PRINCIPAIS TRIBUTOS'!C23</f>
        <v>9.3994857328793022E-2</v>
      </c>
      <c r="P23" s="55">
        <f>'[5]PRINCIPAIS TRIBUTOS'!D23</f>
        <v>0.28834674675233374</v>
      </c>
      <c r="Q23" s="86">
        <f>'[5]PRINCIPAIS TRIBUTOS'!E23</f>
        <v>8.9402758620643841</v>
      </c>
      <c r="R23" s="38">
        <f>'[6]PRINCIPAIS TRIBUTOS'!B23</f>
        <v>1.7407975789700001</v>
      </c>
      <c r="S23" s="39">
        <f>'[6]PRINCIPAIS TRIBUTOS'!C23</f>
        <v>8.8918232143413545E-2</v>
      </c>
      <c r="T23" s="55">
        <f>'[6]PRINCIPAIS TRIBUTOS'!D23</f>
        <v>0.26445723644785613</v>
      </c>
      <c r="U23" s="86">
        <f>'[6]PRINCIPAIS TRIBUTOS'!E23</f>
        <v>9.517158312588645</v>
      </c>
      <c r="V23" s="38">
        <f>'[7]PRINCIPAIS TRIBUTOS'!B23</f>
        <v>2.03566481467</v>
      </c>
      <c r="W23" s="39">
        <f>'[7]PRINCIPAIS TRIBUTOS'!C23</f>
        <v>9.3784155638687264E-2</v>
      </c>
      <c r="X23" s="55">
        <f>'[7]PRINCIPAIS TRIBUTOS'!D23</f>
        <v>0.26991609857520754</v>
      </c>
      <c r="Y23" s="86">
        <f>'[7]PRINCIPAIS TRIBUTOS'!E23</f>
        <v>10.994631126099446</v>
      </c>
      <c r="Z23" s="38">
        <f>'[8]PRINCIPAIS TRIBUTOS'!B23</f>
        <v>2.46148491818</v>
      </c>
      <c r="AA23" s="39">
        <f>'[8]PRINCIPAIS TRIBUTOS'!C23</f>
        <v>0.1021596180945859</v>
      </c>
      <c r="AB23" s="55">
        <f>'[8]PRINCIPAIS TRIBUTOS'!D23</f>
        <v>0.29673041442631187</v>
      </c>
      <c r="AC23" s="86">
        <f>'[8]PRINCIPAIS TRIBUTOS'!E23</f>
        <v>13.13947269902709</v>
      </c>
      <c r="AD23" s="38">
        <f>'[9]PRINCIPAIS TRIBUTOS'!B23</f>
        <v>3.1984922962800009</v>
      </c>
      <c r="AE23" s="39">
        <f>'[9]PRINCIPAIS TRIBUTOS'!C23</f>
        <v>0.11758025956607875</v>
      </c>
      <c r="AF23" s="55">
        <f>'[9]PRINCIPAIS TRIBUTOS'!D23</f>
        <v>0.3399687580130209</v>
      </c>
      <c r="AG23" s="86">
        <f>'[9]PRINCIPAIS TRIBUTOS'!E23</f>
        <v>16.881905344826219</v>
      </c>
      <c r="AH23" s="38">
        <f>'[10]PRINCIPAIS TRIBUTOS'!B23</f>
        <v>4.0237765531100003</v>
      </c>
      <c r="AI23" s="39">
        <f>'[10]PRINCIPAIS TRIBUTOS'!C23</f>
        <v>0.12939007882846598</v>
      </c>
      <c r="AJ23" s="55">
        <f>'[10]PRINCIPAIS TRIBUTOS'!D23</f>
        <v>0.37226654550765642</v>
      </c>
      <c r="AK23" s="86">
        <f>'[10]PRINCIPAIS TRIBUTOS'!E23</f>
        <v>21.008329315484779</v>
      </c>
      <c r="AL23" s="38">
        <f>'[11]PRINCIPAIS TRIBUTOS'!B23</f>
        <v>1.6730877100399999</v>
      </c>
      <c r="AM23" s="39">
        <f>'[11]PRINCIPAIS TRIBUTOS'!C23</f>
        <v>5.0197063701924879E-2</v>
      </c>
      <c r="AN23" s="55">
        <f>'[11]PRINCIPAIS TRIBUTOS'!D23</f>
        <v>0.15135941278634385</v>
      </c>
      <c r="AO23" s="86">
        <f>'[11]PRINCIPAIS TRIBUTOS'!E23</f>
        <v>8.6444838280649297</v>
      </c>
      <c r="AP23" s="38">
        <f>'[12]PRINCIPAIS TRIBUTOS'!B23</f>
        <v>2.5081770370299998</v>
      </c>
      <c r="AQ23" s="39">
        <f>'[12]PRINCIPAIS TRIBUTOS'!C23</f>
        <v>6.454646920040856E-2</v>
      </c>
      <c r="AR23" s="55">
        <f>'[12]PRINCIPAIS TRIBUTOS'!D23</f>
        <v>0.19422724773922626</v>
      </c>
      <c r="AS23" s="86">
        <f>'[12]PRINCIPAIS TRIBUTOS'!E23</f>
        <v>12.829694633489909</v>
      </c>
      <c r="AT23" s="38">
        <f>'[13]PRINCIPAIS TRIBUTOS'!B23</f>
        <v>2.7547689264300002</v>
      </c>
      <c r="AU23" s="39">
        <f>'[13]PRINCIPAIS TRIBUTOS'!C23</f>
        <v>6.2946263064558819E-2</v>
      </c>
      <c r="AV23" s="55">
        <f>'[13]PRINCIPAIS TRIBUTOS'!D23</f>
        <v>0.18468501273400764</v>
      </c>
      <c r="AW23" s="86">
        <f>'[13]PRINCIPAIS TRIBUTOS'!E23</f>
        <v>13.955473868556618</v>
      </c>
      <c r="AX23" s="38">
        <f>'[14]PRINCIPAIS TRIBUTOS'!B23</f>
        <v>3.3911116083399997</v>
      </c>
      <c r="AY23" s="39">
        <f>'[14]PRINCIPAIS TRIBUTOS'!C23</f>
        <v>7.0431581394295867E-2</v>
      </c>
      <c r="AZ23" s="55">
        <f>'[14]PRINCIPAIS TRIBUTOS'!D23</f>
        <v>0.20701352463562092</v>
      </c>
      <c r="BA23" s="86">
        <f>'[14]PRINCIPAIS TRIBUTOS'!E23</f>
        <v>17.020024618748185</v>
      </c>
      <c r="BB23" s="38">
        <f>'[15]PRINCIPAIS TRIBUTOS'!B23</f>
        <v>4.1132849770200002</v>
      </c>
      <c r="BC23" s="39">
        <f>'[15]PRINCIPAIS TRIBUTOS'!C23</f>
        <v>7.7148891866054198E-2</v>
      </c>
      <c r="BD23" s="55">
        <f>'[15]PRINCIPAIS TRIBUTOS'!D23</f>
        <v>0.22950447699204674</v>
      </c>
      <c r="BE23" s="86">
        <f>'[15]PRINCIPAIS TRIBUTOS'!E23</f>
        <v>20.460774245031583</v>
      </c>
      <c r="BF23" s="38">
        <f>'[16]PRINCIPAIS TRIBUTOS'!B23</f>
        <v>4.6600297028300002</v>
      </c>
      <c r="BG23" s="39">
        <f>'[16]PRINCIPAIS TRIBUTOS'!C23</f>
        <v>8.0637958170450594E-2</v>
      </c>
      <c r="BH23" s="55">
        <f>'[16]PRINCIPAIS TRIBUTOS'!D23</f>
        <v>0.24529295888355973</v>
      </c>
      <c r="BI23" s="86">
        <f>'[16]PRINCIPAIS TRIBUTOS'!E23</f>
        <v>22.982012876483289</v>
      </c>
      <c r="BJ23" s="38">
        <f>'[17]PRINCIPAIS TRIBUTOS'!B23</f>
        <v>6.41552638814</v>
      </c>
      <c r="BK23" s="39">
        <f>'[17]PRINCIPAIS TRIBUTOS'!C23</f>
        <v>0.10700057203733221</v>
      </c>
      <c r="BL23" s="55">
        <f>'[17]PRINCIPAIS TRIBUTOS'!D23</f>
        <v>0.32582150317781317</v>
      </c>
      <c r="BM23" s="86">
        <f>'[17]PRINCIPAIS TRIBUTOS'!E23</f>
        <v>31.37933980410109</v>
      </c>
      <c r="BN23" s="38">
        <f>'[18]PRINCIPAIS TRIBUTOS'!B23</f>
        <v>7.3011862136599994</v>
      </c>
      <c r="BO23" s="39">
        <f>'[18]PRINCIPAIS TRIBUTOS'!C23</f>
        <v>0.11649828294526825</v>
      </c>
      <c r="BP23" s="55">
        <f>'[18]PRINCIPAIS TRIBUTOS'!D23</f>
        <v>0.3499826711860432</v>
      </c>
      <c r="BQ23" s="86">
        <f>'[18]PRINCIPAIS TRIBUTOS'!E23</f>
        <v>35.428646544245673</v>
      </c>
      <c r="BR23" s="38">
        <f>'[19]PRINCIPAIS TRIBUTOS'!B23</f>
        <v>7.0893822337499994</v>
      </c>
      <c r="BS23" s="39">
        <f>'[19]PRINCIPAIS TRIBUTOS'!C23</f>
        <v>0.10817138232546064</v>
      </c>
      <c r="BT23" s="55">
        <f>'[19]PRINCIPAIS TRIBUTOS'!D23</f>
        <v>0.32174674979656825</v>
      </c>
      <c r="BU23" s="86">
        <f>'[19]PRINCIPAIS TRIBUTOS'!E23</f>
        <v>34.139220448878945</v>
      </c>
      <c r="BV23" s="38">
        <f>'[20]PRINCIPAIS TRIBUTOS'!B23</f>
        <v>7.7539016101600007</v>
      </c>
      <c r="BW23" s="39">
        <f>'[20]PRINCIPAIS TRIBUTOS'!C23</f>
        <v>0.11255194376813799</v>
      </c>
      <c r="BX23" s="55">
        <f>'[20]PRINCIPAIS TRIBUTOS'!D23</f>
        <v>0.32678283636419037</v>
      </c>
      <c r="BY23" s="86">
        <f>'[20]PRINCIPAIS TRIBUTOS'!E23</f>
        <v>37.189886228200308</v>
      </c>
      <c r="BZ23" s="38">
        <f>'[21]PRINCIPAIS TRIBUTOS'!B23</f>
        <v>8.9722656768699984</v>
      </c>
      <c r="CA23" s="39">
        <f>'[21]PRINCIPAIS TRIBUTOS'!C23</f>
        <v>0.1214251808077296</v>
      </c>
      <c r="CB23" s="55">
        <f>'[21]PRINCIPAIS TRIBUTOS'!D23</f>
        <v>0.35933270845425719</v>
      </c>
      <c r="CC23" s="86">
        <f>'[21]PRINCIPAIS TRIBUTOS'!E23</f>
        <v>42.69516262413773</v>
      </c>
      <c r="CD23" s="38">
        <f>'[22]PRINCIPAIS TRIBUTOS'!B23</f>
        <v>9.5149503238199991</v>
      </c>
      <c r="CE23" s="39">
        <f>'[22]PRINCIPAIS TRIBUTOS'!C23</f>
        <v>0.12503882037143357</v>
      </c>
      <c r="CF23" s="55">
        <f>'[22]PRINCIPAIS TRIBUTOS'!D23</f>
        <v>0.38811861206290332</v>
      </c>
      <c r="CG23" s="86">
        <f>'[22]PRINCIPAIS TRIBUTOS'!E23</f>
        <v>44.933622487087618</v>
      </c>
      <c r="CH23" s="38">
        <f>'[23]PRINCIPAIS TRIBUTOS'!B23</f>
        <v>12.9050176796</v>
      </c>
      <c r="CI23" s="39">
        <f>'[23]PRINCIPAIS TRIBUTOS'!C23</f>
        <v>0.14502094153017617</v>
      </c>
      <c r="CJ23" s="55">
        <f>'[23]PRINCIPAIS TRIBUTOS'!D23</f>
        <v>0.42159956409979588</v>
      </c>
      <c r="CK23" s="86">
        <f>'[23]PRINCIPAIS TRIBUTOS'!E23</f>
        <v>60.496720946738023</v>
      </c>
      <c r="CL23" s="38">
        <f>'[24]PRINCIPAIS TRIBUTOS'!B23</f>
        <v>13.671434530039999</v>
      </c>
      <c r="CM23" s="39">
        <f>'[24]PRINCIPAIS TRIBUTOS'!C23</f>
        <v>0.13563367046758248</v>
      </c>
      <c r="CN23" s="55">
        <f>'[24]PRINCIPAIS TRIBUTOS'!D23</f>
        <v>0.38855897682604951</v>
      </c>
      <c r="CO23" s="86">
        <f>'[24]PRINCIPAIS TRIBUTOS'!E23</f>
        <v>67.320187295540691</v>
      </c>
      <c r="CP23" s="38">
        <f>'[25]PRINCIPAIS TRIBUTOS'!B23</f>
        <v>15.699625992780001</v>
      </c>
      <c r="CQ23" s="39">
        <f>'[25]PRINCIPAIS TRIBUTOS'!C23</f>
        <v>0.14346278425296694</v>
      </c>
      <c r="CR23" s="55">
        <f>'[25]PRINCIPAIS TRIBUTOS'!D23</f>
        <v>0.41489634737944703</v>
      </c>
      <c r="CS23" s="86">
        <f>'[25]PRINCIPAIS TRIBUTOS'!E23</f>
        <v>75.539892226352379</v>
      </c>
      <c r="CT23" s="38">
        <f>'[26]PRINCIPAIS TRIBUTOS'!B23</f>
        <v>18.575220552490002</v>
      </c>
      <c r="CU23" s="39">
        <f>'[26]PRINCIPAIS TRIBUTOS'!C23</f>
        <v>0.15815820172717776</v>
      </c>
      <c r="CV23" s="55">
        <f>'[26]PRINCIPAIS TRIBUTOS'!D23</f>
        <v>0.43993945834255127</v>
      </c>
      <c r="CW23" s="86">
        <f>'[26]PRINCIPAIS TRIBUTOS'!E23</f>
        <v>87.378365244239049</v>
      </c>
    </row>
    <row r="24" spans="1:101" x14ac:dyDescent="0.25">
      <c r="A24" s="75" t="s">
        <v>29</v>
      </c>
      <c r="B24" s="38">
        <f>'[2]PRINCIPAIS TRIBUTOS'!B24</f>
        <v>0.32886900000000002</v>
      </c>
      <c r="C24" s="39">
        <f>'[2]PRINCIPAIS TRIBUTOS'!C24</f>
        <v>2.7351566187936556E-2</v>
      </c>
      <c r="D24" s="55">
        <f>'[2]PRINCIPAIS TRIBUTOS'!D24</f>
        <v>8.9501522556084387E-2</v>
      </c>
      <c r="E24" s="86">
        <f>'[2]PRINCIPAIS TRIBUTOS'!E24</f>
        <v>1.8960630503792755</v>
      </c>
      <c r="F24" s="38">
        <f>'[3]PRINCIPAIS TRIBUTOS'!B24</f>
        <v>0.33517398337999998</v>
      </c>
      <c r="G24" s="39">
        <f>'[3]PRINCIPAIS TRIBUTOS'!C24</f>
        <v>2.5473890152801999E-2</v>
      </c>
      <c r="H24" s="55">
        <f>'[3]PRINCIPAIS TRIBUTOS'!D24</f>
        <v>7.9491677611931072E-2</v>
      </c>
      <c r="I24" s="86">
        <f>'[3]PRINCIPAIS TRIBUTOS'!E24</f>
        <v>1.9324138344911055</v>
      </c>
      <c r="J24" s="38">
        <f>'[4]PRINCIPAIS TRIBUTOS'!B24</f>
        <v>0.52009774306000001</v>
      </c>
      <c r="K24" s="39">
        <f>'[4]PRINCIPAIS TRIBUTOS'!C24</f>
        <v>3.4934328621891511E-2</v>
      </c>
      <c r="L24" s="55">
        <f>'[4]PRINCIPAIS TRIBUTOS'!D24</f>
        <v>0.1049801568801364</v>
      </c>
      <c r="M24" s="86">
        <f>'[4]PRINCIPAIS TRIBUTOS'!E24</f>
        <v>2.9173717698199053</v>
      </c>
      <c r="N24" s="38">
        <f>'[5]PRINCIPAIS TRIBUTOS'!B24</f>
        <v>0.87184423293000002</v>
      </c>
      <c r="O24" s="39">
        <f>'[5]PRINCIPAIS TRIBUTOS'!C24</f>
        <v>5.0749104044355196E-2</v>
      </c>
      <c r="P24" s="55">
        <f>'[5]PRINCIPAIS TRIBUTOS'!D24</f>
        <v>0.15568233696656678</v>
      </c>
      <c r="Q24" s="86">
        <f>'[5]PRINCIPAIS TRIBUTOS'!E24</f>
        <v>4.8269767389727116</v>
      </c>
      <c r="R24" s="38">
        <f>'[6]PRINCIPAIS TRIBUTOS'!B24</f>
        <v>0.73606959735999999</v>
      </c>
      <c r="S24" s="39">
        <f>'[6]PRINCIPAIS TRIBUTOS'!C24</f>
        <v>3.7597712751008684E-2</v>
      </c>
      <c r="T24" s="55">
        <f>'[6]PRINCIPAIS TRIBUTOS'!D24</f>
        <v>0.11182169248321687</v>
      </c>
      <c r="U24" s="86">
        <f>'[6]PRINCIPAIS TRIBUTOS'!E24</f>
        <v>4.0241846448932979</v>
      </c>
      <c r="V24" s="38">
        <f>'[7]PRINCIPAIS TRIBUTOS'!B24</f>
        <v>0.81550388906000004</v>
      </c>
      <c r="W24" s="39">
        <f>'[7]PRINCIPAIS TRIBUTOS'!C24</f>
        <v>3.7570695875075152E-2</v>
      </c>
      <c r="X24" s="55">
        <f>'[7]PRINCIPAIS TRIBUTOS'!D24</f>
        <v>0.10813058540959611</v>
      </c>
      <c r="Y24" s="86">
        <f>'[7]PRINCIPAIS TRIBUTOS'!E24</f>
        <v>4.4045386929614558</v>
      </c>
      <c r="Z24" s="38">
        <f>'[8]PRINCIPAIS TRIBUTOS'!B24</f>
        <v>0.96697825803000004</v>
      </c>
      <c r="AA24" s="39">
        <f>'[8]PRINCIPAIS TRIBUTOS'!C24</f>
        <v>4.0132738095000939E-2</v>
      </c>
      <c r="AB24" s="55">
        <f>'[8]PRINCIPAIS TRIBUTOS'!D24</f>
        <v>0.1165686034179035</v>
      </c>
      <c r="AC24" s="86">
        <f>'[8]PRINCIPAIS TRIBUTOS'!E24</f>
        <v>5.1617559498728749</v>
      </c>
      <c r="AD24" s="38">
        <f>'[9]PRINCIPAIS TRIBUTOS'!B24</f>
        <v>1.2044485206799997</v>
      </c>
      <c r="AE24" s="39">
        <f>'[9]PRINCIPAIS TRIBUTOS'!C24</f>
        <v>4.4276914426288921E-2</v>
      </c>
      <c r="AF24" s="55">
        <f>'[9]PRINCIPAIS TRIBUTOS'!D24</f>
        <v>0.1280212142897573</v>
      </c>
      <c r="AG24" s="86">
        <f>'[9]PRINCIPAIS TRIBUTOS'!E24</f>
        <v>6.3571783313295525</v>
      </c>
      <c r="AH24" s="38">
        <f>'[10]PRINCIPAIS TRIBUTOS'!B24</f>
        <v>1.4858492142999999</v>
      </c>
      <c r="AI24" s="39">
        <f>'[10]PRINCIPAIS TRIBUTOS'!C24</f>
        <v>4.7779528616442905E-2</v>
      </c>
      <c r="AJ24" s="55">
        <f>'[10]PRINCIPAIS TRIBUTOS'!D24</f>
        <v>0.13746587238429223</v>
      </c>
      <c r="AK24" s="86">
        <f>'[10]PRINCIPAIS TRIBUTOS'!E24</f>
        <v>7.75768962196529</v>
      </c>
      <c r="AL24" s="38">
        <f>'[11]PRINCIPAIS TRIBUTOS'!B24</f>
        <v>0.40889789591999998</v>
      </c>
      <c r="AM24" s="39">
        <f>'[11]PRINCIPAIS TRIBUTOS'!C24</f>
        <v>1.2268020143778695E-2</v>
      </c>
      <c r="AN24" s="55">
        <f>'[11]PRINCIPAIS TRIBUTOS'!D24</f>
        <v>3.6991811633439745E-2</v>
      </c>
      <c r="AO24" s="86">
        <f>'[11]PRINCIPAIS TRIBUTOS'!E24</f>
        <v>2.112687354882135</v>
      </c>
      <c r="AP24" s="38">
        <f>'[12]PRINCIPAIS TRIBUTOS'!B24</f>
        <v>0.47598754659000003</v>
      </c>
      <c r="AQ24" s="39">
        <f>'[12]PRINCIPAIS TRIBUTOS'!C24</f>
        <v>1.2249261141522041E-2</v>
      </c>
      <c r="AR24" s="55">
        <f>'[12]PRINCIPAIS TRIBUTOS'!D24</f>
        <v>3.6859340376465079E-2</v>
      </c>
      <c r="AS24" s="86">
        <f>'[12]PRINCIPAIS TRIBUTOS'!E24</f>
        <v>2.4347463444306743</v>
      </c>
      <c r="AT24" s="38">
        <f>'[13]PRINCIPAIS TRIBUTOS'!B24</f>
        <v>0.54624142319000002</v>
      </c>
      <c r="AU24" s="39">
        <f>'[13]PRINCIPAIS TRIBUTOS'!C24</f>
        <v>1.2481575492952857E-2</v>
      </c>
      <c r="AV24" s="55">
        <f>'[13]PRINCIPAIS TRIBUTOS'!D24</f>
        <v>3.6621076718919163E-2</v>
      </c>
      <c r="AW24" s="86">
        <f>'[13]PRINCIPAIS TRIBUTOS'!E24</f>
        <v>2.767222264674738</v>
      </c>
      <c r="AX24" s="38">
        <f>'[14]PRINCIPAIS TRIBUTOS'!B24</f>
        <v>0.60943848990000005</v>
      </c>
      <c r="AY24" s="39">
        <f>'[14]PRINCIPAIS TRIBUTOS'!C24</f>
        <v>1.2657712739575803E-2</v>
      </c>
      <c r="AZ24" s="55">
        <f>'[14]PRINCIPAIS TRIBUTOS'!D24</f>
        <v>3.7203732703025787E-2</v>
      </c>
      <c r="BA24" s="86">
        <f>'[14]PRINCIPAIS TRIBUTOS'!E24</f>
        <v>3.0587781529220419</v>
      </c>
      <c r="BB24" s="38">
        <f>'[15]PRINCIPAIS TRIBUTOS'!B24</f>
        <v>0.75283784435000001</v>
      </c>
      <c r="BC24" s="39">
        <f>'[15]PRINCIPAIS TRIBUTOS'!C24</f>
        <v>1.4120248358894362E-2</v>
      </c>
      <c r="BD24" s="55">
        <f>'[15]PRINCIPAIS TRIBUTOS'!D24</f>
        <v>4.2005272353519828E-2</v>
      </c>
      <c r="BE24" s="86">
        <f>'[15]PRINCIPAIS TRIBUTOS'!E24</f>
        <v>3.7448524141697654</v>
      </c>
      <c r="BF24" s="38">
        <f>'[16]PRINCIPAIS TRIBUTOS'!B24</f>
        <v>0.89117742080999995</v>
      </c>
      <c r="BG24" s="39">
        <f>'[16]PRINCIPAIS TRIBUTOS'!C24</f>
        <v>1.5421087882355158E-2</v>
      </c>
      <c r="BH24" s="55">
        <f>'[16]PRINCIPAIS TRIBUTOS'!D24</f>
        <v>4.6909474913421761E-2</v>
      </c>
      <c r="BI24" s="86">
        <f>'[16]PRINCIPAIS TRIBUTOS'!E24</f>
        <v>4.3950472993441654</v>
      </c>
      <c r="BJ24" s="38">
        <f>'[17]PRINCIPAIS TRIBUTOS'!B24</f>
        <v>1.1012954241499999</v>
      </c>
      <c r="BK24" s="39">
        <f>'[17]PRINCIPAIS TRIBUTOS'!C24</f>
        <v>1.8367821007484089E-2</v>
      </c>
      <c r="BL24" s="55">
        <f>'[17]PRINCIPAIS TRIBUTOS'!D24</f>
        <v>5.5930832301265256E-2</v>
      </c>
      <c r="BM24" s="86">
        <f>'[17]PRINCIPAIS TRIBUTOS'!E24</f>
        <v>5.3866076216270651</v>
      </c>
      <c r="BN24" s="38">
        <f>'[18]PRINCIPAIS TRIBUTOS'!B24</f>
        <v>1.11894155858</v>
      </c>
      <c r="BO24" s="39">
        <f>'[18]PRINCIPAIS TRIBUTOS'!C24</f>
        <v>1.7853916675455803E-2</v>
      </c>
      <c r="BP24" s="55">
        <f>'[18]PRINCIPAIS TRIBUTOS'!D24</f>
        <v>5.3636511124757799E-2</v>
      </c>
      <c r="BQ24" s="86">
        <f>'[18]PRINCIPAIS TRIBUTOS'!E24</f>
        <v>5.4296088091041597</v>
      </c>
      <c r="BR24" s="38">
        <f>'[19]PRINCIPAIS TRIBUTOS'!B24</f>
        <v>1.2712081235600001</v>
      </c>
      <c r="BS24" s="39">
        <f>'[19]PRINCIPAIS TRIBUTOS'!C24</f>
        <v>1.9396378332404256E-2</v>
      </c>
      <c r="BT24" s="55">
        <f>'[19]PRINCIPAIS TRIBUTOS'!D24</f>
        <v>5.7692908716825669E-2</v>
      </c>
      <c r="BU24" s="86">
        <f>'[19]PRINCIPAIS TRIBUTOS'!E24</f>
        <v>6.1215565666664249</v>
      </c>
      <c r="BV24" s="38">
        <f>'[20]PRINCIPAIS TRIBUTOS'!B24</f>
        <v>1.41398496744</v>
      </c>
      <c r="BW24" s="39">
        <f>'[20]PRINCIPAIS TRIBUTOS'!C24</f>
        <v>2.052473252120816E-2</v>
      </c>
      <c r="BX24" s="55">
        <f>'[20]PRINCIPAIS TRIBUTOS'!D24</f>
        <v>5.9591421385966729E-2</v>
      </c>
      <c r="BY24" s="86">
        <f>'[20]PRINCIPAIS TRIBUTOS'!E24</f>
        <v>6.7818683691543535</v>
      </c>
      <c r="BZ24" s="38">
        <f>'[21]PRINCIPAIS TRIBUTOS'!B24</f>
        <v>1.6252833120500001</v>
      </c>
      <c r="CA24" s="39">
        <f>'[21]PRINCIPAIS TRIBUTOS'!C24</f>
        <v>2.1995594773593811E-2</v>
      </c>
      <c r="CB24" s="55">
        <f>'[21]PRINCIPAIS TRIBUTOS'!D24</f>
        <v>6.5091413424147329E-2</v>
      </c>
      <c r="CC24" s="86">
        <f>'[21]PRINCIPAIS TRIBUTOS'!E24</f>
        <v>7.7340259213634264</v>
      </c>
      <c r="CD24" s="38">
        <f>'[22]PRINCIPAIS TRIBUTOS'!B24</f>
        <v>1.7570060383000001</v>
      </c>
      <c r="CE24" s="39">
        <f>'[22]PRINCIPAIS TRIBUTOS'!C24</f>
        <v>2.3089344130838994E-2</v>
      </c>
      <c r="CF24" s="55">
        <f>'[22]PRINCIPAIS TRIBUTOS'!D24</f>
        <v>7.166897584992972E-2</v>
      </c>
      <c r="CG24" s="86">
        <f>'[22]PRINCIPAIS TRIBUTOS'!E24</f>
        <v>8.2973261389356185</v>
      </c>
      <c r="CH24" s="38">
        <f>'[23]PRINCIPAIS TRIBUTOS'!B24</f>
        <v>2.1600570909200001</v>
      </c>
      <c r="CI24" s="39">
        <f>'[23]PRINCIPAIS TRIBUTOS'!C24</f>
        <v>2.4273776360596293E-2</v>
      </c>
      <c r="CJ24" s="55">
        <f>'[23]PRINCIPAIS TRIBUTOS'!D24</f>
        <v>7.0567832650251128E-2</v>
      </c>
      <c r="CK24" s="86">
        <f>'[23]PRINCIPAIS TRIBUTOS'!E24</f>
        <v>10.126012555951831</v>
      </c>
      <c r="CL24" s="38">
        <f>'[24]PRINCIPAIS TRIBUTOS'!B24</f>
        <v>2.5880176484800002</v>
      </c>
      <c r="CM24" s="39">
        <f>'[24]PRINCIPAIS TRIBUTOS'!C24</f>
        <v>2.5675603545986997E-2</v>
      </c>
      <c r="CN24" s="55">
        <f>'[24]PRINCIPAIS TRIBUTOS'!D24</f>
        <v>7.3554643244757245E-2</v>
      </c>
      <c r="CO24" s="86">
        <f>'[24]PRINCIPAIS TRIBUTOS'!E24</f>
        <v>12.743785770031307</v>
      </c>
      <c r="CP24" s="38">
        <f>'[25]PRINCIPAIS TRIBUTOS'!B24</f>
        <v>3.0321212307300005</v>
      </c>
      <c r="CQ24" s="39">
        <f>'[25]PRINCIPAIS TRIBUTOS'!C24</f>
        <v>2.7707446926003614E-2</v>
      </c>
      <c r="CR24" s="55">
        <f>'[25]PRINCIPAIS TRIBUTOS'!D24</f>
        <v>8.013031801012914E-2</v>
      </c>
      <c r="CS24" s="86">
        <f>'[25]PRINCIPAIS TRIBUTOS'!E24</f>
        <v>14.589271813985485</v>
      </c>
      <c r="CT24" s="38">
        <f>'[26]PRINCIPAIS TRIBUTOS'!B24</f>
        <v>3.2455194086500008</v>
      </c>
      <c r="CU24" s="39">
        <f>'[26]PRINCIPAIS TRIBUTOS'!C24</f>
        <v>2.7633885255479725E-2</v>
      </c>
      <c r="CV24" s="55">
        <f>'[26]PRINCIPAIS TRIBUTOS'!D24</f>
        <v>7.6867569170817635E-2</v>
      </c>
      <c r="CW24" s="86">
        <f>'[26]PRINCIPAIS TRIBUTOS'!E24</f>
        <v>15.26701551106329</v>
      </c>
    </row>
    <row r="25" spans="1:101" s="9" customFormat="1" x14ac:dyDescent="0.25">
      <c r="A25" s="75" t="s">
        <v>20</v>
      </c>
      <c r="B25" s="38">
        <f>'[2]PRINCIPAIS TRIBUTOS'!B25</f>
        <v>0.23082787163999999</v>
      </c>
      <c r="C25" s="39">
        <f>'[2]PRINCIPAIS TRIBUTOS'!C25</f>
        <v>1.9197625222146148E-2</v>
      </c>
      <c r="D25" s="55">
        <f>'[2]PRINCIPAIS TRIBUTOS'!D25</f>
        <v>6.2819681879898698E-2</v>
      </c>
      <c r="E25" s="86">
        <f>'[2]PRINCIPAIS TRIBUTOS'!E25</f>
        <v>1.3308162168349531</v>
      </c>
      <c r="F25" s="38">
        <f>'[3]PRINCIPAIS TRIBUTOS'!B25</f>
        <v>0.18998402599000003</v>
      </c>
      <c r="G25" s="39">
        <f>'[3]PRINCIPAIS TRIBUTOS'!C25</f>
        <v>1.4439164281344173E-2</v>
      </c>
      <c r="H25" s="55">
        <f>'[3]PRINCIPAIS TRIBUTOS'!D25</f>
        <v>4.5057640790370994E-2</v>
      </c>
      <c r="I25" s="86">
        <f>'[3]PRINCIPAIS TRIBUTOS'!E25</f>
        <v>1.0953348957850544</v>
      </c>
      <c r="J25" s="38">
        <f>'[4]PRINCIPAIS TRIBUTOS'!B25</f>
        <v>0.18918939349000005</v>
      </c>
      <c r="K25" s="39">
        <f>'[4]PRINCIPAIS TRIBUTOS'!C25</f>
        <v>1.2707619927498028E-2</v>
      </c>
      <c r="L25" s="55">
        <f>'[4]PRINCIPAIS TRIBUTOS'!D25</f>
        <v>3.8187307046911811E-2</v>
      </c>
      <c r="M25" s="86">
        <f>'[4]PRINCIPAIS TRIBUTOS'!E25</f>
        <v>1.0612155178173941</v>
      </c>
      <c r="N25" s="38">
        <f>'[5]PRINCIPAIS TRIBUTOS'!B25</f>
        <v>0.22792357568000002</v>
      </c>
      <c r="O25" s="39">
        <f>'[5]PRINCIPAIS TRIBUTOS'!C25</f>
        <v>1.3267183310340816E-2</v>
      </c>
      <c r="P25" s="55">
        <f>'[5]PRINCIPAIS TRIBUTOS'!D25</f>
        <v>4.069955798455975E-2</v>
      </c>
      <c r="Q25" s="86">
        <f>'[5]PRINCIPAIS TRIBUTOS'!E25</f>
        <v>1.2619017899257925</v>
      </c>
      <c r="R25" s="38">
        <f>'[6]PRINCIPAIS TRIBUTOS'!B25</f>
        <v>0.23977248517999999</v>
      </c>
      <c r="S25" s="39">
        <f>'[6]PRINCIPAIS TRIBUTOS'!C25</f>
        <v>1.2247343261732466E-2</v>
      </c>
      <c r="T25" s="55">
        <f>'[6]PRINCIPAIS TRIBUTOS'!D25</f>
        <v>3.6425584210919966E-2</v>
      </c>
      <c r="U25" s="86">
        <f>'[6]PRINCIPAIS TRIBUTOS'!E25</f>
        <v>1.3108661960634544</v>
      </c>
      <c r="V25" s="38">
        <f>'[7]PRINCIPAIS TRIBUTOS'!B25</f>
        <v>0.27007667561999998</v>
      </c>
      <c r="W25" s="39">
        <f>'[7]PRINCIPAIS TRIBUTOS'!C25</f>
        <v>1.244257541722623E-2</v>
      </c>
      <c r="X25" s="55">
        <f>'[7]PRINCIPAIS TRIBUTOS'!D25</f>
        <v>3.5810435035362E-2</v>
      </c>
      <c r="Y25" s="86">
        <f>'[7]PRINCIPAIS TRIBUTOS'!E25</f>
        <v>1.4586848496895013</v>
      </c>
      <c r="Z25" s="38">
        <f>'[8]PRINCIPAIS TRIBUTOS'!B25</f>
        <v>0.28402331598000002</v>
      </c>
      <c r="AA25" s="39">
        <f>'[8]PRINCIPAIS TRIBUTOS'!C25</f>
        <v>1.1787890015563721E-2</v>
      </c>
      <c r="AB25" s="55">
        <f>'[8]PRINCIPAIS TRIBUTOS'!D25</f>
        <v>3.4238826992202501E-2</v>
      </c>
      <c r="AC25" s="86">
        <f>'[8]PRINCIPAIS TRIBUTOS'!E25</f>
        <v>1.5161240999866459</v>
      </c>
      <c r="AD25" s="38">
        <f>'[9]PRINCIPAIS TRIBUTOS'!B25</f>
        <v>0.31279980959000003</v>
      </c>
      <c r="AE25" s="39">
        <f>'[9]PRINCIPAIS TRIBUTOS'!C25</f>
        <v>1.1498881159284968E-2</v>
      </c>
      <c r="AF25" s="55">
        <f>'[9]PRINCIPAIS TRIBUTOS'!D25</f>
        <v>3.3247590715382608E-2</v>
      </c>
      <c r="AG25" s="86">
        <f>'[9]PRINCIPAIS TRIBUTOS'!E25</f>
        <v>1.6509831158635904</v>
      </c>
      <c r="AH25" s="38">
        <f>'[10]PRINCIPAIS TRIBUTOS'!B25</f>
        <v>0.39541171955999999</v>
      </c>
      <c r="AI25" s="39">
        <f>'[10]PRINCIPAIS TRIBUTOS'!C25</f>
        <v>1.2715008621446439E-2</v>
      </c>
      <c r="AJ25" s="55">
        <f>'[10]PRINCIPAIS TRIBUTOS'!D25</f>
        <v>3.6582189132762059E-2</v>
      </c>
      <c r="AK25" s="86">
        <f>'[10]PRINCIPAIS TRIBUTOS'!E25</f>
        <v>2.0644634487216029</v>
      </c>
      <c r="AL25" s="38">
        <f>'[11]PRINCIPAIS TRIBUTOS'!B25</f>
        <v>-5.5668720549999995E-2</v>
      </c>
      <c r="AM25" s="39">
        <f>'[11]PRINCIPAIS TRIBUTOS'!C25</f>
        <v>-1.6702090959631734E-3</v>
      </c>
      <c r="AN25" s="55">
        <f>'[11]PRINCIPAIS TRIBUTOS'!D25</f>
        <v>-5.0361883614658933E-3</v>
      </c>
      <c r="AO25" s="86">
        <f>'[11]PRINCIPAIS TRIBUTOS'!E25</f>
        <v>-0.28762828848466987</v>
      </c>
      <c r="AP25" s="38">
        <f>'[12]PRINCIPAIS TRIBUTOS'!B25</f>
        <v>-4.5253026639999999E-2</v>
      </c>
      <c r="AQ25" s="39">
        <f>'[12]PRINCIPAIS TRIBUTOS'!C25</f>
        <v>-1.1645601754263612E-3</v>
      </c>
      <c r="AR25" s="55">
        <f>'[12]PRINCIPAIS TRIBUTOS'!D25</f>
        <v>-3.5042864544222183E-3</v>
      </c>
      <c r="AS25" s="86">
        <f>'[12]PRINCIPAIS TRIBUTOS'!E25</f>
        <v>-0.23147589044187541</v>
      </c>
      <c r="AT25" s="38">
        <f>'[13]PRINCIPAIS TRIBUTOS'!B25</f>
        <v>-3.5526914399999984E-3</v>
      </c>
      <c r="AU25" s="39">
        <f>'[13]PRINCIPAIS TRIBUTOS'!C25</f>
        <v>-8.1178732569506021E-5</v>
      </c>
      <c r="AV25" s="55">
        <f>'[13]PRINCIPAIS TRIBUTOS'!D25</f>
        <v>-2.3817927432726624E-4</v>
      </c>
      <c r="AW25" s="86">
        <f>'[13]PRINCIPAIS TRIBUTOS'!E25</f>
        <v>-1.7997695588288971E-2</v>
      </c>
      <c r="AX25" s="38">
        <f>'[14]PRINCIPAIS TRIBUTOS'!B25</f>
        <v>-0.26159925335000001</v>
      </c>
      <c r="AY25" s="39">
        <f>'[14]PRINCIPAIS TRIBUTOS'!C25</f>
        <v>-5.4332771176548774E-3</v>
      </c>
      <c r="AZ25" s="55">
        <f>'[14]PRINCIPAIS TRIBUTOS'!D25</f>
        <v>-1.596956683609117E-2</v>
      </c>
      <c r="BA25" s="86">
        <f>'[14]PRINCIPAIS TRIBUTOS'!E25</f>
        <v>-1.3129693877703639</v>
      </c>
      <c r="BB25" s="38">
        <f>'[15]PRINCIPAIS TRIBUTOS'!B25</f>
        <v>-0.26783296962000008</v>
      </c>
      <c r="BC25" s="39">
        <f>'[15]PRINCIPAIS TRIBUTOS'!C25</f>
        <v>-5.0234829161648663E-3</v>
      </c>
      <c r="BD25" s="55">
        <f>'[15]PRINCIPAIS TRIBUTOS'!D25</f>
        <v>-1.4943984177434245E-2</v>
      </c>
      <c r="BE25" s="86">
        <f>'[15]PRINCIPAIS TRIBUTOS'!E25</f>
        <v>-1.3322854986676451</v>
      </c>
      <c r="BF25" s="38">
        <f>'[16]PRINCIPAIS TRIBUTOS'!B25</f>
        <v>0</v>
      </c>
      <c r="BG25" s="39">
        <f>'[16]PRINCIPAIS TRIBUTOS'!C25</f>
        <v>0</v>
      </c>
      <c r="BH25" s="55">
        <f>'[16]PRINCIPAIS TRIBUTOS'!D25</f>
        <v>0</v>
      </c>
      <c r="BI25" s="86">
        <f>'[16]PRINCIPAIS TRIBUTOS'!E25</f>
        <v>0</v>
      </c>
      <c r="BJ25" s="38">
        <f>'[17]PRINCIPAIS TRIBUTOS'!B25</f>
        <v>1.3952735999999999E-4</v>
      </c>
      <c r="BK25" s="39">
        <f>'[17]PRINCIPAIS TRIBUTOS'!C25</f>
        <v>2.3270900050318664E-6</v>
      </c>
      <c r="BL25" s="55">
        <f>'[17]PRINCIPAIS TRIBUTOS'!D25</f>
        <v>7.0860926164488912E-6</v>
      </c>
      <c r="BM25" s="86">
        <f>'[17]PRINCIPAIS TRIBUTOS'!E25</f>
        <v>6.8245007136172005E-4</v>
      </c>
      <c r="BN25" s="38">
        <f>'[18]PRINCIPAIS TRIBUTOS'!B25</f>
        <v>-2.8827680000000007E-4</v>
      </c>
      <c r="BO25" s="39">
        <f>'[18]PRINCIPAIS TRIBUTOS'!C25</f>
        <v>-4.5997665626064578E-6</v>
      </c>
      <c r="BP25" s="55">
        <f>'[18]PRINCIPAIS TRIBUTOS'!D25</f>
        <v>-1.3818560649254944E-5</v>
      </c>
      <c r="BQ25" s="86">
        <f>'[18]PRINCIPAIS TRIBUTOS'!E25</f>
        <v>-1.3988489753894958E-3</v>
      </c>
      <c r="BR25" s="38">
        <f>'[19]PRINCIPAIS TRIBUTOS'!B25</f>
        <v>9.8953080000000005E-5</v>
      </c>
      <c r="BS25" s="39">
        <f>'[19]PRINCIPAIS TRIBUTOS'!C25</f>
        <v>1.5098482626602519E-6</v>
      </c>
      <c r="BT25" s="55">
        <f>'[19]PRINCIPAIS TRIBUTOS'!D25</f>
        <v>4.4909176600453753E-6</v>
      </c>
      <c r="BU25" s="86">
        <f>'[19]PRINCIPAIS TRIBUTOS'!E25</f>
        <v>4.7651274833697773E-4</v>
      </c>
      <c r="BV25" s="38">
        <f>'[20]PRINCIPAIS TRIBUTOS'!B25</f>
        <v>8.2160000000000002E-8</v>
      </c>
      <c r="BW25" s="39">
        <f>'[20]PRINCIPAIS TRIBUTOS'!C25</f>
        <v>1.1925954396781934E-9</v>
      </c>
      <c r="BX25" s="55">
        <f>'[20]PRINCIPAIS TRIBUTOS'!D25</f>
        <v>3.4625765434658216E-9</v>
      </c>
      <c r="BY25" s="86">
        <f>'[20]PRINCIPAIS TRIBUTOS'!E25</f>
        <v>3.9406239673008785E-7</v>
      </c>
      <c r="BZ25" s="38">
        <f>'[21]PRINCIPAIS TRIBUTOS'!B25</f>
        <v>-3.6175415450000005E-2</v>
      </c>
      <c r="CA25" s="39">
        <f>'[21]PRINCIPAIS TRIBUTOS'!C25</f>
        <v>-4.8957604689915505E-4</v>
      </c>
      <c r="CB25" s="55">
        <f>'[21]PRINCIPAIS TRIBUTOS'!D25</f>
        <v>-1.4487990526871276E-3</v>
      </c>
      <c r="CC25" s="86">
        <f>'[21]PRINCIPAIS TRIBUTOS'!E25</f>
        <v>-0.17214328033276688</v>
      </c>
      <c r="CD25" s="38">
        <f>'[22]PRINCIPAIS TRIBUTOS'!B25</f>
        <v>-2.9404073600000002E-3</v>
      </c>
      <c r="CE25" s="39">
        <f>'[22]PRINCIPAIS TRIBUTOS'!C25</f>
        <v>-3.8640776377513815E-5</v>
      </c>
      <c r="CF25" s="55">
        <f>'[22]PRINCIPAIS TRIBUTOS'!D25</f>
        <v>-1.1994038693042526E-4</v>
      </c>
      <c r="CG25" s="86">
        <f>'[22]PRINCIPAIS TRIBUTOS'!E25</f>
        <v>-1.3885848036613817E-2</v>
      </c>
      <c r="CH25" s="38">
        <f>'[23]PRINCIPAIS TRIBUTOS'!B25</f>
        <v>-2.4904615810000003E-2</v>
      </c>
      <c r="CI25" s="39">
        <f>'[23]PRINCIPAIS TRIBUTOS'!C25</f>
        <v>-2.7986717437224445E-4</v>
      </c>
      <c r="CJ25" s="55">
        <f>'[23]PRINCIPAIS TRIBUTOS'!D25</f>
        <v>-8.1361958815188008E-4</v>
      </c>
      <c r="CK25" s="86">
        <f>'[23]PRINCIPAIS TRIBUTOS'!E25</f>
        <v>-0.11674897550314628</v>
      </c>
      <c r="CL25" s="38">
        <f>'[24]PRINCIPAIS TRIBUTOS'!B25</f>
        <v>3.7143759599999999E-3</v>
      </c>
      <c r="CM25" s="39">
        <f>'[24]PRINCIPAIS TRIBUTOS'!C25</f>
        <v>3.6850152326324773E-5</v>
      </c>
      <c r="CN25" s="55">
        <f>'[24]PRINCIPAIS TRIBUTOS'!D25</f>
        <v>1.0556713118829183E-4</v>
      </c>
      <c r="CO25" s="86">
        <f>'[24]PRINCIPAIS TRIBUTOS'!E25</f>
        <v>1.8290142469235243E-2</v>
      </c>
      <c r="CP25" s="38">
        <f>'[25]PRINCIPAIS TRIBUTOS'!B25</f>
        <v>3.9999699999999994E-6</v>
      </c>
      <c r="CQ25" s="39">
        <f>'[25]PRINCIPAIS TRIBUTOS'!C25</f>
        <v>3.6551624439476634E-8</v>
      </c>
      <c r="CR25" s="55">
        <f>'[25]PRINCIPAIS TRIBUTOS'!D25</f>
        <v>1.0570780115338905E-7</v>
      </c>
      <c r="CS25" s="86">
        <f>'[25]PRINCIPAIS TRIBUTOS'!E25</f>
        <v>1.9246146554548487E-5</v>
      </c>
      <c r="CT25" s="38">
        <f>'[26]PRINCIPAIS TRIBUTOS'!B25</f>
        <v>-2.244328521E-2</v>
      </c>
      <c r="CU25" s="39">
        <f>'[26]PRINCIPAIS TRIBUTOS'!C25</f>
        <v>-1.9109273128861687E-4</v>
      </c>
      <c r="CV25" s="55">
        <f>'[26]PRINCIPAIS TRIBUTOS'!D25</f>
        <v>-5.3155152106074079E-4</v>
      </c>
      <c r="CW25" s="86">
        <f>'[26]PRINCIPAIS TRIBUTOS'!E25</f>
        <v>-0.10557385129390182</v>
      </c>
    </row>
    <row r="26" spans="1:101" ht="13.8" thickBot="1" x14ac:dyDescent="0.3">
      <c r="A26" s="76" t="s">
        <v>88</v>
      </c>
      <c r="B26" s="45">
        <f>'[2]PRINCIPAIS TRIBUTOS'!B26</f>
        <v>32.338615998508502</v>
      </c>
      <c r="C26" s="46">
        <f>'[2]PRINCIPAIS TRIBUTOS'!C26</f>
        <v>2.6895566195338243</v>
      </c>
      <c r="D26" s="77">
        <f>'[2]PRINCIPAIS TRIBUTOS'!D26</f>
        <v>8.8009370576827237</v>
      </c>
      <c r="E26" s="87">
        <f>'[2]PRINCIPAIS TRIBUTOS'!E26</f>
        <v>186.44522559188027</v>
      </c>
      <c r="F26" s="45">
        <f>'[3]PRINCIPAIS TRIBUTOS'!B26</f>
        <v>38.88385128687149</v>
      </c>
      <c r="G26" s="46">
        <f>'[3]PRINCIPAIS TRIBUTOS'!C26</f>
        <v>2.955250125355517</v>
      </c>
      <c r="H26" s="77">
        <f>'[3]PRINCIPAIS TRIBUTOS'!D26</f>
        <v>9.2219048138409221</v>
      </c>
      <c r="I26" s="87">
        <f>'[3]PRINCIPAIS TRIBUTOS'!E26</f>
        <v>224.18115931109247</v>
      </c>
      <c r="J26" s="45">
        <f>'[4]PRINCIPAIS TRIBUTOS'!B26</f>
        <v>59.831182428822245</v>
      </c>
      <c r="K26" s="46">
        <f>'[4]PRINCIPAIS TRIBUTOS'!C26</f>
        <v>4.0187872696915168</v>
      </c>
      <c r="L26" s="77">
        <f>'[4]PRINCIPAIS TRIBUTOS'!D26</f>
        <v>12.076743268961303</v>
      </c>
      <c r="M26" s="87">
        <f>'[4]PRINCIPAIS TRIBUTOS'!E26</f>
        <v>335.60961358114218</v>
      </c>
      <c r="N26" s="45">
        <f>'[5]PRINCIPAIS TRIBUTOS'!B26</f>
        <v>68.090042975004053</v>
      </c>
      <c r="O26" s="46">
        <f>'[5]PRINCIPAIS TRIBUTOS'!C26</f>
        <v>3.9634473049276204</v>
      </c>
      <c r="P26" s="77">
        <f>'[5]PRINCIPAIS TRIBUTOS'!D26</f>
        <v>12.158613447356137</v>
      </c>
      <c r="Q26" s="87">
        <f>'[5]PRINCIPAIS TRIBUTOS'!E26</f>
        <v>376.98139321452106</v>
      </c>
      <c r="R26" s="45">
        <f>'[6]PRINCIPAIS TRIBUTOS'!B26</f>
        <v>78.944517856650847</v>
      </c>
      <c r="S26" s="46">
        <f>'[6]PRINCIPAIS TRIBUTOS'!C26</f>
        <v>4.0324085063243924</v>
      </c>
      <c r="T26" s="77">
        <f>'[6]PRINCIPAIS TRIBUTOS'!D26</f>
        <v>11.993036569726357</v>
      </c>
      <c r="U26" s="87">
        <f>'[6]PRINCIPAIS TRIBUTOS'!E26</f>
        <v>431.59956299874619</v>
      </c>
      <c r="V26" s="45">
        <f>'[7]PRINCIPAIS TRIBUTOS'!B26</f>
        <v>90.364446982700201</v>
      </c>
      <c r="W26" s="46">
        <f>'[7]PRINCIPAIS TRIBUTOS'!C26</f>
        <v>4.1631379090291416</v>
      </c>
      <c r="X26" s="77">
        <f>'[7]PRINCIPAIS TRIBUTOS'!D26</f>
        <v>11.981746112476085</v>
      </c>
      <c r="Y26" s="87">
        <f>'[7]PRINCIPAIS TRIBUTOS'!E26</f>
        <v>488.0586206181581</v>
      </c>
      <c r="Z26" s="45">
        <f>'[8]PRINCIPAIS TRIBUTOS'!B26</f>
        <v>100.11214190913995</v>
      </c>
      <c r="AA26" s="46">
        <f>'[8]PRINCIPAIS TRIBUTOS'!C26</f>
        <v>4.1549790163373368</v>
      </c>
      <c r="AB26" s="77">
        <f>'[8]PRINCIPAIS TRIBUTOS'!D26</f>
        <v>12.068453939490082</v>
      </c>
      <c r="AC26" s="87">
        <f>'[8]PRINCIPAIS TRIBUTOS'!E26</f>
        <v>534.40130619564422</v>
      </c>
      <c r="AD26" s="45">
        <f>'[9]PRINCIPAIS TRIBUTOS'!B26</f>
        <v>106.82730667926</v>
      </c>
      <c r="AE26" s="46">
        <f>'[9]PRINCIPAIS TRIBUTOS'!C26</f>
        <v>3.9270947948510861</v>
      </c>
      <c r="AF26" s="77">
        <f>'[9]PRINCIPAIS TRIBUTOS'!D26</f>
        <v>11.354708221702964</v>
      </c>
      <c r="AG26" s="87">
        <f>'[9]PRINCIPAIS TRIBUTOS'!E26</f>
        <v>563.84330883006533</v>
      </c>
      <c r="AH26" s="45">
        <f>'[10]PRINCIPAIS TRIBUTOS'!B26</f>
        <v>123.41940132450031</v>
      </c>
      <c r="AI26" s="46">
        <f>'[10]PRINCIPAIS TRIBUTOS'!C26</f>
        <v>3.9687208908249274</v>
      </c>
      <c r="AJ26" s="77">
        <f>'[10]PRINCIPAIS TRIBUTOS'!D26</f>
        <v>11.418356256433702</v>
      </c>
      <c r="AK26" s="87">
        <f>'[10]PRINCIPAIS TRIBUTOS'!E26</f>
        <v>644.37858134569217</v>
      </c>
      <c r="AL26" s="45">
        <f>'[11]PRINCIPAIS TRIBUTOS'!B26</f>
        <v>121.97904944799006</v>
      </c>
      <c r="AM26" s="46">
        <f>'[11]PRINCIPAIS TRIBUTOS'!C26</f>
        <v>3.659694634475926</v>
      </c>
      <c r="AN26" s="77">
        <f>'[11]PRINCIPAIS TRIBUTOS'!D26</f>
        <v>11.035092294260396</v>
      </c>
      <c r="AO26" s="87">
        <f>'[11]PRINCIPAIS TRIBUTOS'!E26</f>
        <v>630.23947518607554</v>
      </c>
      <c r="AP26" s="45">
        <f>'[12]PRINCIPAIS TRIBUTOS'!B26</f>
        <v>134.48810379672</v>
      </c>
      <c r="AQ26" s="46">
        <f>'[12]PRINCIPAIS TRIBUTOS'!C26</f>
        <v>3.4609726990465655</v>
      </c>
      <c r="AR26" s="77">
        <f>'[12]PRINCIPAIS TRIBUTOS'!D26</f>
        <v>10.41443800356102</v>
      </c>
      <c r="AS26" s="87">
        <f>'[12]PRINCIPAIS TRIBUTOS'!E26</f>
        <v>687.9264414254244</v>
      </c>
      <c r="AT26" s="45">
        <f>'[13]PRINCIPAIS TRIBUTOS'!B26</f>
        <v>155.40756120815036</v>
      </c>
      <c r="AU26" s="46">
        <f>'[13]PRINCIPAIS TRIBUTOS'!C26</f>
        <v>3.5510511013012662</v>
      </c>
      <c r="AV26" s="77">
        <f>'[13]PRINCIPAIS TRIBUTOS'!D26</f>
        <v>10.418822118007377</v>
      </c>
      <c r="AW26" s="87">
        <f>'[13]PRINCIPAIS TRIBUTOS'!E26</f>
        <v>787.28423956308382</v>
      </c>
      <c r="AX26" s="45">
        <f>'[14]PRINCIPAIS TRIBUTOS'!B26</f>
        <v>187.58171793471251</v>
      </c>
      <c r="AY26" s="46">
        <f>'[14]PRINCIPAIS TRIBUTOS'!C26</f>
        <v>3.8959723420214614</v>
      </c>
      <c r="AZ26" s="77">
        <f>'[14]PRINCIPAIS TRIBUTOS'!D26</f>
        <v>11.4510983629579</v>
      </c>
      <c r="BA26" s="87">
        <f>'[14]PRINCIPAIS TRIBUTOS'!E26</f>
        <v>941.47460361492881</v>
      </c>
      <c r="BB26" s="45">
        <f>'[15]PRINCIPAIS TRIBUTOS'!B26</f>
        <v>201.64572639202424</v>
      </c>
      <c r="BC26" s="46">
        <f>'[15]PRINCIPAIS TRIBUTOS'!C26</f>
        <v>3.7820730699628808</v>
      </c>
      <c r="BD26" s="77">
        <f>'[15]PRINCIPAIS TRIBUTOS'!D26</f>
        <v>11.251006733506435</v>
      </c>
      <c r="BE26" s="87">
        <f>'[15]PRINCIPAIS TRIBUTOS'!E26</f>
        <v>1003.0493166004028</v>
      </c>
      <c r="BF26" s="45">
        <f>'[16]PRINCIPAIS TRIBUTOS'!B26</f>
        <v>204.9426776906389</v>
      </c>
      <c r="BG26" s="46">
        <f>'[16]PRINCIPAIS TRIBUTOS'!C26</f>
        <v>3.54636346221606</v>
      </c>
      <c r="BH26" s="77">
        <f>'[16]PRINCIPAIS TRIBUTOS'!D26</f>
        <v>10.787698580918343</v>
      </c>
      <c r="BI26" s="87">
        <f>'[16]PRINCIPAIS TRIBUTOS'!E26</f>
        <v>1010.7221537165062</v>
      </c>
      <c r="BJ26" s="45">
        <f>'[17]PRINCIPAIS TRIBUTOS'!B26</f>
        <v>205.74961372296752</v>
      </c>
      <c r="BK26" s="46">
        <f>'[17]PRINCIPAIS TRIBUTOS'!C26</f>
        <v>3.431569762617777</v>
      </c>
      <c r="BL26" s="77">
        <f>'[17]PRINCIPAIS TRIBUTOS'!D26</f>
        <v>10.449282625569149</v>
      </c>
      <c r="BM26" s="87">
        <f>'[17]PRINCIPAIS TRIBUTOS'!E26</f>
        <v>1006.3534389806096</v>
      </c>
      <c r="BN26" s="45">
        <f>'[18]PRINCIPAIS TRIBUTOS'!B26</f>
        <v>232.54346895606159</v>
      </c>
      <c r="BO26" s="46">
        <f>'[18]PRINCIPAIS TRIBUTOS'!C26</f>
        <v>3.7104812904007702</v>
      </c>
      <c r="BP26" s="77">
        <f>'[18]PRINCIPAIS TRIBUTOS'!D26</f>
        <v>11.14698105902893</v>
      </c>
      <c r="BQ26" s="87">
        <f>'[18]PRINCIPAIS TRIBUTOS'!E26</f>
        <v>1128.4057311677725</v>
      </c>
      <c r="BR26" s="45">
        <f>'[19]PRINCIPAIS TRIBUTOS'!B26</f>
        <v>235.54327352278756</v>
      </c>
      <c r="BS26" s="46">
        <f>'[19]PRINCIPAIS TRIBUTOS'!C26</f>
        <v>3.5939720351270452</v>
      </c>
      <c r="BT26" s="77">
        <f>'[19]PRINCIPAIS TRIBUTOS'!D26</f>
        <v>10.689969900566863</v>
      </c>
      <c r="BU26" s="87">
        <f>'[19]PRINCIPAIS TRIBUTOS'!E26</f>
        <v>1134.2686111299615</v>
      </c>
      <c r="BV26" s="45">
        <f>'[20]PRINCIPAIS TRIBUTOS'!B26</f>
        <v>251.09449930742812</v>
      </c>
      <c r="BW26" s="46">
        <f>'[20]PRINCIPAIS TRIBUTOS'!C26</f>
        <v>3.6447681937964709</v>
      </c>
      <c r="BX26" s="77">
        <f>'[20]PRINCIPAIS TRIBUTOS'!D26</f>
        <v>10.582204521606567</v>
      </c>
      <c r="BY26" s="87">
        <f>'[20]PRINCIPAIS TRIBUTOS'!E26</f>
        <v>1204.3196227218418</v>
      </c>
      <c r="BZ26" s="45">
        <f>'[21]PRINCIPAIS TRIBUTOS'!B26</f>
        <v>247.83673459592956</v>
      </c>
      <c r="CA26" s="46">
        <f>'[21]PRINCIPAIS TRIBUTOS'!C26</f>
        <v>3.354071467888843</v>
      </c>
      <c r="CB26" s="77">
        <f>'[21]PRINCIPAIS TRIBUTOS'!D26</f>
        <v>9.9256807928007831</v>
      </c>
      <c r="CC26" s="87">
        <f>'[21]PRINCIPAIS TRIBUTOS'!E26</f>
        <v>1179.348680577617</v>
      </c>
      <c r="CD26" s="45">
        <f>'[22]PRINCIPAIS TRIBUTOS'!B26</f>
        <v>240.53540804001341</v>
      </c>
      <c r="CE26" s="46">
        <f>'[22]PRINCIPAIS TRIBUTOS'!C26</f>
        <v>3.1609480507313776</v>
      </c>
      <c r="CF26" s="77">
        <f>'[22]PRINCIPAIS TRIBUTOS'!D26</f>
        <v>9.8115350625387254</v>
      </c>
      <c r="CG26" s="87">
        <f>'[22]PRINCIPAIS TRIBUTOS'!E26</f>
        <v>1135.9099997180401</v>
      </c>
      <c r="CH26" s="45">
        <f>'[23]PRINCIPAIS TRIBUTOS'!B26</f>
        <v>326.16324367731568</v>
      </c>
      <c r="CI26" s="46">
        <f>'[23]PRINCIPAIS TRIBUTOS'!C26</f>
        <v>3.6652798054970743</v>
      </c>
      <c r="CJ26" s="77">
        <f>'[23]PRINCIPAIS TRIBUTOS'!D26</f>
        <v>10.655567064980108</v>
      </c>
      <c r="CK26" s="87">
        <f>'[23]PRINCIPAIS TRIBUTOS'!E26</f>
        <v>1529.0026891649391</v>
      </c>
      <c r="CL26" s="45">
        <f>'[24]PRINCIPAIS TRIBUTOS'!B26</f>
        <v>385.48546289514024</v>
      </c>
      <c r="CM26" s="46">
        <f>'[24]PRINCIPAIS TRIBUTOS'!C26</f>
        <v>3.8243834712062199</v>
      </c>
      <c r="CN26" s="77">
        <f>'[24]PRINCIPAIS TRIBUTOS'!D26</f>
        <v>10.955970766252394</v>
      </c>
      <c r="CO26" s="87">
        <f>'[24]PRINCIPAIS TRIBUTOS'!E26</f>
        <v>1898.1880434556795</v>
      </c>
      <c r="CP26" s="45">
        <f>'[25]PRINCIPAIS TRIBUTOS'!B26</f>
        <v>386.28260032359913</v>
      </c>
      <c r="CQ26" s="46">
        <f>'[25]PRINCIPAIS TRIBUTOS'!C26</f>
        <v>3.5298406074377189</v>
      </c>
      <c r="CR26" s="77">
        <f>'[25]PRINCIPAIS TRIBUTOS'!D26</f>
        <v>10.20834763861256</v>
      </c>
      <c r="CS26" s="87">
        <f>'[25]PRINCIPAIS TRIBUTOS'!E26</f>
        <v>1858.6268240261973</v>
      </c>
      <c r="CT26" s="45">
        <f>'[26]PRINCIPAIS TRIBUTOS'!B26</f>
        <v>438.46848260882916</v>
      </c>
      <c r="CU26" s="46">
        <f>'[26]PRINCIPAIS TRIBUTOS'!C26</f>
        <v>3.7333277700522776</v>
      </c>
      <c r="CV26" s="77">
        <f>'[26]PRINCIPAIS TRIBUTOS'!D26</f>
        <v>10.384780422612563</v>
      </c>
      <c r="CW26" s="87">
        <f>'[26]PRINCIPAIS TRIBUTOS'!E26</f>
        <v>2062.5682001038608</v>
      </c>
    </row>
    <row r="27" spans="1:101" x14ac:dyDescent="0.25">
      <c r="A27" s="49" t="s">
        <v>105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</row>
  </sheetData>
  <mergeCells count="26">
    <mergeCell ref="CT3:CW3"/>
    <mergeCell ref="BF3:BI3"/>
    <mergeCell ref="BZ3:CC3"/>
    <mergeCell ref="AX3:BA3"/>
    <mergeCell ref="BB3:BE3"/>
    <mergeCell ref="CD3:CG3"/>
    <mergeCell ref="BV3:BY3"/>
    <mergeCell ref="BR3:BU3"/>
    <mergeCell ref="BN3:BQ3"/>
    <mergeCell ref="BJ3:BM3"/>
    <mergeCell ref="CP3:CS3"/>
    <mergeCell ref="CL3:CO3"/>
    <mergeCell ref="CH3:CK3"/>
    <mergeCell ref="AT3:AW3"/>
    <mergeCell ref="A3:A4"/>
    <mergeCell ref="AH3:AK3"/>
    <mergeCell ref="AL3:AO3"/>
    <mergeCell ref="AP3:AS3"/>
    <mergeCell ref="AD3:AG3"/>
    <mergeCell ref="V3:Y3"/>
    <mergeCell ref="Z3:AC3"/>
    <mergeCell ref="B3:E3"/>
    <mergeCell ref="R3:U3"/>
    <mergeCell ref="F3:I3"/>
    <mergeCell ref="J3:M3"/>
    <mergeCell ref="N3:Q3"/>
  </mergeCells>
  <phoneticPr fontId="0" type="noConversion"/>
  <printOptions horizontalCentered="1" verticalCentered="1" gridLines="1"/>
  <pageMargins left="0" right="0" top="0" bottom="0" header="0" footer="0"/>
  <pageSetup paperSize="9" orientation="landscape" horizontalDpi="4294967294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W26"/>
  <sheetViews>
    <sheetView showZeros="0" zoomScaleNormal="100" workbookViewId="0">
      <pane xSplit="1" ySplit="4" topLeftCell="CG5" activePane="bottomRight" state="frozen"/>
      <selection pane="topRight" activeCell="B1" sqref="B1"/>
      <selection pane="bottomLeft" activeCell="A5" sqref="A5"/>
      <selection pane="bottomRight" activeCell="CU22" sqref="CU22"/>
    </sheetView>
  </sheetViews>
  <sheetFormatPr defaultColWidth="9.109375" defaultRowHeight="13.2" x14ac:dyDescent="0.25"/>
  <cols>
    <col min="1" max="1" width="42" style="43" customWidth="1"/>
    <col min="2" max="101" width="12.6640625" style="43" customWidth="1"/>
    <col min="102" max="16384" width="9.109375" style="43"/>
  </cols>
  <sheetData>
    <row r="1" spans="1:101" x14ac:dyDescent="0.25">
      <c r="A1" s="61" t="s">
        <v>128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1"/>
      <c r="CU1" s="61"/>
      <c r="CV1" s="61"/>
      <c r="CW1" s="61"/>
    </row>
    <row r="2" spans="1:101" ht="13.8" thickBot="1" x14ac:dyDescent="0.3">
      <c r="A2" s="43" t="s">
        <v>122</v>
      </c>
    </row>
    <row r="3" spans="1:101" x14ac:dyDescent="0.25">
      <c r="A3" s="115" t="s">
        <v>83</v>
      </c>
      <c r="B3" s="110">
        <v>2000</v>
      </c>
      <c r="C3" s="111"/>
      <c r="D3" s="111"/>
      <c r="E3" s="112"/>
      <c r="F3" s="110">
        <v>2001</v>
      </c>
      <c r="G3" s="111"/>
      <c r="H3" s="111"/>
      <c r="I3" s="112"/>
      <c r="J3" s="110">
        <v>2002</v>
      </c>
      <c r="K3" s="111"/>
      <c r="L3" s="111"/>
      <c r="M3" s="112"/>
      <c r="N3" s="110">
        <v>2003</v>
      </c>
      <c r="O3" s="111"/>
      <c r="P3" s="111"/>
      <c r="Q3" s="112"/>
      <c r="R3" s="110">
        <v>2004</v>
      </c>
      <c r="S3" s="111"/>
      <c r="T3" s="111"/>
      <c r="U3" s="112"/>
      <c r="V3" s="110">
        <v>2005</v>
      </c>
      <c r="W3" s="111"/>
      <c r="X3" s="111"/>
      <c r="Y3" s="112"/>
      <c r="Z3" s="110">
        <v>2006</v>
      </c>
      <c r="AA3" s="111"/>
      <c r="AB3" s="111"/>
      <c r="AC3" s="112"/>
      <c r="AD3" s="110">
        <v>2007</v>
      </c>
      <c r="AE3" s="111"/>
      <c r="AF3" s="111"/>
      <c r="AG3" s="112"/>
      <c r="AH3" s="110">
        <v>2008</v>
      </c>
      <c r="AI3" s="111"/>
      <c r="AJ3" s="111"/>
      <c r="AK3" s="112"/>
      <c r="AL3" s="110">
        <v>2009</v>
      </c>
      <c r="AM3" s="111"/>
      <c r="AN3" s="111"/>
      <c r="AO3" s="112"/>
      <c r="AP3" s="110">
        <v>2010</v>
      </c>
      <c r="AQ3" s="111"/>
      <c r="AR3" s="111"/>
      <c r="AS3" s="112"/>
      <c r="AT3" s="110">
        <v>2011</v>
      </c>
      <c r="AU3" s="111"/>
      <c r="AV3" s="111"/>
      <c r="AW3" s="112"/>
      <c r="AX3" s="110">
        <v>2012</v>
      </c>
      <c r="AY3" s="111"/>
      <c r="AZ3" s="111"/>
      <c r="BA3" s="112"/>
      <c r="BB3" s="110">
        <v>2013</v>
      </c>
      <c r="BC3" s="111"/>
      <c r="BD3" s="111"/>
      <c r="BE3" s="112"/>
      <c r="BF3" s="110">
        <v>2014</v>
      </c>
      <c r="BG3" s="111"/>
      <c r="BH3" s="111"/>
      <c r="BI3" s="112"/>
      <c r="BJ3" s="110">
        <v>2015</v>
      </c>
      <c r="BK3" s="111"/>
      <c r="BL3" s="111"/>
      <c r="BM3" s="112"/>
      <c r="BN3" s="110">
        <v>2016</v>
      </c>
      <c r="BO3" s="111"/>
      <c r="BP3" s="111"/>
      <c r="BQ3" s="112"/>
      <c r="BR3" s="110">
        <v>2017</v>
      </c>
      <c r="BS3" s="111"/>
      <c r="BT3" s="111"/>
      <c r="BU3" s="112"/>
      <c r="BV3" s="110">
        <v>2018</v>
      </c>
      <c r="BW3" s="111"/>
      <c r="BX3" s="111"/>
      <c r="BY3" s="112"/>
      <c r="BZ3" s="110">
        <v>2019</v>
      </c>
      <c r="CA3" s="111"/>
      <c r="CB3" s="111"/>
      <c r="CC3" s="112"/>
      <c r="CD3" s="110">
        <v>2020</v>
      </c>
      <c r="CE3" s="111"/>
      <c r="CF3" s="111"/>
      <c r="CG3" s="112"/>
      <c r="CH3" s="110">
        <v>2021</v>
      </c>
      <c r="CI3" s="111"/>
      <c r="CJ3" s="111"/>
      <c r="CK3" s="112"/>
      <c r="CL3" s="110">
        <v>2022</v>
      </c>
      <c r="CM3" s="111"/>
      <c r="CN3" s="111"/>
      <c r="CO3" s="112"/>
      <c r="CP3" s="110">
        <v>2023</v>
      </c>
      <c r="CQ3" s="111"/>
      <c r="CR3" s="111"/>
      <c r="CS3" s="112"/>
      <c r="CT3" s="110">
        <v>2024</v>
      </c>
      <c r="CU3" s="111"/>
      <c r="CV3" s="111"/>
      <c r="CW3" s="112"/>
    </row>
    <row r="4" spans="1:101" ht="22.8" x14ac:dyDescent="0.25">
      <c r="A4" s="116"/>
      <c r="B4" s="79" t="s">
        <v>84</v>
      </c>
      <c r="C4" s="80" t="s">
        <v>81</v>
      </c>
      <c r="D4" s="80" t="s">
        <v>82</v>
      </c>
      <c r="E4" s="18" t="s">
        <v>116</v>
      </c>
      <c r="F4" s="79" t="s">
        <v>84</v>
      </c>
      <c r="G4" s="80" t="s">
        <v>81</v>
      </c>
      <c r="H4" s="80" t="s">
        <v>82</v>
      </c>
      <c r="I4" s="18" t="s">
        <v>116</v>
      </c>
      <c r="J4" s="79" t="s">
        <v>84</v>
      </c>
      <c r="K4" s="80" t="s">
        <v>81</v>
      </c>
      <c r="L4" s="80" t="s">
        <v>82</v>
      </c>
      <c r="M4" s="18" t="s">
        <v>116</v>
      </c>
      <c r="N4" s="79" t="s">
        <v>84</v>
      </c>
      <c r="O4" s="80" t="s">
        <v>81</v>
      </c>
      <c r="P4" s="80" t="s">
        <v>82</v>
      </c>
      <c r="Q4" s="18" t="s">
        <v>116</v>
      </c>
      <c r="R4" s="79" t="s">
        <v>84</v>
      </c>
      <c r="S4" s="80" t="s">
        <v>81</v>
      </c>
      <c r="T4" s="80" t="s">
        <v>82</v>
      </c>
      <c r="U4" s="18" t="s">
        <v>116</v>
      </c>
      <c r="V4" s="79" t="s">
        <v>84</v>
      </c>
      <c r="W4" s="80" t="s">
        <v>81</v>
      </c>
      <c r="X4" s="80" t="s">
        <v>82</v>
      </c>
      <c r="Y4" s="18" t="s">
        <v>116</v>
      </c>
      <c r="Z4" s="79" t="s">
        <v>84</v>
      </c>
      <c r="AA4" s="80" t="s">
        <v>81</v>
      </c>
      <c r="AB4" s="80" t="s">
        <v>82</v>
      </c>
      <c r="AC4" s="18" t="s">
        <v>116</v>
      </c>
      <c r="AD4" s="79" t="s">
        <v>84</v>
      </c>
      <c r="AE4" s="80" t="s">
        <v>81</v>
      </c>
      <c r="AF4" s="80" t="s">
        <v>82</v>
      </c>
      <c r="AG4" s="18" t="s">
        <v>116</v>
      </c>
      <c r="AH4" s="79" t="s">
        <v>84</v>
      </c>
      <c r="AI4" s="80" t="s">
        <v>81</v>
      </c>
      <c r="AJ4" s="80" t="s">
        <v>82</v>
      </c>
      <c r="AK4" s="18" t="s">
        <v>116</v>
      </c>
      <c r="AL4" s="79" t="s">
        <v>84</v>
      </c>
      <c r="AM4" s="80" t="s">
        <v>81</v>
      </c>
      <c r="AN4" s="80" t="s">
        <v>82</v>
      </c>
      <c r="AO4" s="18" t="s">
        <v>116</v>
      </c>
      <c r="AP4" s="79" t="s">
        <v>84</v>
      </c>
      <c r="AQ4" s="80" t="s">
        <v>81</v>
      </c>
      <c r="AR4" s="80" t="s">
        <v>82</v>
      </c>
      <c r="AS4" s="18" t="s">
        <v>116</v>
      </c>
      <c r="AT4" s="79" t="s">
        <v>84</v>
      </c>
      <c r="AU4" s="80" t="s">
        <v>81</v>
      </c>
      <c r="AV4" s="80" t="s">
        <v>82</v>
      </c>
      <c r="AW4" s="18" t="s">
        <v>116</v>
      </c>
      <c r="AX4" s="79" t="s">
        <v>84</v>
      </c>
      <c r="AY4" s="80" t="s">
        <v>81</v>
      </c>
      <c r="AZ4" s="80" t="s">
        <v>82</v>
      </c>
      <c r="BA4" s="18" t="s">
        <v>116</v>
      </c>
      <c r="BB4" s="79" t="s">
        <v>84</v>
      </c>
      <c r="BC4" s="80" t="s">
        <v>81</v>
      </c>
      <c r="BD4" s="80" t="s">
        <v>82</v>
      </c>
      <c r="BE4" s="18" t="s">
        <v>116</v>
      </c>
      <c r="BF4" s="79" t="s">
        <v>84</v>
      </c>
      <c r="BG4" s="80" t="s">
        <v>81</v>
      </c>
      <c r="BH4" s="80" t="s">
        <v>82</v>
      </c>
      <c r="BI4" s="18" t="s">
        <v>116</v>
      </c>
      <c r="BJ4" s="79" t="s">
        <v>84</v>
      </c>
      <c r="BK4" s="80" t="s">
        <v>81</v>
      </c>
      <c r="BL4" s="80" t="s">
        <v>82</v>
      </c>
      <c r="BM4" s="18" t="s">
        <v>116</v>
      </c>
      <c r="BN4" s="79" t="s">
        <v>84</v>
      </c>
      <c r="BO4" s="80" t="s">
        <v>81</v>
      </c>
      <c r="BP4" s="80" t="s">
        <v>82</v>
      </c>
      <c r="BQ4" s="18" t="s">
        <v>116</v>
      </c>
      <c r="BR4" s="79" t="s">
        <v>84</v>
      </c>
      <c r="BS4" s="80" t="s">
        <v>81</v>
      </c>
      <c r="BT4" s="80" t="s">
        <v>82</v>
      </c>
      <c r="BU4" s="18" t="s">
        <v>116</v>
      </c>
      <c r="BV4" s="79" t="s">
        <v>84</v>
      </c>
      <c r="BW4" s="80" t="s">
        <v>81</v>
      </c>
      <c r="BX4" s="80" t="s">
        <v>82</v>
      </c>
      <c r="BY4" s="18" t="s">
        <v>116</v>
      </c>
      <c r="BZ4" s="79" t="s">
        <v>84</v>
      </c>
      <c r="CA4" s="80" t="s">
        <v>81</v>
      </c>
      <c r="CB4" s="80" t="s">
        <v>82</v>
      </c>
      <c r="CC4" s="18" t="s">
        <v>116</v>
      </c>
      <c r="CD4" s="79" t="s">
        <v>84</v>
      </c>
      <c r="CE4" s="80" t="s">
        <v>81</v>
      </c>
      <c r="CF4" s="80" t="s">
        <v>82</v>
      </c>
      <c r="CG4" s="18" t="s">
        <v>116</v>
      </c>
      <c r="CH4" s="79" t="s">
        <v>84</v>
      </c>
      <c r="CI4" s="80" t="s">
        <v>81</v>
      </c>
      <c r="CJ4" s="80" t="s">
        <v>82</v>
      </c>
      <c r="CK4" s="18" t="s">
        <v>116</v>
      </c>
      <c r="CL4" s="79" t="s">
        <v>84</v>
      </c>
      <c r="CM4" s="80" t="s">
        <v>81</v>
      </c>
      <c r="CN4" s="80" t="s">
        <v>82</v>
      </c>
      <c r="CO4" s="18" t="s">
        <v>116</v>
      </c>
      <c r="CP4" s="79" t="s">
        <v>84</v>
      </c>
      <c r="CQ4" s="80" t="s">
        <v>81</v>
      </c>
      <c r="CR4" s="80" t="s">
        <v>82</v>
      </c>
      <c r="CS4" s="18" t="s">
        <v>116</v>
      </c>
      <c r="CT4" s="79" t="s">
        <v>84</v>
      </c>
      <c r="CU4" s="80" t="s">
        <v>81</v>
      </c>
      <c r="CV4" s="80" t="s">
        <v>82</v>
      </c>
      <c r="CW4" s="18" t="s">
        <v>116</v>
      </c>
    </row>
    <row r="5" spans="1:101" x14ac:dyDescent="0.25">
      <c r="A5" s="64" t="s">
        <v>2</v>
      </c>
      <c r="B5" s="20">
        <f>'[2]Bases de Incidência'!B5</f>
        <v>1202.3772157699991</v>
      </c>
      <c r="C5" s="82">
        <f>'[2]Bases de Incidência'!C5</f>
        <v>0</v>
      </c>
      <c r="D5" s="82">
        <f>'[2]Bases de Incidência'!D5</f>
        <v>0</v>
      </c>
      <c r="E5" s="83">
        <f>'[2]Bases de Incidência'!E5</f>
        <v>0</v>
      </c>
      <c r="F5" s="20">
        <f>'[3]Bases de Incidência'!B5</f>
        <v>1315.7550000000001</v>
      </c>
      <c r="G5" s="82">
        <f>'[3]Bases de Incidência'!C5</f>
        <v>0</v>
      </c>
      <c r="H5" s="82">
        <f>'[3]Bases de Incidência'!D5</f>
        <v>0</v>
      </c>
      <c r="I5" s="83">
        <f>'[3]Bases de Incidência'!E5</f>
        <v>0</v>
      </c>
      <c r="J5" s="20">
        <f>'[4]Bases de Incidência'!B5</f>
        <v>1488.787</v>
      </c>
      <c r="K5" s="82">
        <f>'[4]Bases de Incidência'!C5</f>
        <v>0</v>
      </c>
      <c r="L5" s="82">
        <f>'[4]Bases de Incidência'!D5</f>
        <v>0</v>
      </c>
      <c r="M5" s="83">
        <f>'[4]Bases de Incidência'!E5</f>
        <v>0</v>
      </c>
      <c r="N5" s="20">
        <f>'[5]Bases de Incidência'!B5</f>
        <v>1717.95</v>
      </c>
      <c r="O5" s="82">
        <f>'[5]Bases de Incidência'!C5</f>
        <v>0</v>
      </c>
      <c r="P5" s="82">
        <f>'[5]Bases de Incidência'!D5</f>
        <v>0</v>
      </c>
      <c r="Q5" s="83">
        <f>'[5]Bases de Incidência'!E5</f>
        <v>0</v>
      </c>
      <c r="R5" s="20">
        <f>'[6]Bases de Incidência'!B5</f>
        <v>1957.751</v>
      </c>
      <c r="S5" s="82">
        <f>'[6]Bases de Incidência'!C5</f>
        <v>0</v>
      </c>
      <c r="T5" s="82">
        <f>'[6]Bases de Incidência'!D5</f>
        <v>0</v>
      </c>
      <c r="U5" s="83">
        <f>'[6]Bases de Incidência'!E5</f>
        <v>0</v>
      </c>
      <c r="V5" s="20">
        <f>'[7]Bases de Incidência'!B5</f>
        <v>2170.585</v>
      </c>
      <c r="W5" s="82">
        <f>'[7]Bases de Incidência'!C5</f>
        <v>0</v>
      </c>
      <c r="X5" s="82">
        <f>'[7]Bases de Incidência'!D5</f>
        <v>0</v>
      </c>
      <c r="Y5" s="83">
        <f>'[7]Bases de Incidência'!E5</f>
        <v>0</v>
      </c>
      <c r="Z5" s="20">
        <f>'[8]Bases de Incidência'!B5</f>
        <v>2409.4499999999998</v>
      </c>
      <c r="AA5" s="82">
        <f>'[8]Bases de Incidência'!C5</f>
        <v>0</v>
      </c>
      <c r="AB5" s="82">
        <f>'[8]Bases de Incidência'!D5</f>
        <v>0</v>
      </c>
      <c r="AC5" s="83">
        <f>'[8]Bases de Incidência'!E5</f>
        <v>0</v>
      </c>
      <c r="AD5" s="20">
        <f>'[9]Bases de Incidência'!B5</f>
        <v>2720.2629999999999</v>
      </c>
      <c r="AE5" s="82">
        <f>'[9]Bases de Incidência'!C5</f>
        <v>0</v>
      </c>
      <c r="AF5" s="82">
        <f>'[9]Bases de Incidência'!D5</f>
        <v>0</v>
      </c>
      <c r="AG5" s="83">
        <f>'[9]Bases de Incidência'!E5</f>
        <v>0</v>
      </c>
      <c r="AH5" s="20">
        <f>'[10]Bases de Incidência'!B5</f>
        <v>3109.8029999999999</v>
      </c>
      <c r="AI5" s="82">
        <f>'[10]Bases de Incidência'!C5</f>
        <v>0</v>
      </c>
      <c r="AJ5" s="82">
        <f>'[10]Bases de Incidência'!D5</f>
        <v>0</v>
      </c>
      <c r="AK5" s="83">
        <f>'[10]Bases de Incidência'!E5</f>
        <v>0</v>
      </c>
      <c r="AL5" s="20">
        <f>'[11]Bases de Incidência'!B5</f>
        <v>3333.0390000000002</v>
      </c>
      <c r="AM5" s="82">
        <f>'[11]Bases de Incidência'!C5</f>
        <v>0</v>
      </c>
      <c r="AN5" s="82">
        <f>'[11]Bases de Incidência'!D5</f>
        <v>0</v>
      </c>
      <c r="AO5" s="83">
        <f>'[11]Bases de Incidência'!E5</f>
        <v>0</v>
      </c>
      <c r="AP5" s="20">
        <f>'[12]Bases de Incidência'!B5</f>
        <v>3885.8470000000002</v>
      </c>
      <c r="AQ5" s="82">
        <f>'[12]Bases de Incidência'!C5</f>
        <v>0</v>
      </c>
      <c r="AR5" s="82">
        <f>'[12]Bases de Incidência'!D5</f>
        <v>0</v>
      </c>
      <c r="AS5" s="83">
        <f>'[12]Bases de Incidência'!E5</f>
        <v>0</v>
      </c>
      <c r="AT5" s="20">
        <f>'[13]Bases de Incidência'!B5</f>
        <v>4376.3819999999996</v>
      </c>
      <c r="AU5" s="82">
        <f>'[13]Bases de Incidência'!C5</f>
        <v>0</v>
      </c>
      <c r="AV5" s="82">
        <f>'[13]Bases de Incidência'!D5</f>
        <v>0</v>
      </c>
      <c r="AW5" s="83">
        <f>'[13]Bases de Incidência'!E5</f>
        <v>0</v>
      </c>
      <c r="AX5" s="20">
        <f>'[14]Bases de Incidência'!B5</f>
        <v>4814.76</v>
      </c>
      <c r="AY5" s="82">
        <f>'[14]Bases de Incidência'!C5</f>
        <v>0</v>
      </c>
      <c r="AZ5" s="82">
        <f>'[14]Bases de Incidência'!D5</f>
        <v>0</v>
      </c>
      <c r="BA5" s="83">
        <f>'[14]Bases de Incidência'!E5</f>
        <v>0</v>
      </c>
      <c r="BB5" s="20">
        <f>'[15]Bases de Incidência'!B5</f>
        <v>5331.6189999999997</v>
      </c>
      <c r="BC5" s="82">
        <f>'[15]Bases de Incidência'!C5</f>
        <v>0</v>
      </c>
      <c r="BD5" s="82">
        <f>'[15]Bases de Incidência'!D5</f>
        <v>0</v>
      </c>
      <c r="BE5" s="83">
        <f>'[15]Bases de Incidência'!E5</f>
        <v>0</v>
      </c>
      <c r="BF5" s="20">
        <f>'[16]Bases de Incidência'!B5</f>
        <v>5778.9530000000004</v>
      </c>
      <c r="BG5" s="82">
        <f>'[16]Bases de Incidência'!C5</f>
        <v>0</v>
      </c>
      <c r="BH5" s="82">
        <f>'[16]Bases de Incidência'!D5</f>
        <v>0</v>
      </c>
      <c r="BI5" s="83">
        <f>'[16]Bases de Incidência'!E5</f>
        <v>0</v>
      </c>
      <c r="BJ5" s="20">
        <f>'[17]Bases de Incidência'!B5</f>
        <v>5995.7870000000003</v>
      </c>
      <c r="BK5" s="82">
        <f>'[17]Bases de Incidência'!C5</f>
        <v>0</v>
      </c>
      <c r="BL5" s="82">
        <f>'[17]Bases de Incidência'!D5</f>
        <v>0</v>
      </c>
      <c r="BM5" s="83">
        <f>'[17]Bases de Incidência'!E5</f>
        <v>0</v>
      </c>
      <c r="BN5" s="20">
        <f>'[18]Bases de Incidência'!B5</f>
        <v>6267.2049999999999</v>
      </c>
      <c r="BO5" s="82">
        <f>'[18]Bases de Incidência'!C5</f>
        <v>0</v>
      </c>
      <c r="BP5" s="82">
        <f>'[18]Bases de Incidência'!D5</f>
        <v>0</v>
      </c>
      <c r="BQ5" s="83">
        <f>'[18]Bases de Incidência'!E5</f>
        <v>0</v>
      </c>
      <c r="BR5" s="20">
        <f>'[19]Bases de Incidência'!B5</f>
        <v>6553.8426904999897</v>
      </c>
      <c r="BS5" s="82">
        <f>'[19]Bases de Incidência'!C5</f>
        <v>0</v>
      </c>
      <c r="BT5" s="82">
        <f>'[19]Bases de Incidência'!D5</f>
        <v>0</v>
      </c>
      <c r="BU5" s="83">
        <f>'[19]Bases de Incidência'!E5</f>
        <v>0</v>
      </c>
      <c r="BV5" s="20">
        <f>'[20]Bases de Incidência'!B5</f>
        <v>6889.1760999999997</v>
      </c>
      <c r="BW5" s="82">
        <f>'[20]Bases de Incidência'!C5</f>
        <v>0</v>
      </c>
      <c r="BX5" s="82">
        <f>'[20]Bases de Incidência'!D5</f>
        <v>0</v>
      </c>
      <c r="BY5" s="83">
        <f>'[20]Bases de Incidência'!E5</f>
        <v>0</v>
      </c>
      <c r="BZ5" s="20">
        <f>'[21]Bases de Incidência'!B5</f>
        <v>7389.1310000000003</v>
      </c>
      <c r="CA5" s="82">
        <f>'[21]Bases de Incidência'!C5</f>
        <v>0</v>
      </c>
      <c r="CB5" s="82">
        <f>'[21]Bases de Incidência'!D5</f>
        <v>0</v>
      </c>
      <c r="CC5" s="83">
        <f>'[21]Bases de Incidência'!E5</f>
        <v>0</v>
      </c>
      <c r="CD5" s="20">
        <f>'[22]Bases de Incidência'!B5</f>
        <v>7609.5969999999998</v>
      </c>
      <c r="CE5" s="82">
        <f>'[22]Bases de Incidência'!C5</f>
        <v>0</v>
      </c>
      <c r="CF5" s="82">
        <f>'[22]Bases de Incidência'!D5</f>
        <v>0</v>
      </c>
      <c r="CG5" s="83">
        <f>'[22]Bases de Incidência'!E5</f>
        <v>0</v>
      </c>
      <c r="CH5" s="20">
        <f>'[23]Bases de Incidência'!B5</f>
        <v>8898.7270000000008</v>
      </c>
      <c r="CI5" s="82">
        <f>'[23]Bases de Incidência'!C5</f>
        <v>0</v>
      </c>
      <c r="CJ5" s="82">
        <f>'[23]Bases de Incidência'!D5</f>
        <v>0</v>
      </c>
      <c r="CK5" s="83">
        <f>'[23]Bases de Incidência'!E5</f>
        <v>0</v>
      </c>
      <c r="CL5" s="20">
        <f>'[24]Bases de Incidência'!B5</f>
        <v>10079.675999999999</v>
      </c>
      <c r="CM5" s="82">
        <f>'[24]Bases de Incidência'!C5</f>
        <v>0</v>
      </c>
      <c r="CN5" s="82">
        <f>'[24]Bases de Incidência'!D5</f>
        <v>0</v>
      </c>
      <c r="CO5" s="83">
        <f>'[24]Bases de Incidência'!E5</f>
        <v>0</v>
      </c>
      <c r="CP5" s="20">
        <f>'[25]Bases de Incidência'!B5</f>
        <v>10943.343999999999</v>
      </c>
      <c r="CQ5" s="82">
        <f>'[25]Bases de Incidência'!C5</f>
        <v>0</v>
      </c>
      <c r="CR5" s="82">
        <f>'[25]Bases de Incidência'!D5</f>
        <v>0</v>
      </c>
      <c r="CS5" s="83">
        <f>'[25]Bases de Incidência'!E5</f>
        <v>0</v>
      </c>
      <c r="CT5" s="20">
        <f>'[26]Bases de Incidência'!B5</f>
        <v>11744.709000000001</v>
      </c>
      <c r="CU5" s="82">
        <f>'[26]Bases de Incidência'!C5</f>
        <v>0</v>
      </c>
      <c r="CV5" s="82">
        <f>'[26]Bases de Incidência'!D5</f>
        <v>0</v>
      </c>
      <c r="CW5" s="83">
        <f>'[26]Bases de Incidência'!E5</f>
        <v>0</v>
      </c>
    </row>
    <row r="6" spans="1:101" x14ac:dyDescent="0.25">
      <c r="A6" s="64" t="s">
        <v>121</v>
      </c>
      <c r="B6" s="23">
        <f>'[2]Bases de Incidência'!B6</f>
        <v>173448346</v>
      </c>
      <c r="C6" s="82">
        <f>'[2]Bases de Incidência'!C6</f>
        <v>0</v>
      </c>
      <c r="D6" s="82">
        <f>'[2]Bases de Incidência'!D6</f>
        <v>0</v>
      </c>
      <c r="E6" s="83">
        <f>'[2]Bases de Incidência'!E6</f>
        <v>0</v>
      </c>
      <c r="F6" s="23">
        <f>'[3]Bases de Incidência'!B6</f>
        <v>173448346</v>
      </c>
      <c r="G6" s="82">
        <f>'[3]Bases de Incidência'!C6</f>
        <v>0</v>
      </c>
      <c r="H6" s="82">
        <f>'[3]Bases de Incidência'!D6</f>
        <v>0</v>
      </c>
      <c r="I6" s="83">
        <f>'[3]Bases de Incidência'!E6</f>
        <v>0</v>
      </c>
      <c r="J6" s="23">
        <f>'[4]Bases de Incidência'!B6</f>
        <v>178276128</v>
      </c>
      <c r="K6" s="82">
        <f>'[4]Bases de Incidência'!C6</f>
        <v>0</v>
      </c>
      <c r="L6" s="82">
        <f>'[4]Bases de Incidência'!D6</f>
        <v>0</v>
      </c>
      <c r="M6" s="83">
        <f>'[4]Bases de Incidência'!E6</f>
        <v>0</v>
      </c>
      <c r="N6" s="23">
        <f>'[5]Bases de Incidência'!B6</f>
        <v>180619108</v>
      </c>
      <c r="O6" s="82">
        <f>'[5]Bases de Incidência'!C6</f>
        <v>0</v>
      </c>
      <c r="P6" s="82">
        <f>'[5]Bases de Incidência'!D6</f>
        <v>0</v>
      </c>
      <c r="Q6" s="83">
        <f>'[5]Bases de Incidência'!E6</f>
        <v>0</v>
      </c>
      <c r="R6" s="23">
        <f>'[6]Bases de Incidência'!B6</f>
        <v>182911487</v>
      </c>
      <c r="S6" s="82">
        <f>'[6]Bases de Incidência'!C6</f>
        <v>0</v>
      </c>
      <c r="T6" s="82">
        <f>'[6]Bases de Incidência'!D6</f>
        <v>0</v>
      </c>
      <c r="U6" s="83">
        <f>'[6]Bases de Incidência'!E6</f>
        <v>0</v>
      </c>
      <c r="V6" s="23">
        <f>'[7]Bases de Incidência'!B6</f>
        <v>185150806</v>
      </c>
      <c r="W6" s="82">
        <f>'[7]Bases de Incidência'!C6</f>
        <v>0</v>
      </c>
      <c r="X6" s="82">
        <f>'[7]Bases de Incidência'!D6</f>
        <v>0</v>
      </c>
      <c r="Y6" s="83">
        <f>'[7]Bases de Incidência'!E6</f>
        <v>0</v>
      </c>
      <c r="Z6" s="23">
        <f>'[8]Bases de Incidência'!B6</f>
        <v>187335137</v>
      </c>
      <c r="AA6" s="82">
        <f>'[8]Bases de Incidência'!C6</f>
        <v>0</v>
      </c>
      <c r="AB6" s="82">
        <f>'[8]Bases de Incidência'!D6</f>
        <v>0</v>
      </c>
      <c r="AC6" s="83">
        <f>'[8]Bases de Incidência'!E6</f>
        <v>0</v>
      </c>
      <c r="AD6" s="23">
        <f>'[9]Bases de Incidência'!B6</f>
        <v>189462755</v>
      </c>
      <c r="AE6" s="82">
        <f>'[9]Bases de Incidência'!C6</f>
        <v>0</v>
      </c>
      <c r="AF6" s="82">
        <f>'[9]Bases de Incidência'!D6</f>
        <v>0</v>
      </c>
      <c r="AG6" s="83">
        <f>'[9]Bases de Incidência'!E6</f>
        <v>0</v>
      </c>
      <c r="AH6" s="23">
        <f>'[10]Bases de Incidência'!B6</f>
        <v>191532439</v>
      </c>
      <c r="AI6" s="82">
        <f>'[10]Bases de Incidência'!C6</f>
        <v>0</v>
      </c>
      <c r="AJ6" s="82">
        <f>'[10]Bases de Incidência'!D6</f>
        <v>0</v>
      </c>
      <c r="AK6" s="83">
        <f>'[10]Bases de Incidência'!E6</f>
        <v>0</v>
      </c>
      <c r="AL6" s="23">
        <f>'[11]Bases de Incidência'!B6</f>
        <v>193543969</v>
      </c>
      <c r="AM6" s="82">
        <f>'[11]Bases de Incidência'!C6</f>
        <v>0</v>
      </c>
      <c r="AN6" s="82">
        <f>'[11]Bases de Incidência'!D6</f>
        <v>0</v>
      </c>
      <c r="AO6" s="83">
        <f>'[11]Bases de Incidência'!E6</f>
        <v>0</v>
      </c>
      <c r="AP6" s="23">
        <f>'[12]Bases de Incidência'!B6</f>
        <v>195497797</v>
      </c>
      <c r="AQ6" s="82">
        <f>'[12]Bases de Incidência'!C6</f>
        <v>0</v>
      </c>
      <c r="AR6" s="82">
        <f>'[12]Bases de Incidência'!D6</f>
        <v>0</v>
      </c>
      <c r="AS6" s="83">
        <f>'[12]Bases de Incidência'!E6</f>
        <v>0</v>
      </c>
      <c r="AT6" s="23">
        <f>'[13]Bases de Incidência'!B6</f>
        <v>197397018</v>
      </c>
      <c r="AU6" s="82">
        <f>'[13]Bases de Incidência'!C6</f>
        <v>0</v>
      </c>
      <c r="AV6" s="82">
        <f>'[13]Bases de Incidência'!D6</f>
        <v>0</v>
      </c>
      <c r="AW6" s="83">
        <f>'[13]Bases de Incidência'!E6</f>
        <v>0</v>
      </c>
      <c r="AX6" s="23">
        <f>'[14]Bases de Incidência'!B6</f>
        <v>199242462</v>
      </c>
      <c r="AY6" s="82">
        <f>'[14]Bases de Incidência'!C6</f>
        <v>0</v>
      </c>
      <c r="AZ6" s="82">
        <f>'[14]Bases de Incidência'!D6</f>
        <v>0</v>
      </c>
      <c r="BA6" s="83">
        <f>'[14]Bases de Incidência'!E6</f>
        <v>0</v>
      </c>
      <c r="BB6" s="23">
        <f>'[15]Bases de Incidência'!B6</f>
        <v>201032714</v>
      </c>
      <c r="BC6" s="82">
        <f>'[15]Bases de Incidência'!C6</f>
        <v>0</v>
      </c>
      <c r="BD6" s="82">
        <f>'[15]Bases de Incidência'!D6</f>
        <v>0</v>
      </c>
      <c r="BE6" s="83">
        <f>'[15]Bases de Incidência'!E6</f>
        <v>0</v>
      </c>
      <c r="BF6" s="23">
        <f>'[16]Bases de Incidência'!B6</f>
        <v>202768562</v>
      </c>
      <c r="BG6" s="82">
        <f>'[16]Bases de Incidência'!C6</f>
        <v>0</v>
      </c>
      <c r="BH6" s="82">
        <f>'[16]Bases de Incidência'!D6</f>
        <v>0</v>
      </c>
      <c r="BI6" s="83">
        <f>'[16]Bases de Incidência'!E6</f>
        <v>0</v>
      </c>
      <c r="BJ6" s="23">
        <f>'[17]Bases de Incidência'!B6</f>
        <v>204450649</v>
      </c>
      <c r="BK6" s="82">
        <f>'[17]Bases de Incidência'!C6</f>
        <v>0</v>
      </c>
      <c r="BL6" s="82">
        <f>'[17]Bases de Incidência'!D6</f>
        <v>0</v>
      </c>
      <c r="BM6" s="83">
        <f>'[17]Bases de Incidência'!E6</f>
        <v>0</v>
      </c>
      <c r="BN6" s="23">
        <f>'[18]Bases de Incidência'!B6</f>
        <v>206081432</v>
      </c>
      <c r="BO6" s="82">
        <f>'[18]Bases de Incidência'!C6</f>
        <v>0</v>
      </c>
      <c r="BP6" s="82">
        <f>'[18]Bases de Incidência'!D6</f>
        <v>0</v>
      </c>
      <c r="BQ6" s="83">
        <f>'[18]Bases de Incidência'!E6</f>
        <v>0</v>
      </c>
      <c r="BR6" s="23">
        <f>'[19]Bases de Incidência'!B6</f>
        <v>207660929</v>
      </c>
      <c r="BS6" s="82">
        <f>'[19]Bases de Incidência'!C6</f>
        <v>0</v>
      </c>
      <c r="BT6" s="82">
        <f>'[19]Bases de Incidência'!D6</f>
        <v>0</v>
      </c>
      <c r="BU6" s="83">
        <f>'[19]Bases de Incidência'!E6</f>
        <v>0</v>
      </c>
      <c r="BV6" s="23">
        <f>'[20]Bases de Incidência'!B6</f>
        <v>208494900</v>
      </c>
      <c r="BW6" s="82">
        <f>'[20]Bases de Incidência'!C6</f>
        <v>0</v>
      </c>
      <c r="BX6" s="82">
        <f>'[20]Bases de Incidência'!D6</f>
        <v>0</v>
      </c>
      <c r="BY6" s="83">
        <f>'[20]Bases de Incidência'!E6</f>
        <v>0</v>
      </c>
      <c r="BZ6" s="23">
        <f>'[21]Bases de Incidência'!B6</f>
        <v>210147125</v>
      </c>
      <c r="CA6" s="82">
        <f>'[21]Bases de Incidência'!C6</f>
        <v>0</v>
      </c>
      <c r="CB6" s="82">
        <f>'[21]Bases de Incidência'!D6</f>
        <v>0</v>
      </c>
      <c r="CC6" s="83">
        <f>'[21]Bases de Incidência'!E6</f>
        <v>0</v>
      </c>
      <c r="CD6" s="23">
        <f>'[22]Bases de Incidência'!B6</f>
        <v>211755692</v>
      </c>
      <c r="CE6" s="82">
        <f>'[22]Bases de Incidência'!C6</f>
        <v>0</v>
      </c>
      <c r="CF6" s="82">
        <f>'[22]Bases de Incidência'!D6</f>
        <v>0</v>
      </c>
      <c r="CG6" s="83">
        <f>'[22]Bases de Incidência'!E6</f>
        <v>0</v>
      </c>
      <c r="CH6" s="23">
        <f>'[23]Bases de Incidência'!B6</f>
        <v>213317639</v>
      </c>
      <c r="CI6" s="82">
        <f>'[23]Bases de Incidência'!C6</f>
        <v>0</v>
      </c>
      <c r="CJ6" s="82">
        <f>'[23]Bases de Incidência'!D6</f>
        <v>0</v>
      </c>
      <c r="CK6" s="83">
        <f>'[23]Bases de Incidência'!E6</f>
        <v>0</v>
      </c>
      <c r="CL6" s="23">
        <f>'[24]Bases de Incidência'!B6</f>
        <v>203080756</v>
      </c>
      <c r="CM6" s="82">
        <f>'[24]Bases de Incidência'!C6</f>
        <v>0</v>
      </c>
      <c r="CN6" s="82">
        <f>'[24]Bases de Incidência'!D6</f>
        <v>0</v>
      </c>
      <c r="CO6" s="83">
        <f>'[24]Bases de Incidência'!E6</f>
        <v>0</v>
      </c>
      <c r="CP6" s="23">
        <f>'[25]Bases de Incidência'!B6</f>
        <v>207832253</v>
      </c>
      <c r="CQ6" s="82">
        <f>'[25]Bases de Incidência'!C6</f>
        <v>0</v>
      </c>
      <c r="CR6" s="82">
        <f>'[25]Bases de Incidência'!D6</f>
        <v>0</v>
      </c>
      <c r="CS6" s="83">
        <f>'[25]Bases de Incidência'!E6</f>
        <v>0</v>
      </c>
      <c r="CT6" s="23">
        <f>'[26]Bases de Incidência'!B6</f>
        <v>212583750</v>
      </c>
      <c r="CU6" s="82">
        <f>'[26]Bases de Incidência'!C6</f>
        <v>0</v>
      </c>
      <c r="CV6" s="82">
        <f>'[26]Bases de Incidência'!D6</f>
        <v>0</v>
      </c>
      <c r="CW6" s="83">
        <f>'[26]Bases de Incidência'!E6</f>
        <v>0</v>
      </c>
    </row>
    <row r="7" spans="1:101" x14ac:dyDescent="0.25">
      <c r="A7" s="88" t="s">
        <v>14</v>
      </c>
      <c r="B7" s="26">
        <f>'[2]Bases de Incidência'!B7</f>
        <v>367.44514574477842</v>
      </c>
      <c r="C7" s="27">
        <f>'[2]Bases de Incidência'!C7</f>
        <v>30.559889269813521</v>
      </c>
      <c r="D7" s="28">
        <f>'[2]Bases de Incidência'!D7</f>
        <v>100.00000000000001</v>
      </c>
      <c r="E7" s="29">
        <f>'[2]Bases de Incidência'!E7</f>
        <v>2118.4701625507482</v>
      </c>
      <c r="F7" s="26">
        <f>'[3]Bases de Incidência'!B7</f>
        <v>421.6466345273019</v>
      </c>
      <c r="G7" s="27">
        <f>'[3]Bases de Incidência'!C7</f>
        <v>32.045983828851256</v>
      </c>
      <c r="H7" s="28">
        <f>'[3]Bases de Incidência'!D7</f>
        <v>100</v>
      </c>
      <c r="I7" s="29">
        <f>'[3]Bases de Incidência'!E7</f>
        <v>2430.9637090877873</v>
      </c>
      <c r="J7" s="26">
        <f>'[4]Bases de Incidência'!B7</f>
        <v>495.42481028470365</v>
      </c>
      <c r="K7" s="27">
        <f>'[4]Bases de Incidência'!C7</f>
        <v>33.277077935574638</v>
      </c>
      <c r="L7" s="28">
        <f>'[4]Bases de Incidência'!D7</f>
        <v>99.999999999999986</v>
      </c>
      <c r="M7" s="29">
        <f>'[4]Bases de Incidência'!E7</f>
        <v>2778.97448100681</v>
      </c>
      <c r="N7" s="26">
        <f>'[5]Bases de Incidência'!B7</f>
        <v>560.01486740093776</v>
      </c>
      <c r="O7" s="27">
        <f>'[5]Bases de Incidência'!C7</f>
        <v>32.597856014490389</v>
      </c>
      <c r="P7" s="28">
        <f>'[5]Bases de Incidência'!D7</f>
        <v>99.999999999999986</v>
      </c>
      <c r="Q7" s="29">
        <f>'[5]Bases de Incidência'!E7</f>
        <v>3100.5294711174065</v>
      </c>
      <c r="R7" s="26">
        <f>'[6]Bases de Incidência'!B7</f>
        <v>658.25295701947573</v>
      </c>
      <c r="S7" s="27">
        <f>'[6]Bases de Incidência'!C7</f>
        <v>33.622915121457005</v>
      </c>
      <c r="T7" s="28">
        <f>'[6]Bases de Incidência'!D7</f>
        <v>100</v>
      </c>
      <c r="U7" s="29">
        <f>'[6]Bases de Incidência'!E7</f>
        <v>3598.7513294858059</v>
      </c>
      <c r="V7" s="26">
        <f>'[7]Bases de Incidência'!B7</f>
        <v>754.18429112437548</v>
      </c>
      <c r="W7" s="27">
        <f>'[7]Bases de Incidência'!C7</f>
        <v>34.745669537215797</v>
      </c>
      <c r="X7" s="28">
        <f>'[7]Bases de Incidência'!D7</f>
        <v>100.00000000000001</v>
      </c>
      <c r="Y7" s="29">
        <f>'[7]Bases de Incidência'!E7</f>
        <v>4073.3513799792777</v>
      </c>
      <c r="Z7" s="26">
        <f>'[8]Bases de Incidência'!B7</f>
        <v>829.53576664493551</v>
      </c>
      <c r="AA7" s="27">
        <f>'[8]Bases de Incidência'!C7</f>
        <v>34.428428340282451</v>
      </c>
      <c r="AB7" s="28">
        <f>'[8]Bases de Incidência'!D7</f>
        <v>99.999999999999986</v>
      </c>
      <c r="AC7" s="29">
        <f>'[8]Bases de Incidência'!E7</f>
        <v>4428.0842341121279</v>
      </c>
      <c r="AD7" s="26">
        <f>'[9]Bases de Incidência'!B7</f>
        <v>940.81947852322867</v>
      </c>
      <c r="AE7" s="27">
        <f>'[9]Bases de Incidência'!C7</f>
        <v>34.585607293237032</v>
      </c>
      <c r="AF7" s="28">
        <f>'[9]Bases de Incidência'!D7</f>
        <v>99.999999999999986</v>
      </c>
      <c r="AG7" s="29">
        <f>'[9]Bases de Incidência'!E7</f>
        <v>4965.7225691837357</v>
      </c>
      <c r="AH7" s="26">
        <f>'[10]Bases de Incidência'!B7</f>
        <v>1080.8858871867772</v>
      </c>
      <c r="AI7" s="27">
        <f>'[10]Bases de Incidência'!C7</f>
        <v>34.757374894383247</v>
      </c>
      <c r="AJ7" s="28">
        <f>'[10]Bases de Incidência'!D7</f>
        <v>99.999999999999986</v>
      </c>
      <c r="AK7" s="29">
        <f>'[10]Bases de Incidência'!E7</f>
        <v>5643.3567746024319</v>
      </c>
      <c r="AL7" s="26">
        <f>'[11]Bases de Incidência'!B7</f>
        <v>1105.3737341238211</v>
      </c>
      <c r="AM7" s="27">
        <f>'[11]Bases de Incidência'!C7</f>
        <v>33.164140417313476</v>
      </c>
      <c r="AN7" s="28">
        <f>'[11]Bases de Incidência'!D7</f>
        <v>99.999999999999986</v>
      </c>
      <c r="AO7" s="29">
        <f>'[11]Bases de Incidência'!E7</f>
        <v>5711.2279955559916</v>
      </c>
      <c r="AP7" s="26">
        <f>'[12]Bases de Incidência'!B7</f>
        <v>1291.362085507968</v>
      </c>
      <c r="AQ7" s="27">
        <f>'[12]Bases de Incidência'!C7</f>
        <v>33.232448048211069</v>
      </c>
      <c r="AR7" s="28">
        <f>'[12]Bases de Incidência'!D7</f>
        <v>100.00000000000003</v>
      </c>
      <c r="AS7" s="29">
        <f>'[12]Bases de Incidência'!E7</f>
        <v>6605.5070968803193</v>
      </c>
      <c r="AT7" s="26">
        <f>'[13]Bases de Incidência'!B7</f>
        <v>1491.6039399458755</v>
      </c>
      <c r="AU7" s="27">
        <f>'[13]Bases de Incidência'!C7</f>
        <v>34.08303799681736</v>
      </c>
      <c r="AV7" s="28">
        <f>'[13]Bases de Incidência'!D7</f>
        <v>100.00000000000001</v>
      </c>
      <c r="AW7" s="29">
        <f>'[13]Bases de Incidência'!E7</f>
        <v>7556.3651115837802</v>
      </c>
      <c r="AX7" s="26">
        <f>'[14]Bases de Incidência'!B7</f>
        <v>1638.1111399890103</v>
      </c>
      <c r="AY7" s="27">
        <f>'[14]Bases de Incidência'!C7</f>
        <v>34.022695627383499</v>
      </c>
      <c r="AZ7" s="28">
        <f>'[14]Bases de Incidência'!D7</f>
        <v>99.999999999999986</v>
      </c>
      <c r="BA7" s="29">
        <f>'[14]Bases de Incidência'!E7</f>
        <v>8221.6969392247829</v>
      </c>
      <c r="BB7" s="26">
        <f>'[15]Bases de Incidência'!B7</f>
        <v>1792.2460733358778</v>
      </c>
      <c r="BC7" s="27">
        <f>'[15]Bases de Incidência'!C7</f>
        <v>33.61541913133474</v>
      </c>
      <c r="BD7" s="28">
        <f>'[15]Bases de Incidência'!D7</f>
        <v>99.999999999999986</v>
      </c>
      <c r="BE7" s="29">
        <f>'[15]Bases de Incidência'!E7</f>
        <v>8915.1961274117693</v>
      </c>
      <c r="BF7" s="26">
        <f>'[16]Bases de Incidência'!B7</f>
        <v>1899.7812754348606</v>
      </c>
      <c r="BG7" s="27">
        <f>'[16]Bases de Incidência'!C7</f>
        <v>32.874143040008462</v>
      </c>
      <c r="BH7" s="28">
        <f>'[16]Bases de Incidência'!D7</f>
        <v>100.00000000000001</v>
      </c>
      <c r="BI7" s="29">
        <f>'[16]Bases de Incidência'!E7</f>
        <v>9369.2101807915406</v>
      </c>
      <c r="BJ7" s="26">
        <f>'[17]Bases de Incidência'!B7</f>
        <v>1969.0309956733588</v>
      </c>
      <c r="BK7" s="27">
        <f>'[17]Bases de Incidência'!C7</f>
        <v>32.840242584891008</v>
      </c>
      <c r="BL7" s="28">
        <f>'[17]Bases de Incidência'!D7</f>
        <v>100</v>
      </c>
      <c r="BM7" s="29">
        <f>'[17]Bases de Incidência'!E7</f>
        <v>9630.8375899230286</v>
      </c>
      <c r="BN7" s="26">
        <f>'[18]Bases de Incidência'!B7</f>
        <v>2086.156491382068</v>
      </c>
      <c r="BO7" s="27">
        <f>'[18]Bases de Incidência'!C7</f>
        <v>33.286871761527962</v>
      </c>
      <c r="BP7" s="28">
        <f>'[18]Bases de Incidência'!D7</f>
        <v>100.00000000000001</v>
      </c>
      <c r="BQ7" s="29">
        <f>'[18]Bases de Incidência'!E7</f>
        <v>10122.97163861938</v>
      </c>
      <c r="BR7" s="26">
        <f>'[19]Bases de Incidência'!B7</f>
        <v>2203.4044596355438</v>
      </c>
      <c r="BS7" s="27">
        <f>'[19]Bases de Incidência'!C7</f>
        <v>33.620038864061399</v>
      </c>
      <c r="BT7" s="28">
        <f>'[19]Bases de Incidência'!D7</f>
        <v>100.00000000000003</v>
      </c>
      <c r="BU7" s="29">
        <f>'[19]Bases de Incidência'!E7</f>
        <v>10610.587510352243</v>
      </c>
      <c r="BV7" s="26">
        <f>'[20]Bases de Incidência'!B7</f>
        <v>2372.7995314657519</v>
      </c>
      <c r="BW7" s="27">
        <f>'[20]Bases de Incidência'!C7</f>
        <v>34.442428194944121</v>
      </c>
      <c r="BX7" s="28">
        <f>'[20]Bases de Incidência'!D7</f>
        <v>99.999999999999986</v>
      </c>
      <c r="BY7" s="29">
        <f>'[20]Bases de Incidência'!E7</f>
        <v>11380.611858926775</v>
      </c>
      <c r="BZ7" s="26">
        <f>'[21]Bases de Incidência'!B7</f>
        <v>2496.9242893211758</v>
      </c>
      <c r="CA7" s="27">
        <f>'[21]Bases de Incidência'!C7</f>
        <v>33.791853051748262</v>
      </c>
      <c r="CB7" s="28">
        <f>'[21]Bases de Incidência'!D7</f>
        <v>100.00000000000001</v>
      </c>
      <c r="CC7" s="29">
        <f>'[21]Bases de Incidência'!E7</f>
        <v>11881.791337003424</v>
      </c>
      <c r="CD7" s="26">
        <f>'[22]Bases de Incidência'!B7</f>
        <v>2451.5573404858737</v>
      </c>
      <c r="CE7" s="27">
        <f>'[22]Bases de Incidência'!C7</f>
        <v>32.216651426953014</v>
      </c>
      <c r="CF7" s="28">
        <f>'[22]Bases de Incidência'!D7</f>
        <v>100.00000000000001</v>
      </c>
      <c r="CG7" s="29">
        <f>'[22]Bases de Incidência'!E7</f>
        <v>11577.291346132379</v>
      </c>
      <c r="CH7" s="26">
        <f>'[23]Bases de Incidência'!B7</f>
        <v>3060.9656125131296</v>
      </c>
      <c r="CI7" s="27">
        <f>'[23]Bases de Incidência'!C7</f>
        <v>34.397792094454971</v>
      </c>
      <c r="CJ7" s="28">
        <f>'[23]Bases de Incidência'!D7</f>
        <v>100.00000000000001</v>
      </c>
      <c r="CK7" s="29">
        <f>'[23]Bases de Incidência'!E7</f>
        <v>14349.33194864926</v>
      </c>
      <c r="CL7" s="26">
        <f>'[24]Bases de Incidência'!B7</f>
        <v>3518.4966363961894</v>
      </c>
      <c r="CM7" s="27">
        <f>'[24]Bases de Incidência'!C7</f>
        <v>34.906842604823716</v>
      </c>
      <c r="CN7" s="28">
        <f>'[24]Bases de Incidência'!D7</f>
        <v>100.00000000000001</v>
      </c>
      <c r="CO7" s="29">
        <f>'[24]Bases de Incidência'!E7</f>
        <v>17325.603398857693</v>
      </c>
      <c r="CP7" s="26">
        <f>'[25]Bases de Incidência'!B7</f>
        <v>3783.9875168681051</v>
      </c>
      <c r="CQ7" s="27">
        <f>'[25]Bases de Incidência'!C7</f>
        <v>34.577981984922573</v>
      </c>
      <c r="CR7" s="28">
        <f>'[25]Bases de Incidência'!D7</f>
        <v>100</v>
      </c>
      <c r="CS7" s="29">
        <f>'[25]Bases de Incidência'!E7</f>
        <v>18206.931129539866</v>
      </c>
      <c r="CT7" s="26">
        <f>'[26]Bases de Incidência'!B7</f>
        <v>4222.2219899236061</v>
      </c>
      <c r="CU7" s="27">
        <f>'[26]Bases de Incidência'!C7</f>
        <v>35.949992374639557</v>
      </c>
      <c r="CV7" s="28">
        <f>'[26]Bases de Incidência'!D7</f>
        <v>100</v>
      </c>
      <c r="CW7" s="29">
        <f>'[26]Bases de Incidência'!E7</f>
        <v>19861.452203771954</v>
      </c>
    </row>
    <row r="8" spans="1:101" s="13" customFormat="1" x14ac:dyDescent="0.25">
      <c r="A8" s="89"/>
      <c r="B8" s="75">
        <f>'[2]Bases de Incidência'!B8</f>
        <v>0</v>
      </c>
      <c r="C8" s="13">
        <f>'[2]Bases de Incidência'!C8</f>
        <v>0</v>
      </c>
      <c r="D8" s="13">
        <f>'[2]Bases de Incidência'!D8</f>
        <v>0</v>
      </c>
      <c r="E8" s="90">
        <f>'[2]Bases de Incidência'!E8</f>
        <v>0</v>
      </c>
      <c r="F8" s="75">
        <f>'[3]Bases de Incidência'!B8</f>
        <v>0</v>
      </c>
      <c r="G8" s="13">
        <f>'[3]Bases de Incidência'!C8</f>
        <v>0</v>
      </c>
      <c r="H8" s="13">
        <f>'[3]Bases de Incidência'!D8</f>
        <v>0</v>
      </c>
      <c r="I8" s="90">
        <f>'[3]Bases de Incidência'!E8</f>
        <v>0</v>
      </c>
      <c r="J8" s="75">
        <f>'[4]Bases de Incidência'!B8</f>
        <v>0</v>
      </c>
      <c r="K8" s="13">
        <f>'[4]Bases de Incidência'!C8</f>
        <v>0</v>
      </c>
      <c r="L8" s="13">
        <f>'[4]Bases de Incidência'!D8</f>
        <v>0</v>
      </c>
      <c r="M8" s="90">
        <f>'[4]Bases de Incidência'!E8</f>
        <v>0</v>
      </c>
      <c r="N8" s="75">
        <f>'[5]Bases de Incidência'!B8</f>
        <v>0</v>
      </c>
      <c r="O8" s="13">
        <f>'[5]Bases de Incidência'!C8</f>
        <v>0</v>
      </c>
      <c r="P8" s="13">
        <f>'[5]Bases de Incidência'!D8</f>
        <v>0</v>
      </c>
      <c r="Q8" s="90">
        <f>'[5]Bases de Incidência'!E8</f>
        <v>0</v>
      </c>
      <c r="R8" s="75">
        <f>'[6]Bases de Incidência'!B8</f>
        <v>0</v>
      </c>
      <c r="S8" s="13">
        <f>'[6]Bases de Incidência'!C8</f>
        <v>0</v>
      </c>
      <c r="T8" s="13">
        <f>'[6]Bases de Incidência'!D8</f>
        <v>0</v>
      </c>
      <c r="U8" s="90">
        <f>'[6]Bases de Incidência'!E8</f>
        <v>0</v>
      </c>
      <c r="V8" s="75">
        <f>'[7]Bases de Incidência'!B8</f>
        <v>0</v>
      </c>
      <c r="W8" s="13">
        <f>'[7]Bases de Incidência'!C8</f>
        <v>0</v>
      </c>
      <c r="X8" s="13">
        <f>'[7]Bases de Incidência'!D8</f>
        <v>0</v>
      </c>
      <c r="Y8" s="90">
        <f>'[7]Bases de Incidência'!E8</f>
        <v>0</v>
      </c>
      <c r="Z8" s="75">
        <f>'[8]Bases de Incidência'!B8</f>
        <v>0</v>
      </c>
      <c r="AA8" s="13">
        <f>'[8]Bases de Incidência'!C8</f>
        <v>0</v>
      </c>
      <c r="AB8" s="13">
        <f>'[8]Bases de Incidência'!D8</f>
        <v>0</v>
      </c>
      <c r="AC8" s="90">
        <f>'[8]Bases de Incidência'!E8</f>
        <v>0</v>
      </c>
      <c r="AD8" s="75">
        <f>'[9]Bases de Incidência'!B8</f>
        <v>0</v>
      </c>
      <c r="AE8" s="13">
        <f>'[9]Bases de Incidência'!C8</f>
        <v>0</v>
      </c>
      <c r="AF8" s="13">
        <f>'[9]Bases de Incidência'!D8</f>
        <v>0</v>
      </c>
      <c r="AG8" s="90">
        <f>'[9]Bases de Incidência'!E8</f>
        <v>0</v>
      </c>
      <c r="AH8" s="75">
        <f>'[10]Bases de Incidência'!B8</f>
        <v>0</v>
      </c>
      <c r="AI8" s="13">
        <f>'[10]Bases de Incidência'!C8</f>
        <v>0</v>
      </c>
      <c r="AJ8" s="13">
        <f>'[10]Bases de Incidência'!D8</f>
        <v>0</v>
      </c>
      <c r="AK8" s="90">
        <f>'[10]Bases de Incidência'!E8</f>
        <v>0</v>
      </c>
      <c r="AL8" s="75">
        <f>'[11]Bases de Incidência'!B8</f>
        <v>0</v>
      </c>
      <c r="AM8" s="13">
        <f>'[11]Bases de Incidência'!C8</f>
        <v>0</v>
      </c>
      <c r="AN8" s="13">
        <f>'[11]Bases de Incidência'!D8</f>
        <v>0</v>
      </c>
      <c r="AO8" s="90">
        <f>'[11]Bases de Incidência'!E8</f>
        <v>0</v>
      </c>
      <c r="AP8" s="75">
        <f>'[12]Bases de Incidência'!B8</f>
        <v>0</v>
      </c>
      <c r="AQ8" s="13">
        <f>'[12]Bases de Incidência'!C8</f>
        <v>0</v>
      </c>
      <c r="AR8" s="13">
        <f>'[12]Bases de Incidência'!D8</f>
        <v>0</v>
      </c>
      <c r="AS8" s="90">
        <f>'[12]Bases de Incidência'!E8</f>
        <v>0</v>
      </c>
      <c r="AT8" s="75">
        <f>'[13]Bases de Incidência'!B8</f>
        <v>0</v>
      </c>
      <c r="AU8" s="13">
        <f>'[13]Bases de Incidência'!C8</f>
        <v>0</v>
      </c>
      <c r="AV8" s="13">
        <f>'[13]Bases de Incidência'!D8</f>
        <v>0</v>
      </c>
      <c r="AW8" s="90">
        <f>'[13]Bases de Incidência'!E8</f>
        <v>0</v>
      </c>
      <c r="AX8" s="75">
        <f>'[14]Bases de Incidência'!B8</f>
        <v>0</v>
      </c>
      <c r="AY8" s="13">
        <f>'[14]Bases de Incidência'!C8</f>
        <v>0</v>
      </c>
      <c r="AZ8" s="13">
        <f>'[14]Bases de Incidência'!D8</f>
        <v>0</v>
      </c>
      <c r="BA8" s="90">
        <f>'[14]Bases de Incidência'!E8</f>
        <v>0</v>
      </c>
      <c r="BB8" s="75">
        <f>'[15]Bases de Incidência'!B8</f>
        <v>0</v>
      </c>
      <c r="BC8" s="13">
        <f>'[15]Bases de Incidência'!C8</f>
        <v>0</v>
      </c>
      <c r="BD8" s="13">
        <f>'[15]Bases de Incidência'!D8</f>
        <v>0</v>
      </c>
      <c r="BE8" s="90">
        <f>'[15]Bases de Incidência'!E8</f>
        <v>0</v>
      </c>
      <c r="BF8" s="75">
        <f>'[16]Bases de Incidência'!B8</f>
        <v>0</v>
      </c>
      <c r="BG8" s="13">
        <f>'[16]Bases de Incidência'!C8</f>
        <v>0</v>
      </c>
      <c r="BH8" s="13">
        <f>'[16]Bases de Incidência'!D8</f>
        <v>0</v>
      </c>
      <c r="BI8" s="90">
        <f>'[16]Bases de Incidência'!E8</f>
        <v>0</v>
      </c>
      <c r="BJ8" s="75">
        <f>'[17]Bases de Incidência'!B8</f>
        <v>0</v>
      </c>
      <c r="BK8" s="13">
        <f>'[17]Bases de Incidência'!C8</f>
        <v>0</v>
      </c>
      <c r="BL8" s="13">
        <f>'[17]Bases de Incidência'!D8</f>
        <v>0</v>
      </c>
      <c r="BM8" s="90">
        <f>'[17]Bases de Incidência'!E8</f>
        <v>0</v>
      </c>
      <c r="BN8" s="75">
        <f>'[18]Bases de Incidência'!B8</f>
        <v>0</v>
      </c>
      <c r="BO8" s="13">
        <f>'[18]Bases de Incidência'!C8</f>
        <v>0</v>
      </c>
      <c r="BP8" s="13">
        <f>'[18]Bases de Incidência'!D8</f>
        <v>0</v>
      </c>
      <c r="BQ8" s="90">
        <f>'[18]Bases de Incidência'!E8</f>
        <v>0</v>
      </c>
      <c r="BR8" s="75">
        <f>'[19]Bases de Incidência'!B8</f>
        <v>0</v>
      </c>
      <c r="BS8" s="13">
        <f>'[19]Bases de Incidência'!C8</f>
        <v>0</v>
      </c>
      <c r="BT8" s="13">
        <f>'[19]Bases de Incidência'!D8</f>
        <v>0</v>
      </c>
      <c r="BU8" s="90">
        <f>'[19]Bases de Incidência'!E8</f>
        <v>0</v>
      </c>
      <c r="BV8" s="75">
        <f>'[20]Bases de Incidência'!B8</f>
        <v>0</v>
      </c>
      <c r="BW8" s="13">
        <f>'[20]Bases de Incidência'!C8</f>
        <v>0</v>
      </c>
      <c r="BX8" s="13">
        <f>'[20]Bases de Incidência'!D8</f>
        <v>0</v>
      </c>
      <c r="BY8" s="90">
        <f>'[20]Bases de Incidência'!E8</f>
        <v>0</v>
      </c>
      <c r="BZ8" s="75">
        <f>'[21]Bases de Incidência'!B8</f>
        <v>0</v>
      </c>
      <c r="CA8" s="13">
        <f>'[21]Bases de Incidência'!C8</f>
        <v>0</v>
      </c>
      <c r="CB8" s="13">
        <f>'[21]Bases de Incidência'!D8</f>
        <v>0</v>
      </c>
      <c r="CC8" s="90">
        <f>'[21]Bases de Incidência'!E8</f>
        <v>0</v>
      </c>
      <c r="CD8" s="75">
        <f>'[22]Bases de Incidência'!B8</f>
        <v>0</v>
      </c>
      <c r="CE8" s="13">
        <f>'[22]Bases de Incidência'!C8</f>
        <v>0</v>
      </c>
      <c r="CF8" s="13">
        <f>'[22]Bases de Incidência'!D8</f>
        <v>0</v>
      </c>
      <c r="CG8" s="90">
        <f>'[22]Bases de Incidência'!E8</f>
        <v>0</v>
      </c>
      <c r="CH8" s="75">
        <f>'[23]Bases de Incidência'!B8</f>
        <v>0</v>
      </c>
      <c r="CI8" s="13">
        <f>'[23]Bases de Incidência'!C8</f>
        <v>0</v>
      </c>
      <c r="CJ8" s="13">
        <f>'[23]Bases de Incidência'!D8</f>
        <v>0</v>
      </c>
      <c r="CK8" s="90">
        <f>'[23]Bases de Incidência'!E8</f>
        <v>0</v>
      </c>
      <c r="CL8" s="75">
        <f>'[24]Bases de Incidência'!B8</f>
        <v>0</v>
      </c>
      <c r="CM8" s="13">
        <f>'[24]Bases de Incidência'!C8</f>
        <v>0</v>
      </c>
      <c r="CN8" s="13">
        <f>'[24]Bases de Incidência'!D8</f>
        <v>0</v>
      </c>
      <c r="CO8" s="90">
        <f>'[24]Bases de Incidência'!E8</f>
        <v>0</v>
      </c>
      <c r="CP8" s="75">
        <f>'[25]Bases de Incidência'!B8</f>
        <v>0</v>
      </c>
      <c r="CQ8" s="13">
        <f>'[25]Bases de Incidência'!C8</f>
        <v>0</v>
      </c>
      <c r="CR8" s="13">
        <f>'[25]Bases de Incidência'!D8</f>
        <v>0</v>
      </c>
      <c r="CS8" s="90">
        <f>'[25]Bases de Incidência'!E8</f>
        <v>0</v>
      </c>
      <c r="CT8" s="75">
        <f>'[26]Bases de Incidência'!B8</f>
        <v>0</v>
      </c>
      <c r="CU8" s="13">
        <f>'[26]Bases de Incidência'!C8</f>
        <v>0</v>
      </c>
      <c r="CV8" s="13">
        <f>'[26]Bases de Incidência'!D8</f>
        <v>0</v>
      </c>
      <c r="CW8" s="90">
        <f>'[26]Bases de Incidência'!E8</f>
        <v>0</v>
      </c>
    </row>
    <row r="9" spans="1:101" x14ac:dyDescent="0.25">
      <c r="A9" s="89" t="s">
        <v>34</v>
      </c>
      <c r="B9" s="38">
        <f>'[2]Bases de Incidência'!B9</f>
        <v>163.18203968450001</v>
      </c>
      <c r="C9" s="91">
        <f>'[2]Bases de Incidência'!C9</f>
        <v>13.57161775391749</v>
      </c>
      <c r="D9" s="55">
        <f>'[2]Bases de Incidência'!D9</f>
        <v>44.409904872670076</v>
      </c>
      <c r="E9" s="86">
        <f>'[2]Bases de Incidência'!E9</f>
        <v>940.8105839446863</v>
      </c>
      <c r="F9" s="38">
        <f>'[3]Bases de Incidência'!B9</f>
        <v>186.15316376491066</v>
      </c>
      <c r="G9" s="91">
        <f>'[3]Bases de Incidência'!C9</f>
        <v>14.148011124024659</v>
      </c>
      <c r="H9" s="55">
        <f>'[3]Bases de Incidência'!D9</f>
        <v>44.14909275241876</v>
      </c>
      <c r="I9" s="86">
        <f>'[3]Bases de Incidência'!E9</f>
        <v>1073.2484227028065</v>
      </c>
      <c r="J9" s="38">
        <f>'[4]Bases de Incidência'!B9</f>
        <v>211.35149096008001</v>
      </c>
      <c r="K9" s="91">
        <f>'[4]Bases de Incidência'!C9</f>
        <v>14.196220880493987</v>
      </c>
      <c r="L9" s="55">
        <f>'[4]Bases de Incidência'!D9</f>
        <v>42.660659412398736</v>
      </c>
      <c r="M9" s="86">
        <f>'[4]Bases de Incidência'!E9</f>
        <v>1185.5288384997907</v>
      </c>
      <c r="N9" s="38">
        <f>'[5]Bases de Incidência'!B9</f>
        <v>242.660041469795</v>
      </c>
      <c r="O9" s="91">
        <f>'[5]Bases de Incidência'!C9</f>
        <v>14.124976947512732</v>
      </c>
      <c r="P9" s="55">
        <f>'[5]Bases de Incidência'!D9</f>
        <v>43.330999870770334</v>
      </c>
      <c r="Q9" s="86">
        <f>'[5]Bases de Incidência'!E9</f>
        <v>1343.4904211230796</v>
      </c>
      <c r="R9" s="38">
        <f>'[6]Bases de Incidência'!B9</f>
        <v>292.03105457221994</v>
      </c>
      <c r="S9" s="91">
        <f>'[6]Bases de Incidência'!C9</f>
        <v>14.916659706582704</v>
      </c>
      <c r="T9" s="55">
        <f>'[6]Bases de Incidência'!D9</f>
        <v>44.364564026345818</v>
      </c>
      <c r="U9" s="86">
        <f>'[6]Bases de Incidência'!E9</f>
        <v>1596.5703377187019</v>
      </c>
      <c r="V9" s="38">
        <f>'[7]Bases de Incidência'!B9</f>
        <v>326.80722568579</v>
      </c>
      <c r="W9" s="91">
        <f>'[7]Bases de Incidência'!C9</f>
        <v>15.056181890402357</v>
      </c>
      <c r="X9" s="55">
        <f>'[7]Bases de Incidência'!D9</f>
        <v>43.332542129533024</v>
      </c>
      <c r="Y9" s="86">
        <f>'[7]Bases de Incidência'!E9</f>
        <v>1765.0867028134351</v>
      </c>
      <c r="Z9" s="38">
        <f>'[8]Bases de Incidência'!B9</f>
        <v>354.00131936079998</v>
      </c>
      <c r="AA9" s="91">
        <f>'[8]Bases de Incidência'!C9</f>
        <v>14.692204418468947</v>
      </c>
      <c r="AB9" s="55">
        <f>'[8]Bases de Incidência'!D9</f>
        <v>42.674630027414167</v>
      </c>
      <c r="AC9" s="86">
        <f>'[8]Bases de Incidência'!E9</f>
        <v>1889.6685642096068</v>
      </c>
      <c r="AD9" s="38">
        <f>'[9]Bases de Incidência'!B9</f>
        <v>393.11680976439004</v>
      </c>
      <c r="AE9" s="91">
        <f>'[9]Bases de Incidência'!C9</f>
        <v>14.451426562960643</v>
      </c>
      <c r="AF9" s="55">
        <f>'[9]Bases de Incidência'!D9</f>
        <v>41.784510072160892</v>
      </c>
      <c r="AG9" s="86">
        <f>'[9]Bases de Incidência'!E9</f>
        <v>2074.9028470761446</v>
      </c>
      <c r="AH9" s="38">
        <f>'[10]Bases de Incidência'!B9</f>
        <v>465.84964417177002</v>
      </c>
      <c r="AI9" s="91">
        <f>'[10]Bases de Incidência'!C9</f>
        <v>14.980037133277255</v>
      </c>
      <c r="AJ9" s="55">
        <f>'[10]Bases de Incidência'!D9</f>
        <v>43.098873775125085</v>
      </c>
      <c r="AK9" s="86">
        <f>'[10]Bases de Incidência'!E9</f>
        <v>2432.2232129658728</v>
      </c>
      <c r="AL9" s="38">
        <f>'[11]Bases de Incidência'!B9</f>
        <v>457.25285573746004</v>
      </c>
      <c r="AM9" s="91">
        <f>'[11]Bases de Incidência'!C9</f>
        <v>13.718797041902601</v>
      </c>
      <c r="AN9" s="55">
        <f>'[11]Bases de Incidência'!D9</f>
        <v>41.366357967597565</v>
      </c>
      <c r="AO9" s="86">
        <f>'[11]Bases de Incidência'!E9</f>
        <v>2362.5270169873393</v>
      </c>
      <c r="AP9" s="38">
        <f>'[12]Bases de Incidência'!B9</f>
        <v>553.96146404051012</v>
      </c>
      <c r="AQ9" s="91">
        <f>'[12]Bases de Incidência'!C9</f>
        <v>14.255874305923783</v>
      </c>
      <c r="AR9" s="55">
        <f>'[12]Bases de Incidência'!D9</f>
        <v>42.897454575848478</v>
      </c>
      <c r="AS9" s="86">
        <f>'[12]Bases de Incidência'!E9</f>
        <v>2833.5944063886823</v>
      </c>
      <c r="AT9" s="38">
        <f>'[13]Bases de Incidência'!B9</f>
        <v>620.83784995522001</v>
      </c>
      <c r="AU9" s="91">
        <f>'[13]Bases de Incidência'!C9</f>
        <v>14.186098241771857</v>
      </c>
      <c r="AV9" s="55">
        <f>'[13]Bases de Incidência'!D9</f>
        <v>41.622164793808992</v>
      </c>
      <c r="AW9" s="86">
        <f>'[13]Bases de Incidência'!E9</f>
        <v>3145.1227391652897</v>
      </c>
      <c r="AX9" s="38">
        <f>'[14]Bases de Incidência'!B9</f>
        <v>681.16748561742008</v>
      </c>
      <c r="AY9" s="91">
        <f>'[14]Bases de Incidência'!C9</f>
        <v>14.147485764968973</v>
      </c>
      <c r="AZ9" s="55">
        <f>'[14]Bases de Incidência'!D9</f>
        <v>41.58249516708554</v>
      </c>
      <c r="BA9" s="86">
        <f>'[14]Bases de Incidência'!E9</f>
        <v>3418.7867324055655</v>
      </c>
      <c r="BB9" s="38">
        <f>'[15]Bases de Incidência'!B9</f>
        <v>740.49906735348998</v>
      </c>
      <c r="BC9" s="91">
        <f>'[15]Bases de Incidência'!C9</f>
        <v>13.888821901067763</v>
      </c>
      <c r="BD9" s="55">
        <f>'[15]Bases de Incidência'!D9</f>
        <v>41.316819066882445</v>
      </c>
      <c r="BE9" s="86">
        <f>'[15]Bases de Incidência'!E9</f>
        <v>3683.4754534204317</v>
      </c>
      <c r="BF9" s="38">
        <f>'[16]Bases de Incidência'!B9</f>
        <v>782.13922872478736</v>
      </c>
      <c r="BG9" s="91">
        <f>'[16]Bases de Incidência'!C9</f>
        <v>13.534272189526153</v>
      </c>
      <c r="BH9" s="55">
        <f>'[16]Bases de Incidência'!D9</f>
        <v>41.169961976057238</v>
      </c>
      <c r="BI9" s="86">
        <f>'[16]Bases de Incidência'!E9</f>
        <v>3857.3002688887609</v>
      </c>
      <c r="BJ9" s="38">
        <f>'[17]Bases de Incidência'!B9</f>
        <v>795.54777497776877</v>
      </c>
      <c r="BK9" s="91">
        <f>'[17]Bases de Incidência'!C9</f>
        <v>13.26844624363355</v>
      </c>
      <c r="BL9" s="55">
        <f>'[17]Bases de Incidência'!D9</f>
        <v>40.403009232757739</v>
      </c>
      <c r="BM9" s="86">
        <f>'[17]Bases de Incidência'!E9</f>
        <v>3891.1482006485035</v>
      </c>
      <c r="BN9" s="38">
        <f>'[18]Bases de Incidência'!B9</f>
        <v>809.0817726039337</v>
      </c>
      <c r="BO9" s="91">
        <f>'[18]Bases de Incidência'!C9</f>
        <v>12.90977034585487</v>
      </c>
      <c r="BP9" s="55">
        <f>'[18]Bases de Incidência'!D9</f>
        <v>38.783369126250022</v>
      </c>
      <c r="BQ9" s="86">
        <f>'[18]Bases de Incidência'!E9</f>
        <v>3926.0294571513541</v>
      </c>
      <c r="BR9" s="38">
        <f>'[19]Bases de Incidência'!B9</f>
        <v>882.37989049515409</v>
      </c>
      <c r="BS9" s="91">
        <f>'[19]Bases de Incidência'!C9</f>
        <v>13.463550044833891</v>
      </c>
      <c r="BT9" s="55">
        <f>'[19]Bases de Incidência'!D9</f>
        <v>40.046206071540084</v>
      </c>
      <c r="BU9" s="86">
        <f>'[19]Bases de Incidência'!E9</f>
        <v>4249.1377397967535</v>
      </c>
      <c r="BV9" s="38">
        <f>'[20]Bases de Incidência'!B9</f>
        <v>1005.0398386028737</v>
      </c>
      <c r="BW9" s="91">
        <f>'[20]Bases de Incidência'!C9</f>
        <v>14.588679749424227</v>
      </c>
      <c r="BX9" s="55">
        <f>'[20]Bases de Incidência'!D9</f>
        <v>42.356710934700388</v>
      </c>
      <c r="BY9" s="86">
        <f>'[20]Bases de Incidência'!E9</f>
        <v>4820.4528676858454</v>
      </c>
      <c r="BZ9" s="38">
        <f>'[21]Bases de Incidência'!B9</f>
        <v>1041.6615734300246</v>
      </c>
      <c r="CA9" s="91">
        <f>'[21]Bases de Incidência'!C9</f>
        <v>14.097213507650963</v>
      </c>
      <c r="CB9" s="55">
        <f>'[21]Bases de Incidência'!D9</f>
        <v>41.717787675220826</v>
      </c>
      <c r="CC9" s="86">
        <f>'[21]Bases de Incidência'!E9</f>
        <v>4956.8204819838702</v>
      </c>
      <c r="CD9" s="38">
        <f>'[22]Bases de Incidência'!B9</f>
        <v>1027.1778008206077</v>
      </c>
      <c r="CE9" s="91">
        <f>'[22]Bases de Incidência'!C9</f>
        <v>13.498452031304781</v>
      </c>
      <c r="CF9" s="55">
        <f>'[22]Bases de Incidência'!D9</f>
        <v>41.898991463810979</v>
      </c>
      <c r="CG9" s="86">
        <f>'[22]Bases de Incidência'!E9</f>
        <v>4850.7683128565332</v>
      </c>
      <c r="CH9" s="38">
        <f>'[23]Bases de Incidência'!B9</f>
        <v>1295.3661508841481</v>
      </c>
      <c r="CI9" s="91">
        <f>'[23]Bases de Incidência'!C9</f>
        <v>14.556757959696348</v>
      </c>
      <c r="CJ9" s="55">
        <f>'[23]Bases de Incidência'!D9</f>
        <v>42.318873024536202</v>
      </c>
      <c r="CK9" s="86">
        <f>'[23]Bases de Incidência'!E9</f>
        <v>6072.4755672180863</v>
      </c>
      <c r="CL9" s="38">
        <f>'[24]Bases de Incidência'!B9</f>
        <v>1393.1740933928722</v>
      </c>
      <c r="CM9" s="91">
        <f>'[24]Bases de Incidência'!C9</f>
        <v>13.821615827660258</v>
      </c>
      <c r="CN9" s="55">
        <f>'[24]Bases de Incidência'!D9</f>
        <v>39.595720484184604</v>
      </c>
      <c r="CO9" s="86">
        <f>'[24]Bases de Incidência'!E9</f>
        <v>6860.197494010079</v>
      </c>
      <c r="CP9" s="38">
        <f>'[25]Bases de Incidência'!B9</f>
        <v>1469.4576529344799</v>
      </c>
      <c r="CQ9" s="91">
        <f>'[25]Bases de Incidência'!C9</f>
        <v>13.427866773944782</v>
      </c>
      <c r="CR9" s="55">
        <f>'[25]Bases de Incidência'!D9</f>
        <v>38.833575596747913</v>
      </c>
      <c r="CS9" s="86">
        <f>'[25]Bases de Incidência'!E9</f>
        <v>7070.4023640376936</v>
      </c>
      <c r="CT9" s="38">
        <f>'[26]Bases de Incidência'!B9</f>
        <v>1669.5638175004599</v>
      </c>
      <c r="CU9" s="91">
        <f>'[26]Bases de Incidência'!C9</f>
        <v>14.215454955081984</v>
      </c>
      <c r="CV9" s="55">
        <f>'[26]Bases de Incidência'!D9</f>
        <v>39.542303116342488</v>
      </c>
      <c r="CW9" s="86">
        <f>'[26]Bases de Incidência'!E9</f>
        <v>7853.6756337229917</v>
      </c>
    </row>
    <row r="10" spans="1:101" x14ac:dyDescent="0.25">
      <c r="A10" s="89" t="s">
        <v>30</v>
      </c>
      <c r="B10" s="38">
        <f>'[2]Bases de Incidência'!B10</f>
        <v>85.36697116037999</v>
      </c>
      <c r="C10" s="91">
        <f>'[2]Bases de Incidência'!C10</f>
        <v>7.0998493684622268</v>
      </c>
      <c r="D10" s="55">
        <f>'[2]Bases de Incidência'!D10</f>
        <v>23.232575569163878</v>
      </c>
      <c r="E10" s="86">
        <f>'[2]Bases de Incidência'!E10</f>
        <v>492.17518142479139</v>
      </c>
      <c r="F10" s="38">
        <f>'[3]Bases de Incidência'!B10</f>
        <v>101.04277355099381</v>
      </c>
      <c r="G10" s="91">
        <f>'[3]Bases de Incidência'!C10</f>
        <v>7.6794519915177064</v>
      </c>
      <c r="H10" s="55">
        <f>'[3]Bases de Incidência'!D10</f>
        <v>23.963851546988032</v>
      </c>
      <c r="I10" s="86">
        <f>'[3]Bases de Incidência'!E10</f>
        <v>582.55253440695139</v>
      </c>
      <c r="J10" s="38">
        <f>'[4]Bases de Incidência'!B10</f>
        <v>116.00469193730224</v>
      </c>
      <c r="K10" s="91">
        <f>'[4]Bases de Incidência'!C10</f>
        <v>7.7918931275798506</v>
      </c>
      <c r="L10" s="55">
        <f>'[4]Bases de Incidência'!D10</f>
        <v>23.415196318213923</v>
      </c>
      <c r="M10" s="86">
        <f>'[4]Bases de Incidência'!E10</f>
        <v>650.70233036081106</v>
      </c>
      <c r="N10" s="38">
        <f>'[5]Bases de Incidência'!B10</f>
        <v>133.06196518290406</v>
      </c>
      <c r="O10" s="91">
        <f>'[5]Bases de Incidência'!C10</f>
        <v>7.7453921931897929</v>
      </c>
      <c r="P10" s="55">
        <f>'[5]Bases de Incidência'!D10</f>
        <v>23.760434397117443</v>
      </c>
      <c r="Q10" s="86">
        <f>'[5]Bases de Incidência'!E10</f>
        <v>736.69927094814386</v>
      </c>
      <c r="R10" s="38">
        <f>'[6]Bases de Incidência'!B10</f>
        <v>157.93640314127583</v>
      </c>
      <c r="S10" s="91">
        <f>'[6]Bases de Incidência'!C10</f>
        <v>8.0672364943895243</v>
      </c>
      <c r="T10" s="55">
        <f>'[6]Bases de Incidência'!D10</f>
        <v>23.993269070358764</v>
      </c>
      <c r="U10" s="86">
        <f>'[6]Bases de Incidência'!E10</f>
        <v>863.45808965664264</v>
      </c>
      <c r="V10" s="38">
        <f>'[7]Bases de Incidência'!B10</f>
        <v>176.07639339091003</v>
      </c>
      <c r="W10" s="91">
        <f>'[7]Bases de Incidência'!C10</f>
        <v>8.1119326536813823</v>
      </c>
      <c r="X10" s="55">
        <f>'[7]Bases de Incidência'!D10</f>
        <v>23.346600487847152</v>
      </c>
      <c r="Y10" s="86">
        <f>'[7]Bases de Incidência'!E10</f>
        <v>950.98907314997075</v>
      </c>
      <c r="Z10" s="38">
        <f>'[8]Bases de Incidência'!B10</f>
        <v>198.57226631442998</v>
      </c>
      <c r="AA10" s="91">
        <f>'[8]Bases de Incidência'!C10</f>
        <v>8.2413939411247377</v>
      </c>
      <c r="AB10" s="55">
        <f>'[8]Bases de Incidência'!D10</f>
        <v>23.937758237665534</v>
      </c>
      <c r="AC10" s="86">
        <f>'[8]Bases de Incidência'!E10</f>
        <v>1059.9840985219446</v>
      </c>
      <c r="AD10" s="38">
        <f>'[9]Bases de Incidência'!B10</f>
        <v>224.21568219180008</v>
      </c>
      <c r="AE10" s="91">
        <f>'[9]Bases de Incidência'!C10</f>
        <v>8.2424266400638508</v>
      </c>
      <c r="AF10" s="55">
        <f>'[9]Bases de Incidência'!D10</f>
        <v>23.831955790684052</v>
      </c>
      <c r="AG10" s="86">
        <f>'[9]Bases de Incidência'!E10</f>
        <v>1183.428807375888</v>
      </c>
      <c r="AH10" s="38">
        <f>'[10]Bases de Incidência'!B10</f>
        <v>254.97262991374004</v>
      </c>
      <c r="AI10" s="91">
        <f>'[10]Bases de Incidência'!C10</f>
        <v>8.1989962037383091</v>
      </c>
      <c r="AJ10" s="55">
        <f>'[10]Bases de Incidência'!D10</f>
        <v>23.58922740469464</v>
      </c>
      <c r="AK10" s="86">
        <f>'[10]Bases de Incidência'!E10</f>
        <v>1331.2242628192087</v>
      </c>
      <c r="AL10" s="38">
        <f>'[11]Bases de Incidência'!B10</f>
        <v>284.56754985541994</v>
      </c>
      <c r="AM10" s="91">
        <f>'[11]Bases de Incidência'!C10</f>
        <v>8.5377803816702986</v>
      </c>
      <c r="AN10" s="55">
        <f>'[11]Bases de Incidência'!D10</f>
        <v>25.744012280243254</v>
      </c>
      <c r="AO10" s="86">
        <f>'[11]Bases de Incidência'!E10</f>
        <v>1470.2992365286252</v>
      </c>
      <c r="AP10" s="38">
        <f>'[12]Bases de Incidência'!B10</f>
        <v>330.51614052036985</v>
      </c>
      <c r="AQ10" s="91">
        <f>'[12]Bases de Incidência'!C10</f>
        <v>8.505639581804683</v>
      </c>
      <c r="AR10" s="55">
        <f>'[12]Bases de Incidência'!D10</f>
        <v>25.594381640092724</v>
      </c>
      <c r="AS10" s="86">
        <f>'[12]Bases de Incidência'!E10</f>
        <v>1690.6386956389583</v>
      </c>
      <c r="AT10" s="38">
        <f>'[13]Bases de Incidência'!B10</f>
        <v>380.84058554271002</v>
      </c>
      <c r="AU10" s="91">
        <f>'[13]Bases de Incidência'!C10</f>
        <v>8.7021787755892888</v>
      </c>
      <c r="AV10" s="55">
        <f>'[13]Bases de Incidência'!D10</f>
        <v>25.532286107834313</v>
      </c>
      <c r="AW10" s="86">
        <f>'[13]Bases de Incidência'!E10</f>
        <v>1929.3127596421443</v>
      </c>
      <c r="AX10" s="38">
        <f>'[14]Bases de Incidência'!B10</f>
        <v>425.84936346831216</v>
      </c>
      <c r="AY10" s="91">
        <f>'[14]Bases de Incidência'!C10</f>
        <v>8.8446643959057596</v>
      </c>
      <c r="AZ10" s="55">
        <f>'[14]Bases de Incidência'!D10</f>
        <v>25.996365757647499</v>
      </c>
      <c r="BA10" s="86">
        <f>'[14]Bases de Incidência'!E10</f>
        <v>2137.3424078061839</v>
      </c>
      <c r="BB10" s="38">
        <f>'[15]Bases de Incidência'!B10</f>
        <v>467.87729017801422</v>
      </c>
      <c r="BC10" s="91">
        <f>'[15]Bases de Incidência'!C10</f>
        <v>8.7755199720387793</v>
      </c>
      <c r="BD10" s="55">
        <f>'[15]Bases de Incidência'!D10</f>
        <v>26.105639015693978</v>
      </c>
      <c r="BE10" s="86">
        <f>'[15]Bases de Incidência'!E10</f>
        <v>2327.3689185632456</v>
      </c>
      <c r="BF10" s="38">
        <f>'[16]Bases de Incidência'!B10</f>
        <v>506.8495618314787</v>
      </c>
      <c r="BG10" s="91">
        <f>'[16]Bases de Incidência'!C10</f>
        <v>8.7706122861957621</v>
      </c>
      <c r="BH10" s="55">
        <f>'[16]Bases de Incidência'!D10</f>
        <v>26.679364008125656</v>
      </c>
      <c r="BI10" s="86">
        <f>'[16]Bases de Incidência'!E10</f>
        <v>2499.6456888197426</v>
      </c>
      <c r="BJ10" s="38">
        <f>'[17]Bases de Incidência'!B10</f>
        <v>527.62101808160924</v>
      </c>
      <c r="BK10" s="91">
        <f>'[17]Bases de Incidência'!C10</f>
        <v>8.7998626048858846</v>
      </c>
      <c r="BL10" s="55">
        <f>'[17]Bases de Incidência'!D10</f>
        <v>26.795973209206704</v>
      </c>
      <c r="BM10" s="86">
        <f>'[17]Bases de Incidência'!E10</f>
        <v>2580.6766604179829</v>
      </c>
      <c r="BN10" s="38">
        <f>'[18]Bases de Incidência'!B10</f>
        <v>553.03808990056007</v>
      </c>
      <c r="BO10" s="91">
        <f>'[18]Bases de Incidência'!C10</f>
        <v>8.8243178562143747</v>
      </c>
      <c r="BP10" s="55">
        <f>'[18]Bases de Incidência'!D10</f>
        <v>26.509904323341303</v>
      </c>
      <c r="BQ10" s="86">
        <f>'[18]Bases de Incidência'!E10</f>
        <v>2683.5900960769723</v>
      </c>
      <c r="BR10" s="38">
        <f>'[19]Bases de Incidência'!B10</f>
        <v>579.97642892685997</v>
      </c>
      <c r="BS10" s="91">
        <f>'[19]Bases de Incidência'!C10</f>
        <v>8.8494102821167022</v>
      </c>
      <c r="BT10" s="55">
        <f>'[19]Bases de Incidência'!D10</f>
        <v>26.321832398523487</v>
      </c>
      <c r="BU10" s="86">
        <f>'[19]Bases de Incidência'!E10</f>
        <v>2792.9010609735833</v>
      </c>
      <c r="BV10" s="38">
        <f>'[20]Bases de Incidência'!B10</f>
        <v>601.81618787642003</v>
      </c>
      <c r="BW10" s="91">
        <f>'[20]Bases de Incidência'!C10</f>
        <v>8.7356772296243097</v>
      </c>
      <c r="BX10" s="55">
        <f>'[20]Bases de Incidência'!D10</f>
        <v>25.363128232946824</v>
      </c>
      <c r="BY10" s="86">
        <f>'[20]Bases de Incidência'!E10</f>
        <v>2886.4791794735511</v>
      </c>
      <c r="BZ10" s="38">
        <f>'[21]Bases de Incidência'!B10</f>
        <v>636.93420441917999</v>
      </c>
      <c r="CA10" s="91">
        <f>'[21]Bases de Incidência'!C10</f>
        <v>8.6198797181858051</v>
      </c>
      <c r="CB10" s="55">
        <f>'[21]Bases de Incidência'!D10</f>
        <v>25.508751192145258</v>
      </c>
      <c r="CC10" s="86">
        <f>'[21]Bases de Incidência'!E10</f>
        <v>3030.8965893260729</v>
      </c>
      <c r="CD10" s="38">
        <f>'[22]Bases de Incidência'!B10</f>
        <v>631.25708080161985</v>
      </c>
      <c r="CE10" s="91">
        <f>'[22]Bases de Incidência'!C10</f>
        <v>8.2955389201506975</v>
      </c>
      <c r="CF10" s="55">
        <f>'[22]Bases de Incidência'!D10</f>
        <v>25.749227659366557</v>
      </c>
      <c r="CG10" s="86">
        <f>'[22]Bases de Incidência'!E10</f>
        <v>2981.0631055037702</v>
      </c>
      <c r="CH10" s="38">
        <f>'[23]Bases de Incidência'!B10</f>
        <v>715.77672428429003</v>
      </c>
      <c r="CI10" s="91">
        <f>'[23]Bases de Incidência'!C10</f>
        <v>8.0435856081919361</v>
      </c>
      <c r="CJ10" s="55">
        <f>'[23]Bases de Incidência'!D10</f>
        <v>23.384017166289542</v>
      </c>
      <c r="CK10" s="86">
        <f>'[23]Bases de Incidência'!E10</f>
        <v>3355.4502461200127</v>
      </c>
      <c r="CL10" s="38">
        <f>'[24]Bases de Incidência'!B10</f>
        <v>820.7214844217192</v>
      </c>
      <c r="CM10" s="91">
        <f>'[24]Bases de Incidência'!C10</f>
        <v>8.1423399365388249</v>
      </c>
      <c r="CN10" s="55">
        <f>'[24]Bases de Incidência'!D10</f>
        <v>23.325913571494581</v>
      </c>
      <c r="CO10" s="86">
        <f>'[24]Bases de Incidência'!E10</f>
        <v>4041.3552745574734</v>
      </c>
      <c r="CP10" s="38">
        <f>'[25]Bases de Incidência'!B10</f>
        <v>869.78258278509009</v>
      </c>
      <c r="CQ10" s="91">
        <f>'[25]Bases de Incidência'!C10</f>
        <v>7.9480511878735616</v>
      </c>
      <c r="CR10" s="55">
        <f>'[25]Bases de Incidência'!D10</f>
        <v>22.985873470982892</v>
      </c>
      <c r="CS10" s="86">
        <f>'[25]Bases de Incidência'!E10</f>
        <v>4185.0221523850296</v>
      </c>
      <c r="CT10" s="38">
        <f>'[26]Bases de Incidência'!B10</f>
        <v>978.14269942836006</v>
      </c>
      <c r="CU10" s="91">
        <f>'[26]Bases de Incidência'!C10</f>
        <v>8.3283689653644029</v>
      </c>
      <c r="CV10" s="55">
        <f>'[26]Bases de Incidência'!D10</f>
        <v>23.166538892618902</v>
      </c>
      <c r="CW10" s="86">
        <f>'[26]Bases de Incidência'!E10</f>
        <v>4601.211049425744</v>
      </c>
    </row>
    <row r="11" spans="1:101" s="61" customFormat="1" x14ac:dyDescent="0.25">
      <c r="A11" s="89" t="s">
        <v>31</v>
      </c>
      <c r="B11" s="38">
        <f>'[2]Bases de Incidência'!B11</f>
        <v>62.34195396042</v>
      </c>
      <c r="C11" s="91">
        <f>'[2]Bases de Incidência'!C11</f>
        <v>5.1848914918515305</v>
      </c>
      <c r="D11" s="55">
        <f>'[2]Bases de Incidência'!D11</f>
        <v>16.966329446007087</v>
      </c>
      <c r="E11" s="86">
        <f>'[2]Bases de Incidência'!E11</f>
        <v>359.42662699372181</v>
      </c>
      <c r="F11" s="38">
        <f>'[3]Bases de Incidência'!B11</f>
        <v>73.970846548214681</v>
      </c>
      <c r="G11" s="91">
        <f>'[3]Bases de Incidência'!C11</f>
        <v>5.6219316322730801</v>
      </c>
      <c r="H11" s="55">
        <f>'[3]Bases de Incidência'!D11</f>
        <v>17.543326684236828</v>
      </c>
      <c r="I11" s="86">
        <f>'[3]Bases de Incidência'!E11</f>
        <v>426.47190506051106</v>
      </c>
      <c r="J11" s="38">
        <f>'[4]Bases de Incidência'!B11</f>
        <v>95.70237648459134</v>
      </c>
      <c r="K11" s="91">
        <f>'[4]Bases de Incidência'!C11</f>
        <v>6.4282114556744068</v>
      </c>
      <c r="L11" s="55">
        <f>'[4]Bases de Incidência'!D11</f>
        <v>19.317235329735396</v>
      </c>
      <c r="M11" s="86">
        <f>'[4]Bases de Incidência'!E11</f>
        <v>536.82104024937837</v>
      </c>
      <c r="N11" s="38">
        <f>'[5]Bases de Incidência'!B11</f>
        <v>108.34993688717867</v>
      </c>
      <c r="O11" s="91">
        <f>'[5]Bases de Incidência'!C11</f>
        <v>6.3069319181104619</v>
      </c>
      <c r="P11" s="55">
        <f>'[5]Bases de Incidência'!D11</f>
        <v>19.347689355112511</v>
      </c>
      <c r="Q11" s="86">
        <f>'[5]Bases de Incidência'!E11</f>
        <v>599.88081043550869</v>
      </c>
      <c r="R11" s="38">
        <f>'[6]Bases de Incidência'!B11</f>
        <v>121.86175356703949</v>
      </c>
      <c r="S11" s="91">
        <f>'[6]Bases de Incidência'!C11</f>
        <v>6.2245787930660992</v>
      </c>
      <c r="T11" s="55">
        <f>'[6]Bases de Incidência'!D11</f>
        <v>18.512906363356294</v>
      </c>
      <c r="U11" s="86">
        <f>'[6]Bases de Incidência'!E11</f>
        <v>666.233463877747</v>
      </c>
      <c r="V11" s="38">
        <f>'[7]Bases de Incidência'!B11</f>
        <v>150.27513379881552</v>
      </c>
      <c r="W11" s="91">
        <f>'[7]Bases de Incidência'!C11</f>
        <v>6.9232549657726157</v>
      </c>
      <c r="X11" s="55">
        <f>'[7]Bases de Incidência'!D11</f>
        <v>19.925518943755492</v>
      </c>
      <c r="Y11" s="86">
        <f>'[7]Bases de Incidência'!E11</f>
        <v>811.63640086349676</v>
      </c>
      <c r="Z11" s="38">
        <f>'[8]Bases de Incidência'!B11</f>
        <v>163.8359821322255</v>
      </c>
      <c r="AA11" s="91">
        <f>'[8]Bases de Incidência'!C11</f>
        <v>6.7997253369949791</v>
      </c>
      <c r="AB11" s="55">
        <f>'[8]Bases de Incidência'!D11</f>
        <v>19.750321652176797</v>
      </c>
      <c r="AC11" s="86">
        <f>'[8]Bases de Incidência'!E11</f>
        <v>874.56087926647467</v>
      </c>
      <c r="AD11" s="38">
        <f>'[9]Bases de Incidência'!B11</f>
        <v>194.36760968992849</v>
      </c>
      <c r="AE11" s="91">
        <f>'[9]Bases de Incidência'!C11</f>
        <v>7.1451771277236249</v>
      </c>
      <c r="AF11" s="55">
        <f>'[9]Bases de Incidência'!D11</f>
        <v>20.659394722037483</v>
      </c>
      <c r="AG11" s="86">
        <f>'[9]Bases de Incidência'!E11</f>
        <v>1025.8882263689688</v>
      </c>
      <c r="AH11" s="38">
        <f>'[10]Bases de Incidência'!B11</f>
        <v>235.88242028826704</v>
      </c>
      <c r="AI11" s="91">
        <f>'[10]Bases de Incidência'!C11</f>
        <v>7.5851242116708697</v>
      </c>
      <c r="AJ11" s="55">
        <f>'[10]Bases de Incidência'!D11</f>
        <v>21.823064125871646</v>
      </c>
      <c r="AK11" s="86">
        <f>'[10]Bases de Incidência'!E11</f>
        <v>1231.5533677732105</v>
      </c>
      <c r="AL11" s="38">
        <f>'[11]Bases de Incidência'!B11</f>
        <v>234.98328712102096</v>
      </c>
      <c r="AM11" s="91">
        <f>'[11]Bases de Incidência'!C11</f>
        <v>7.0501211393272314</v>
      </c>
      <c r="AN11" s="55">
        <f>'[11]Bases de Incidência'!D11</f>
        <v>21.258265857681284</v>
      </c>
      <c r="AO11" s="86">
        <f>'[11]Bases de Incidência'!E11</f>
        <v>1214.1080310336147</v>
      </c>
      <c r="AP11" s="38">
        <f>'[12]Bases de Incidência'!B11</f>
        <v>261.02350884064822</v>
      </c>
      <c r="AQ11" s="91">
        <f>'[12]Bases de Incidência'!C11</f>
        <v>6.7172873466363496</v>
      </c>
      <c r="AR11" s="55">
        <f>'[12]Bases de Incidência'!D11</f>
        <v>20.213037982911853</v>
      </c>
      <c r="AS11" s="86">
        <f>'[12]Bases de Incidência'!E11</f>
        <v>1335.1736584563571</v>
      </c>
      <c r="AT11" s="38">
        <f>'[13]Bases de Incidência'!B11</f>
        <v>317.83716904283551</v>
      </c>
      <c r="AU11" s="91">
        <f>'[13]Bases de Incidência'!C11</f>
        <v>7.2625554406090584</v>
      </c>
      <c r="AV11" s="55">
        <f>'[13]Bases de Incidência'!D11</f>
        <v>21.308415761785167</v>
      </c>
      <c r="AW11" s="86">
        <f>'[13]Bases de Incidência'!E11</f>
        <v>1610.1416944547536</v>
      </c>
      <c r="AX11" s="38">
        <f>'[14]Bases de Incidência'!B11</f>
        <v>323.76982361932795</v>
      </c>
      <c r="AY11" s="91">
        <f>'[14]Bases de Incidência'!C11</f>
        <v>6.7245267390135322</v>
      </c>
      <c r="AZ11" s="55">
        <f>'[14]Bases de Incidência'!D11</f>
        <v>19.764826434273562</v>
      </c>
      <c r="BA11" s="86">
        <f>'[14]Bases de Incidência'!E11</f>
        <v>1625.0041299897607</v>
      </c>
      <c r="BB11" s="38">
        <f>'[15]Bases de Incidência'!B11</f>
        <v>355.20733747491346</v>
      </c>
      <c r="BC11" s="91">
        <f>'[15]Bases de Incidência'!C11</f>
        <v>6.662279083987686</v>
      </c>
      <c r="BD11" s="55">
        <f>'[15]Bases de Incidência'!D11</f>
        <v>19.819116513045106</v>
      </c>
      <c r="BE11" s="86">
        <f>'[15]Bases de Incidência'!E11</f>
        <v>1766.9131078582238</v>
      </c>
      <c r="BF11" s="38">
        <f>'[16]Bases de Incidência'!B11</f>
        <v>384.33520250109001</v>
      </c>
      <c r="BG11" s="91">
        <f>'[16]Bases de Incidência'!C11</f>
        <v>6.6506026697412137</v>
      </c>
      <c r="BH11" s="55">
        <f>'[16]Bases de Incidência'!D11</f>
        <v>20.23049745098238</v>
      </c>
      <c r="BI11" s="86">
        <f>'[16]Bases de Incidência'!E11</f>
        <v>1895.4378268022142</v>
      </c>
      <c r="BJ11" s="38">
        <f>'[17]Bases de Incidência'!B11</f>
        <v>404.36912355559991</v>
      </c>
      <c r="BK11" s="91">
        <f>'[17]Bases de Incidência'!C11</f>
        <v>6.7442209597438989</v>
      </c>
      <c r="BL11" s="55">
        <f>'[17]Bases de Incidência'!D11</f>
        <v>20.53645292756379</v>
      </c>
      <c r="BM11" s="86">
        <f>'[17]Bases de Incidência'!E11</f>
        <v>1977.8324281846615</v>
      </c>
      <c r="BN11" s="38">
        <f>'[18]Bases de Incidência'!B11</f>
        <v>455.48729661954997</v>
      </c>
      <c r="BO11" s="91">
        <f>'[18]Bases de Incidência'!C11</f>
        <v>7.2677899736732723</v>
      </c>
      <c r="BP11" s="55">
        <f>'[18]Bases de Incidência'!D11</f>
        <v>21.83380290506356</v>
      </c>
      <c r="BQ11" s="86">
        <f>'[18]Bases de Incidência'!E11</f>
        <v>2210.2296757116383</v>
      </c>
      <c r="BR11" s="38">
        <f>'[19]Bases de Incidência'!B11</f>
        <v>479.62541119630009</v>
      </c>
      <c r="BS11" s="91">
        <f>'[19]Bases de Incidência'!C11</f>
        <v>7.3182319723897686</v>
      </c>
      <c r="BT11" s="55">
        <f>'[19]Bases de Incidência'!D11</f>
        <v>21.76747029347635</v>
      </c>
      <c r="BU11" s="86">
        <f>'[19]Bases de Incidência'!E11</f>
        <v>2309.6564842792363</v>
      </c>
      <c r="BV11" s="38">
        <f>'[20]Bases de Incidência'!B11</f>
        <v>491.39494227213999</v>
      </c>
      <c r="BW11" s="91">
        <f>'[20]Bases de Incidência'!C11</f>
        <v>7.1328550052906907</v>
      </c>
      <c r="BX11" s="55">
        <f>'[20]Bases de Incidência'!D11</f>
        <v>20.709500982098987</v>
      </c>
      <c r="BY11" s="86">
        <f>'[20]Bases de Incidência'!E11</f>
        <v>2356.8679246933139</v>
      </c>
      <c r="BZ11" s="38">
        <f>'[21]Bases de Incidência'!B11</f>
        <v>534.96109280654912</v>
      </c>
      <c r="CA11" s="91">
        <f>'[21]Bases de Incidência'!C11</f>
        <v>7.239837713075449</v>
      </c>
      <c r="CB11" s="55">
        <f>'[21]Bases de Incidência'!D11</f>
        <v>21.424802309564054</v>
      </c>
      <c r="CC11" s="86">
        <f>'[21]Bases de Incidência'!E11</f>
        <v>2545.6503047878914</v>
      </c>
      <c r="CD11" s="38">
        <f>'[22]Bases de Incidência'!B11</f>
        <v>525.23738908153996</v>
      </c>
      <c r="CE11" s="91">
        <f>'[22]Bases de Incidência'!C11</f>
        <v>6.9023023043341194</v>
      </c>
      <c r="CF11" s="55">
        <f>'[22]Bases de Incidência'!D11</f>
        <v>21.424642222622587</v>
      </c>
      <c r="CG11" s="86">
        <f>'[22]Bases de Incidência'!E11</f>
        <v>2480.3932499795092</v>
      </c>
      <c r="CH11" s="38">
        <f>'[23]Bases de Incidência'!B11</f>
        <v>695.24775657473992</v>
      </c>
      <c r="CI11" s="91">
        <f>'[23]Bases de Incidência'!C11</f>
        <v>7.8128900524169334</v>
      </c>
      <c r="CJ11" s="55">
        <f>'[23]Bases de Incidência'!D11</f>
        <v>22.713347504871969</v>
      </c>
      <c r="CK11" s="86">
        <f>'[23]Bases de Incidência'!E11</f>
        <v>3259.2136301243231</v>
      </c>
      <c r="CL11" s="38">
        <f>'[24]Bases de Incidência'!B11</f>
        <v>905.18382586736993</v>
      </c>
      <c r="CM11" s="91">
        <f>'[24]Bases de Incidência'!C11</f>
        <v>8.980286924573468</v>
      </c>
      <c r="CN11" s="55">
        <f>'[24]Bases de Incidência'!D11</f>
        <v>25.726437152274844</v>
      </c>
      <c r="CO11" s="86">
        <f>'[24]Bases de Incidência'!E11</f>
        <v>4457.2604696595172</v>
      </c>
      <c r="CP11" s="38">
        <f>'[25]Bases de Incidência'!B11</f>
        <v>1001.5568950823549</v>
      </c>
      <c r="CQ11" s="91">
        <f>'[25]Bases de Incidência'!C11</f>
        <v>9.1522015124659788</v>
      </c>
      <c r="CR11" s="55">
        <f>'[25]Bases de Incidência'!D11</f>
        <v>26.468292789488746</v>
      </c>
      <c r="CS11" s="86">
        <f>'[25]Bases de Incidência'!E11</f>
        <v>4819.0638393471818</v>
      </c>
      <c r="CT11" s="38">
        <f>'[26]Bases de Incidência'!B11</f>
        <v>1059.4861025815901</v>
      </c>
      <c r="CU11" s="91">
        <f>'[26]Bases de Incidência'!C11</f>
        <v>9.0209651220953209</v>
      </c>
      <c r="CV11" s="55">
        <f>'[26]Bases de Incidência'!D11</f>
        <v>25.093093283822331</v>
      </c>
      <c r="CW11" s="86">
        <f>'[26]Bases de Incidência'!E11</f>
        <v>4983.8527290142829</v>
      </c>
    </row>
    <row r="12" spans="1:101" x14ac:dyDescent="0.25">
      <c r="A12" s="89" t="s">
        <v>32</v>
      </c>
      <c r="B12" s="38">
        <f>'[2]Bases de Incidência'!B12</f>
        <v>12.551168744030001</v>
      </c>
      <c r="C12" s="91">
        <f>'[2]Bases de Incidência'!C12</f>
        <v>1.043862822699303</v>
      </c>
      <c r="D12" s="55">
        <f>'[2]Bases de Incidência'!D12</f>
        <v>3.415793864575325</v>
      </c>
      <c r="E12" s="86">
        <f>'[2]Bases de Incidência'!E12</f>
        <v>72.362573835267369</v>
      </c>
      <c r="F12" s="38">
        <f>'[3]Bases de Incidência'!B12</f>
        <v>13.994731652284999</v>
      </c>
      <c r="G12" s="91">
        <f>'[3]Bases de Incidência'!C12</f>
        <v>1.0636274726134423</v>
      </c>
      <c r="H12" s="55">
        <f>'[3]Bases de Incidência'!D12</f>
        <v>3.3190663712931472</v>
      </c>
      <c r="I12" s="86">
        <f>'[3]Bases de Incidência'!E12</f>
        <v>80.685298966673344</v>
      </c>
      <c r="J12" s="38">
        <f>'[4]Bases de Incidência'!B12</f>
        <v>16.146408153819998</v>
      </c>
      <c r="K12" s="91">
        <f>'[4]Bases de Incidência'!C12</f>
        <v>1.08453446690628</v>
      </c>
      <c r="L12" s="55">
        <f>'[4]Bases de Incidência'!D12</f>
        <v>3.2591036659107182</v>
      </c>
      <c r="M12" s="86">
        <f>'[4]Bases de Incidência'!E12</f>
        <v>90.56965918521631</v>
      </c>
      <c r="N12" s="38">
        <f>'[5]Bases de Incidência'!B12</f>
        <v>18.449831518210001</v>
      </c>
      <c r="O12" s="91">
        <f>'[5]Bases de Incidência'!C12</f>
        <v>1.0739446152804215</v>
      </c>
      <c r="P12" s="55">
        <f>'[5]Bases de Incidência'!D12</f>
        <v>3.2945253049864127</v>
      </c>
      <c r="Q12" s="86">
        <f>'[5]Bases de Incidência'!E12</f>
        <v>102.14772801452435</v>
      </c>
      <c r="R12" s="38">
        <f>'[6]Bases de Incidência'!B12</f>
        <v>21.0382337481355</v>
      </c>
      <c r="S12" s="91">
        <f>'[6]Bases de Incidência'!C12</f>
        <v>1.0746123356921029</v>
      </c>
      <c r="T12" s="55">
        <f>'[6]Bases de Incidência'!D12</f>
        <v>3.1960712859377316</v>
      </c>
      <c r="U12" s="86">
        <f>'[6]Bases de Incidência'!E12</f>
        <v>115.01865789399821</v>
      </c>
      <c r="V12" s="38">
        <f>'[7]Bases de Incidência'!B12</f>
        <v>23.419013983940001</v>
      </c>
      <c r="W12" s="91">
        <f>'[7]Bases de Incidência'!C12</f>
        <v>1.0789263716435893</v>
      </c>
      <c r="X12" s="55">
        <f>'[7]Bases de Incidência'!D12</f>
        <v>3.1052110551156891</v>
      </c>
      <c r="Y12" s="86">
        <f>'[7]Bases de Incidência'!E12</f>
        <v>126.48615736482401</v>
      </c>
      <c r="Z12" s="38">
        <f>'[8]Bases de Incidência'!B12</f>
        <v>26.647032325719998</v>
      </c>
      <c r="AA12" s="91">
        <f>'[8]Bases de Incidência'!C12</f>
        <v>1.1059383811957086</v>
      </c>
      <c r="AB12" s="55">
        <f>'[8]Bases de Incidência'!D12</f>
        <v>3.2122825075396264</v>
      </c>
      <c r="AC12" s="86">
        <f>'[8]Bases de Incidência'!E12</f>
        <v>142.24257527150391</v>
      </c>
      <c r="AD12" s="38">
        <f>'[9]Bases de Incidência'!B12</f>
        <v>30.881109760179996</v>
      </c>
      <c r="AE12" s="91">
        <f>'[9]Bases de Incidência'!C12</f>
        <v>1.1352251513982285</v>
      </c>
      <c r="AF12" s="55">
        <f>'[9]Bases de Incidência'!D12</f>
        <v>3.2823629256329805</v>
      </c>
      <c r="AG12" s="86">
        <f>'[9]Bases de Incidência'!E12</f>
        <v>162.99303660067645</v>
      </c>
      <c r="AH12" s="38">
        <f>'[10]Bases de Incidência'!B12</f>
        <v>35.392213774490003</v>
      </c>
      <c r="AI12" s="91">
        <f>'[10]Bases de Incidência'!C12</f>
        <v>1.1380853955858299</v>
      </c>
      <c r="AJ12" s="55">
        <f>'[10]Bases de Incidência'!D12</f>
        <v>3.2743709760708741</v>
      </c>
      <c r="AK12" s="86">
        <f>'[10]Bases de Incidência'!E12</f>
        <v>184.78443630371149</v>
      </c>
      <c r="AL12" s="38">
        <f>'[11]Bases de Incidência'!B12</f>
        <v>40.521480528680001</v>
      </c>
      <c r="AM12" s="91">
        <f>'[11]Bases de Incidência'!C12</f>
        <v>1.2157517667414031</v>
      </c>
      <c r="AN12" s="55">
        <f>'[11]Bases de Incidência'!D12</f>
        <v>3.6658624388971495</v>
      </c>
      <c r="AO12" s="86">
        <f>'[11]Bases de Incidência'!E12</f>
        <v>209.36576188886568</v>
      </c>
      <c r="AP12" s="38">
        <f>'[12]Bases de Incidência'!B12</f>
        <v>46.199147302820002</v>
      </c>
      <c r="AQ12" s="91">
        <f>'[12]Bases de Incidência'!C12</f>
        <v>1.1889080373679148</v>
      </c>
      <c r="AR12" s="55">
        <f>'[12]Bases de Incidência'!D12</f>
        <v>3.577551782050902</v>
      </c>
      <c r="AS12" s="86">
        <f>'[12]Bases de Incidência'!E12</f>
        <v>236.31543685794065</v>
      </c>
      <c r="AT12" s="38">
        <f>'[13]Bases de Incidência'!B12</f>
        <v>52.49007476928999</v>
      </c>
      <c r="AU12" s="91">
        <f>'[13]Bases de Incidência'!C12</f>
        <v>1.1993942660693238</v>
      </c>
      <c r="AV12" s="55">
        <f>'[13]Bases de Incidência'!D12</f>
        <v>3.5190356745232689</v>
      </c>
      <c r="AW12" s="86">
        <f>'[13]Bases de Incidência'!E12</f>
        <v>265.91118397386322</v>
      </c>
      <c r="AX12" s="38">
        <f>'[14]Bases de Incidência'!B12</f>
        <v>58.836295320310008</v>
      </c>
      <c r="AY12" s="91">
        <f>'[14]Bases de Incidência'!C12</f>
        <v>1.2219985070971349</v>
      </c>
      <c r="AZ12" s="55">
        <f>'[14]Bases de Incidência'!D12</f>
        <v>3.5917157196492009</v>
      </c>
      <c r="BA12" s="86">
        <f>'[14]Bases de Incidência'!E12</f>
        <v>295.29998138805377</v>
      </c>
      <c r="BB12" s="38">
        <f>'[15]Bases de Incidência'!B12</f>
        <v>65.561341693429995</v>
      </c>
      <c r="BC12" s="91">
        <f>'[15]Bases de Incidência'!C12</f>
        <v>1.2296704189370995</v>
      </c>
      <c r="BD12" s="55">
        <f>'[15]Bases de Incidência'!D12</f>
        <v>3.6580546984489559</v>
      </c>
      <c r="BE12" s="86">
        <f>'[15]Bases de Incidência'!E12</f>
        <v>326.12275081472558</v>
      </c>
      <c r="BF12" s="38">
        <f>'[16]Bases de Incidência'!B12</f>
        <v>71.799442841105403</v>
      </c>
      <c r="BG12" s="91">
        <f>'[16]Bases de Incidência'!C12</f>
        <v>1.2424299495272828</v>
      </c>
      <c r="BH12" s="55">
        <f>'[16]Bases de Incidência'!D12</f>
        <v>3.7793531165670893</v>
      </c>
      <c r="BI12" s="86">
        <f>'[16]Bases de Incidência'!E12</f>
        <v>354.09553696546612</v>
      </c>
      <c r="BJ12" s="38">
        <f>'[17]Bases de Incidência'!B12</f>
        <v>80.675490866803045</v>
      </c>
      <c r="BK12" s="91">
        <f>'[17]Bases de Incidência'!C12</f>
        <v>1.345536305189011</v>
      </c>
      <c r="BL12" s="55">
        <f>'[17]Bases de Incidência'!D12</f>
        <v>4.0972179231345249</v>
      </c>
      <c r="BM12" s="86">
        <f>'[17]Bases de Incidência'!E12</f>
        <v>394.59640388230338</v>
      </c>
      <c r="BN12" s="38">
        <f>'[18]Bases de Incidência'!B12</f>
        <v>87.767338701733095</v>
      </c>
      <c r="BO12" s="91">
        <f>'[18]Bases de Incidência'!C12</f>
        <v>1.4004223366194835</v>
      </c>
      <c r="BP12" s="55">
        <f>'[18]Bases de Incidência'!D12</f>
        <v>4.2071311075799347</v>
      </c>
      <c r="BQ12" s="86">
        <f>'[18]Bases de Incidência'!E12</f>
        <v>425.88668881985006</v>
      </c>
      <c r="BR12" s="38">
        <f>'[19]Bases de Incidência'!B12</f>
        <v>93.064167930632436</v>
      </c>
      <c r="BS12" s="91">
        <f>'[19]Bases de Incidência'!C12</f>
        <v>1.4199939230389524</v>
      </c>
      <c r="BT12" s="55">
        <f>'[19]Bases de Incidência'!D12</f>
        <v>4.2236534252102675</v>
      </c>
      <c r="BU12" s="86">
        <f>'[19]Bases de Incidência'!E12</f>
        <v>448.15444281592534</v>
      </c>
      <c r="BV12" s="38">
        <f>'[20]Bases de Incidência'!B12</f>
        <v>110.49434365275947</v>
      </c>
      <c r="BW12" s="91">
        <f>'[20]Bases de Incidência'!C12</f>
        <v>1.6038832807998546</v>
      </c>
      <c r="BX12" s="55">
        <f>'[20]Bases de Incidência'!D12</f>
        <v>4.6567079176934802</v>
      </c>
      <c r="BY12" s="86">
        <f>'[20]Bases de Incidência'!E12</f>
        <v>529.96185351660631</v>
      </c>
      <c r="BZ12" s="38">
        <f>'[21]Bases de Incidência'!B12</f>
        <v>121.93512353520258</v>
      </c>
      <c r="CA12" s="91">
        <f>'[21]Bases de Incidência'!C12</f>
        <v>1.6501957203790618</v>
      </c>
      <c r="CB12" s="55">
        <f>'[21]Bases de Incidência'!D12</f>
        <v>4.8834129275242208</v>
      </c>
      <c r="CC12" s="86">
        <f>'[21]Bases de Incidência'!E12</f>
        <v>580.23693417267816</v>
      </c>
      <c r="CD12" s="38">
        <f>'[22]Bases de Incidência'!B12</f>
        <v>126.09971249729325</v>
      </c>
      <c r="CE12" s="91">
        <f>'[22]Bases de Incidência'!C12</f>
        <v>1.6571142006244648</v>
      </c>
      <c r="CF12" s="55">
        <f>'[22]Bases de Incidência'!D12</f>
        <v>5.143657479057846</v>
      </c>
      <c r="CG12" s="86">
        <f>'[22]Bases de Incidência'!E12</f>
        <v>595.49621219765493</v>
      </c>
      <c r="CH12" s="38">
        <f>'[23]Bases de Incidência'!B12</f>
        <v>149.87559141925664</v>
      </c>
      <c r="CI12" s="91">
        <f>'[23]Bases de Incidência'!C12</f>
        <v>1.6842363117697243</v>
      </c>
      <c r="CJ12" s="55">
        <f>'[23]Bases de Incidência'!D12</f>
        <v>4.8963500539362483</v>
      </c>
      <c r="CK12" s="86">
        <f>'[23]Bases de Incidência'!E12</f>
        <v>702.59352260717935</v>
      </c>
      <c r="CL12" s="38">
        <f>'[24]Bases de Incidência'!B12</f>
        <v>168.36528398296062</v>
      </c>
      <c r="CM12" s="91">
        <f>'[24]Bases de Incidência'!C12</f>
        <v>1.670344205339146</v>
      </c>
      <c r="CN12" s="55">
        <f>'[24]Bases de Incidência'!D12</f>
        <v>4.7851483568677873</v>
      </c>
      <c r="CO12" s="86">
        <f>'[24]Bases de Incidência'!E12</f>
        <v>829.05582635786834</v>
      </c>
      <c r="CP12" s="38">
        <f>'[25]Bases de Incidência'!B12</f>
        <v>195.74397984242006</v>
      </c>
      <c r="CQ12" s="91">
        <f>'[25]Bases de Incidência'!C12</f>
        <v>1.7887035246485907</v>
      </c>
      <c r="CR12" s="55">
        <f>'[25]Bases de Incidência'!D12</f>
        <v>5.1729552217030452</v>
      </c>
      <c r="CS12" s="86">
        <f>'[25]Bases de Incidência'!E12</f>
        <v>941.83639457740981</v>
      </c>
      <c r="CT12" s="38">
        <f>'[26]Bases de Incidência'!B12</f>
        <v>212.09075709074622</v>
      </c>
      <c r="CU12" s="91">
        <f>'[26]Bases de Incidência'!C12</f>
        <v>1.8058408862300992</v>
      </c>
      <c r="CV12" s="55">
        <f>'[26]Bases de Incidência'!D12</f>
        <v>5.0232024179899559</v>
      </c>
      <c r="CW12" s="86">
        <f>'[26]Bases de Incidência'!E12</f>
        <v>997.6809473477922</v>
      </c>
    </row>
    <row r="13" spans="1:101" x14ac:dyDescent="0.25">
      <c r="A13" s="89" t="s">
        <v>35</v>
      </c>
      <c r="B13" s="38">
        <f>'[2]Bases de Incidência'!B13</f>
        <v>8.4307441880700011</v>
      </c>
      <c r="C13" s="91">
        <f>'[2]Bases de Incidência'!C13</f>
        <v>0.70117298277903373</v>
      </c>
      <c r="D13" s="55">
        <f>'[2]Bases de Incidência'!D13</f>
        <v>2.2944225242060656</v>
      </c>
      <c r="E13" s="86">
        <f>'[2]Bases de Incidência'!E13</f>
        <v>48.60665657814922</v>
      </c>
      <c r="F13" s="38">
        <f>'[3]Bases de Incidência'!B13</f>
        <v>9.0965328661400022</v>
      </c>
      <c r="G13" s="91">
        <f>'[3]Bases de Incidência'!C13</f>
        <v>0.69135461131745668</v>
      </c>
      <c r="H13" s="55">
        <f>'[3]Bases de Incidência'!D13</f>
        <v>2.1573830125166094</v>
      </c>
      <c r="I13" s="86">
        <f>'[3]Bases de Incidência'!E13</f>
        <v>52.4451981003036</v>
      </c>
      <c r="J13" s="38">
        <f>'[4]Bases de Incidência'!B13</f>
        <v>7.9535269308999998</v>
      </c>
      <c r="K13" s="91">
        <f>'[4]Bases de Incidência'!C13</f>
        <v>0.53422866608185049</v>
      </c>
      <c r="L13" s="55">
        <f>'[4]Bases de Incidência'!D13</f>
        <v>1.6053953628865258</v>
      </c>
      <c r="M13" s="86">
        <f>'[4]Bases de Incidência'!E13</f>
        <v>44.613527453883222</v>
      </c>
      <c r="N13" s="38">
        <f>'[5]Bases de Incidência'!B13</f>
        <v>8.1282985647099988</v>
      </c>
      <c r="O13" s="91">
        <f>'[5]Bases de Incidência'!C13</f>
        <v>0.47313941411042221</v>
      </c>
      <c r="P13" s="55">
        <f>'[5]Bases de Incidência'!D13</f>
        <v>1.4514433522870411</v>
      </c>
      <c r="Q13" s="86">
        <f>'[5]Bases de Incidência'!E13</f>
        <v>45.00242889423415</v>
      </c>
      <c r="R13" s="38">
        <f>'[6]Bases de Incidência'!B13</f>
        <v>9.215887946799997</v>
      </c>
      <c r="S13" s="91">
        <f>'[6]Bases de Incidência'!C13</f>
        <v>0.47073851305911724</v>
      </c>
      <c r="T13" s="55">
        <f>'[6]Bases de Incidência'!D13</f>
        <v>1.4000526467103021</v>
      </c>
      <c r="U13" s="86">
        <f>'[6]Bases de Incidência'!E13</f>
        <v>50.384413236988209</v>
      </c>
      <c r="V13" s="38">
        <f>'[7]Bases de Incidência'!B13</f>
        <v>8.9411286647900017</v>
      </c>
      <c r="W13" s="91">
        <f>'[7]Bases de Incidência'!C13</f>
        <v>0.41192253078271535</v>
      </c>
      <c r="X13" s="55">
        <f>'[7]Bases de Incidência'!D13</f>
        <v>1.185536316522865</v>
      </c>
      <c r="Y13" s="86">
        <f>'[7]Bases de Incidência'!E13</f>
        <v>48.291059909239614</v>
      </c>
      <c r="Z13" s="38">
        <f>'[8]Bases de Incidência'!B13</f>
        <v>9.8571358125100019</v>
      </c>
      <c r="AA13" s="91">
        <f>'[8]Bases de Incidência'!C13</f>
        <v>0.40910314854053842</v>
      </c>
      <c r="AB13" s="55">
        <f>'[8]Bases de Incidência'!D13</f>
        <v>1.1882713451135773</v>
      </c>
      <c r="AC13" s="86">
        <f>'[8]Bases de Incidência'!E13</f>
        <v>52.617656091446435</v>
      </c>
      <c r="AD13" s="38">
        <f>'[9]Bases de Incidência'!B13</f>
        <v>12.216069787259999</v>
      </c>
      <c r="AE13" s="91">
        <f>'[9]Bases de Incidência'!C13</f>
        <v>0.44907679100366393</v>
      </c>
      <c r="AF13" s="55">
        <f>'[9]Bases de Incidência'!D13</f>
        <v>1.2984499222353618</v>
      </c>
      <c r="AG13" s="86">
        <f>'[9]Bases de Incidência'!E13</f>
        <v>64.477420837990024</v>
      </c>
      <c r="AH13" s="38">
        <f>'[10]Bases de Incidência'!B13</f>
        <v>17.101490331640001</v>
      </c>
      <c r="AI13" s="91">
        <f>'[10]Bases de Incidência'!C13</f>
        <v>0.54992198321372776</v>
      </c>
      <c r="AJ13" s="55">
        <f>'[10]Bases de Incidência'!D13</f>
        <v>1.5821735239924417</v>
      </c>
      <c r="AK13" s="86">
        <f>'[10]Bases de Incidência'!E13</f>
        <v>89.287696752193511</v>
      </c>
      <c r="AL13" s="38">
        <f>'[11]Bases de Incidência'!B13</f>
        <v>15.806918437590005</v>
      </c>
      <c r="AM13" s="91">
        <f>'[11]Bases de Incidência'!C13</f>
        <v>0.4742494293523119</v>
      </c>
      <c r="AN13" s="55">
        <f>'[11]Bases de Incidência'!D13</f>
        <v>1.4300066981525865</v>
      </c>
      <c r="AO13" s="86">
        <f>'[11]Bases de Incidência'!E13</f>
        <v>81.670942883216398</v>
      </c>
      <c r="AP13" s="38">
        <f>'[12]Bases de Incidência'!B13</f>
        <v>21.080739008959995</v>
      </c>
      <c r="AQ13" s="91">
        <f>'[12]Bases de Incidência'!C13</f>
        <v>0.54250048982782895</v>
      </c>
      <c r="AR13" s="55">
        <f>'[12]Bases de Incidência'!D13</f>
        <v>1.6324421512396898</v>
      </c>
      <c r="AS13" s="86">
        <f>'[12]Bases de Incidência'!E13</f>
        <v>107.83108215260347</v>
      </c>
      <c r="AT13" s="38">
        <f>'[13]Bases de Incidência'!B13</f>
        <v>26.644493091240001</v>
      </c>
      <c r="AU13" s="91">
        <f>'[13]Bases de Incidência'!C13</f>
        <v>0.60882466592815709</v>
      </c>
      <c r="AV13" s="55">
        <f>'[13]Bases de Incidência'!D13</f>
        <v>1.7862981169255177</v>
      </c>
      <c r="AW13" s="86">
        <f>'[13]Bases de Incidência'!E13</f>
        <v>134.97920769623786</v>
      </c>
      <c r="AX13" s="38">
        <f>'[14]Bases de Incidência'!B13</f>
        <v>31.085492404929997</v>
      </c>
      <c r="AY13" s="91">
        <f>'[14]Bases de Incidência'!C13</f>
        <v>0.64562911557232328</v>
      </c>
      <c r="AZ13" s="55">
        <f>'[14]Bases de Incidência'!D13</f>
        <v>1.8976424520950723</v>
      </c>
      <c r="BA13" s="86">
        <f>'[14]Bases de Incidência'!E13</f>
        <v>156.0184114013307</v>
      </c>
      <c r="BB13" s="38">
        <f>'[15]Bases de Incidência'!B13</f>
        <v>36.709334433320002</v>
      </c>
      <c r="BC13" s="91">
        <f>'[15]Bases de Incidência'!C13</f>
        <v>0.68852133720207698</v>
      </c>
      <c r="BD13" s="55">
        <f>'[15]Bases de Incidência'!D13</f>
        <v>2.0482307077952489</v>
      </c>
      <c r="BE13" s="86">
        <f>'[15]Bases de Incidência'!E13</f>
        <v>182.60378474182068</v>
      </c>
      <c r="BF13" s="38">
        <f>'[16]Bases de Incidência'!B13</f>
        <v>36.764845972899998</v>
      </c>
      <c r="BG13" s="91">
        <f>'[16]Bases de Incidência'!C13</f>
        <v>0.63618523931411097</v>
      </c>
      <c r="BH13" s="55">
        <f>'[16]Bases de Incidência'!D13</f>
        <v>1.9352146717250127</v>
      </c>
      <c r="BI13" s="86">
        <f>'[16]Bases de Incidência'!E13</f>
        <v>181.31433004343148</v>
      </c>
      <c r="BJ13" s="38">
        <f>'[17]Bases de Incidência'!B13</f>
        <v>38.963128408579998</v>
      </c>
      <c r="BK13" s="91">
        <f>'[17]Bases de Incidência'!C13</f>
        <v>0.64984177070633087</v>
      </c>
      <c r="BL13" s="55">
        <f>'[17]Bases de Incidência'!D13</f>
        <v>1.9787971085369123</v>
      </c>
      <c r="BM13" s="86">
        <f>'[17]Bases de Incidência'!E13</f>
        <v>190.57473575728289</v>
      </c>
      <c r="BN13" s="38">
        <f>'[18]Bases de Incidência'!B13</f>
        <v>31.443843066339998</v>
      </c>
      <c r="BO13" s="91">
        <f>'[18]Bases de Incidência'!C13</f>
        <v>0.50172035327295017</v>
      </c>
      <c r="BP13" s="55">
        <f>'[18]Bases de Incidência'!D13</f>
        <v>1.5072619526020605</v>
      </c>
      <c r="BQ13" s="86">
        <f>'[18]Bases de Incidência'!E13</f>
        <v>152.57969998160726</v>
      </c>
      <c r="BR13" s="38">
        <f>'[19]Bases de Incidência'!B13</f>
        <v>32.430855851270003</v>
      </c>
      <c r="BS13" s="91">
        <f>'[19]Bases de Incidência'!C13</f>
        <v>0.49483726391967869</v>
      </c>
      <c r="BT13" s="55">
        <f>'[19]Bases de Incidência'!D13</f>
        <v>1.4718521472283059</v>
      </c>
      <c r="BU13" s="86">
        <f>'[19]Bases de Incidência'!E13</f>
        <v>156.17216010465793</v>
      </c>
      <c r="BV13" s="38">
        <f>'[20]Bases de Incidência'!B13</f>
        <v>40.69489102032</v>
      </c>
      <c r="BW13" s="91">
        <f>'[20]Bases de Incidência'!C13</f>
        <v>0.59070766125894214</v>
      </c>
      <c r="BX13" s="55">
        <f>'[20]Bases de Incidência'!D13</f>
        <v>1.7150581193507528</v>
      </c>
      <c r="BY13" s="86">
        <f>'[20]Bases de Incidência'!E13</f>
        <v>195.1841077183183</v>
      </c>
      <c r="BZ13" s="38">
        <f>'[21]Bases de Incidência'!B13</f>
        <v>42.926630044120003</v>
      </c>
      <c r="CA13" s="91">
        <f>'[21]Bases de Incidência'!C13</f>
        <v>0.58094287466442263</v>
      </c>
      <c r="CB13" s="55">
        <f>'[21]Bases de Incidência'!D13</f>
        <v>1.7191802822259468</v>
      </c>
      <c r="CC13" s="86">
        <f>'[21]Bases de Incidência'!E13</f>
        <v>204.26941384099356</v>
      </c>
      <c r="CD13" s="38">
        <f>'[22]Bases de Incidência'!B13</f>
        <v>45.713057662609998</v>
      </c>
      <c r="CE13" s="91">
        <f>'[22]Bases de Incidência'!C13</f>
        <v>0.60072902234651848</v>
      </c>
      <c r="CF13" s="55">
        <f>'[22]Bases de Incidência'!D13</f>
        <v>1.8646538226003775</v>
      </c>
      <c r="CG13" s="86">
        <f>'[22]Bases de Incidência'!E13</f>
        <v>215.87640563924015</v>
      </c>
      <c r="CH13" s="38">
        <f>'[23]Bases de Incidência'!B13</f>
        <v>62.028225092980023</v>
      </c>
      <c r="CI13" s="91">
        <f>'[23]Bases de Incidência'!C13</f>
        <v>0.6970460504404733</v>
      </c>
      <c r="CJ13" s="55">
        <f>'[23]Bases de Incidência'!D13</f>
        <v>2.0264267210128275</v>
      </c>
      <c r="CK13" s="86">
        <f>'[23]Bases de Incidência'!E13</f>
        <v>290.77869689425933</v>
      </c>
      <c r="CL13" s="38">
        <f>'[24]Bases de Incidência'!B13</f>
        <v>59.015767544939983</v>
      </c>
      <c r="CM13" s="91">
        <f>'[24]Bases de Incidência'!C13</f>
        <v>0.58549270378274043</v>
      </c>
      <c r="CN13" s="55">
        <f>'[24]Bases de Incidência'!D13</f>
        <v>1.6773006668378321</v>
      </c>
      <c r="CO13" s="86">
        <f>'[24]Bases de Incidência'!E13</f>
        <v>290.60246134271819</v>
      </c>
      <c r="CP13" s="38">
        <f>'[25]Bases de Incidência'!B13</f>
        <v>58.575785866770005</v>
      </c>
      <c r="CQ13" s="91">
        <f>'[25]Bases de Incidência'!C13</f>
        <v>0.53526404604269051</v>
      </c>
      <c r="CR13" s="55">
        <f>'[25]Bases de Incidência'!D13</f>
        <v>1.5479909911344383</v>
      </c>
      <c r="CS13" s="86">
        <f>'[25]Bases de Incidência'!E13</f>
        <v>281.84165364732877</v>
      </c>
      <c r="CT13" s="38">
        <f>'[26]Bases de Incidência'!B13</f>
        <v>77.507333275820002</v>
      </c>
      <c r="CU13" s="91">
        <f>'[26]Bases de Incidência'!C13</f>
        <v>0.65993404583987558</v>
      </c>
      <c r="CV13" s="55">
        <f>'[26]Bases de Incidência'!D13</f>
        <v>1.8357000996345616</v>
      </c>
      <c r="CW13" s="86">
        <f>'[26]Bases de Incidência'!E13</f>
        <v>364.59669789351261</v>
      </c>
    </row>
    <row r="14" spans="1:101" x14ac:dyDescent="0.25">
      <c r="A14" s="89" t="s">
        <v>71</v>
      </c>
      <c r="B14" s="38">
        <f>'[2]Bases de Incidência'!B14</f>
        <v>6.4312556807800005</v>
      </c>
      <c r="C14" s="91">
        <f>'[2]Bases de Incidência'!C14</f>
        <v>0.53487837231358726</v>
      </c>
      <c r="D14" s="55">
        <f>'[2]Bases de Incidência'!D14</f>
        <v>1.7502627957553831</v>
      </c>
      <c r="E14" s="86">
        <f>'[2]Bases de Incidência'!E14</f>
        <v>37.078795094304333</v>
      </c>
      <c r="F14" s="38">
        <f>'[3]Bases de Incidência'!B14</f>
        <v>6.46370351767</v>
      </c>
      <c r="G14" s="91">
        <f>'[3]Bases de Incidência'!C14</f>
        <v>0.49125433820658099</v>
      </c>
      <c r="H14" s="55">
        <f>'[3]Bases de Incidência'!D14</f>
        <v>1.5329669415994049</v>
      </c>
      <c r="I14" s="86">
        <f>'[3]Bases de Incidência'!E14</f>
        <v>37.265870022594505</v>
      </c>
      <c r="J14" s="38">
        <f>'[4]Bases de Incidência'!B14</f>
        <v>7.2858544718600005</v>
      </c>
      <c r="K14" s="91">
        <f>'[4]Bases de Incidência'!C14</f>
        <v>0.48938192447005524</v>
      </c>
      <c r="L14" s="55">
        <f>'[4]Bases de Incidência'!D14</f>
        <v>1.4706276957896134</v>
      </c>
      <c r="M14" s="86">
        <f>'[4]Bases de Incidência'!E14</f>
        <v>40.868368376611819</v>
      </c>
      <c r="N14" s="38">
        <f>'[5]Bases de Incidência'!B14</f>
        <v>8.36864293002</v>
      </c>
      <c r="O14" s="91">
        <f>'[5]Bases de Incidência'!C14</f>
        <v>0.48712959806862832</v>
      </c>
      <c r="P14" s="55">
        <f>'[5]Bases de Incidência'!D14</f>
        <v>1.4943608495359004</v>
      </c>
      <c r="Q14" s="86">
        <f>'[5]Bases de Incidência'!E14</f>
        <v>46.333098544701045</v>
      </c>
      <c r="R14" s="38">
        <f>'[6]Bases de Incidência'!B14</f>
        <v>9.6641921177299999</v>
      </c>
      <c r="S14" s="91">
        <f>'[6]Bases de Incidência'!C14</f>
        <v>0.49363745020332001</v>
      </c>
      <c r="T14" s="55">
        <f>'[6]Bases de Incidência'!D14</f>
        <v>1.4681577977999218</v>
      </c>
      <c r="U14" s="86">
        <f>'[6]Bases de Incidência'!E14</f>
        <v>52.835348267274213</v>
      </c>
      <c r="V14" s="38">
        <f>'[7]Bases de Incidência'!B14</f>
        <v>11.477986494610001</v>
      </c>
      <c r="W14" s="91">
        <f>'[7]Bases de Incidência'!C14</f>
        <v>0.5287969139476224</v>
      </c>
      <c r="X14" s="55">
        <f>'[7]Bases de Incidência'!D14</f>
        <v>1.521907394477555</v>
      </c>
      <c r="Y14" s="86">
        <f>'[7]Bases de Incidência'!E14</f>
        <v>61.992635854958152</v>
      </c>
      <c r="Z14" s="38">
        <f>'[8]Bases de Incidência'!B14</f>
        <v>12.816188614549999</v>
      </c>
      <c r="AA14" s="91">
        <f>'[8]Bases de Incidência'!C14</f>
        <v>0.53191344973126642</v>
      </c>
      <c r="AB14" s="55">
        <f>'[8]Bases de Incidência'!D14</f>
        <v>1.54498324603714</v>
      </c>
      <c r="AC14" s="86">
        <f>'[8]Bases de Incidência'!E14</f>
        <v>68.413159537444372</v>
      </c>
      <c r="AD14" s="38">
        <f>'[9]Bases de Incidência'!B14</f>
        <v>14.270019391280002</v>
      </c>
      <c r="AE14" s="91">
        <f>'[9]Bases de Incidência'!C14</f>
        <v>0.52458234337194609</v>
      </c>
      <c r="AF14" s="55">
        <f>'[9]Bases de Incidência'!D14</f>
        <v>1.516764875412566</v>
      </c>
      <c r="AG14" s="86">
        <f>'[9]Bases de Incidência'!E14</f>
        <v>75.318335739813364</v>
      </c>
      <c r="AH14" s="38">
        <f>'[10]Bases de Incidência'!B14</f>
        <v>16.600049256669998</v>
      </c>
      <c r="AI14" s="91">
        <f>'[10]Bases de Incidência'!C14</f>
        <v>0.53379745458699468</v>
      </c>
      <c r="AJ14" s="55">
        <f>'[10]Bases de Incidência'!D14</f>
        <v>1.5357818483387697</v>
      </c>
      <c r="AK14" s="86">
        <f>'[10]Bases de Incidência'!E14</f>
        <v>86.66964898134043</v>
      </c>
      <c r="AL14" s="38">
        <f>'[11]Bases de Incidência'!B14</f>
        <v>18.416049199979998</v>
      </c>
      <c r="AM14" s="91">
        <f>'[11]Bases de Incidência'!C14</f>
        <v>0.55253026442174835</v>
      </c>
      <c r="AN14" s="55">
        <f>'[11]Bases de Incidência'!D14</f>
        <v>1.6660472952686498</v>
      </c>
      <c r="AO14" s="86">
        <f>'[11]Bases de Incidência'!E14</f>
        <v>95.151759546586547</v>
      </c>
      <c r="AP14" s="38">
        <f>'[12]Bases de Incidência'!B14</f>
        <v>20.691292499429998</v>
      </c>
      <c r="AQ14" s="91">
        <f>'[12]Bases de Incidência'!C14</f>
        <v>0.53247831166358317</v>
      </c>
      <c r="AR14" s="55">
        <f>'[12]Bases de Incidência'!D14</f>
        <v>1.6022843423725661</v>
      </c>
      <c r="AS14" s="86">
        <f>'[12]Bases de Incidência'!E14</f>
        <v>105.83900594762201</v>
      </c>
      <c r="AT14" s="38">
        <f>'[13]Bases de Incidência'!B14</f>
        <v>23.824453855030001</v>
      </c>
      <c r="AU14" s="91">
        <f>'[13]Bases de Incidência'!C14</f>
        <v>0.54438698118742845</v>
      </c>
      <c r="AV14" s="55">
        <f>'[13]Bases de Incidência'!D14</f>
        <v>1.5972372569553885</v>
      </c>
      <c r="AW14" s="86">
        <f>'[13]Bases de Incidência'!E14</f>
        <v>120.69307883379474</v>
      </c>
      <c r="AX14" s="38">
        <f>'[14]Bases de Incidência'!B14</f>
        <v>25.771625512970004</v>
      </c>
      <c r="AY14" s="91">
        <f>'[14]Bases de Incidência'!C14</f>
        <v>0.53526293133967218</v>
      </c>
      <c r="AZ14" s="55">
        <f>'[14]Bases de Incidência'!D14</f>
        <v>1.5732525641174075</v>
      </c>
      <c r="BA14" s="86">
        <f>'[14]Bases de Incidência'!E14</f>
        <v>129.34805791031636</v>
      </c>
      <c r="BB14" s="38">
        <f>'[15]Bases de Incidência'!B14</f>
        <v>29.67024774283</v>
      </c>
      <c r="BC14" s="91">
        <f>'[15]Bases de Incidência'!C14</f>
        <v>0.55649602386873487</v>
      </c>
      <c r="BD14" s="55">
        <f>'[15]Bases de Incidência'!D14</f>
        <v>1.655478462709379</v>
      </c>
      <c r="BE14" s="86">
        <f>'[15]Bases de Incidência'!E14</f>
        <v>147.58915179760245</v>
      </c>
      <c r="BF14" s="38">
        <f>'[16]Bases de Incidência'!B14</f>
        <v>31.192601681499379</v>
      </c>
      <c r="BG14" s="91">
        <f>'[16]Bases de Incidência'!C14</f>
        <v>0.53976216247994013</v>
      </c>
      <c r="BH14" s="55">
        <f>'[16]Bases de Incidência'!D14</f>
        <v>1.6419048910964438</v>
      </c>
      <c r="BI14" s="86">
        <f>'[16]Bases de Incidência'!E14</f>
        <v>153.83352021552227</v>
      </c>
      <c r="BJ14" s="38">
        <f>'[17]Bases de Incidência'!B14</f>
        <v>33.164643649507966</v>
      </c>
      <c r="BK14" s="91">
        <f>'[17]Bases de Incidência'!C14</f>
        <v>0.55313245199517536</v>
      </c>
      <c r="BL14" s="55">
        <f>'[17]Bases de Incidência'!D14</f>
        <v>1.6843129296787174</v>
      </c>
      <c r="BM14" s="86">
        <f>'[17]Bases de Incidência'!E14</f>
        <v>162.21344276343171</v>
      </c>
      <c r="BN14" s="38">
        <f>'[18]Bases de Incidência'!B14</f>
        <v>37.149610839621303</v>
      </c>
      <c r="BO14" s="91">
        <f>'[18]Bases de Incidência'!C14</f>
        <v>0.59276201815037655</v>
      </c>
      <c r="BP14" s="55">
        <f>'[18]Bases de Incidência'!D14</f>
        <v>1.780768173101428</v>
      </c>
      <c r="BQ14" s="86">
        <f>'[18]Bases de Incidência'!E14</f>
        <v>180.26665711261799</v>
      </c>
      <c r="BR14" s="38">
        <f>'[19]Bases de Incidência'!B14</f>
        <v>40.047242923847577</v>
      </c>
      <c r="BS14" s="91">
        <f>'[19]Bases de Incidência'!C14</f>
        <v>0.61104980413853038</v>
      </c>
      <c r="BT14" s="55">
        <f>'[19]Bases de Incidência'!D14</f>
        <v>1.8175166501420092</v>
      </c>
      <c r="BU14" s="86">
        <f>'[19]Bases de Incidência'!E14</f>
        <v>192.84919467854053</v>
      </c>
      <c r="BV14" s="38">
        <f>'[20]Bases de Incidência'!B14</f>
        <v>45.34087357791843</v>
      </c>
      <c r="BW14" s="91">
        <f>'[20]Bases de Incidência'!C14</f>
        <v>0.6581465318896178</v>
      </c>
      <c r="BX14" s="55">
        <f>'[20]Bases de Incidência'!D14</f>
        <v>1.9108598504278178</v>
      </c>
      <c r="BY14" s="86">
        <f>'[20]Bases de Incidência'!E14</f>
        <v>217.46754274525864</v>
      </c>
      <c r="BZ14" s="38">
        <f>'[21]Bases de Incidência'!B14</f>
        <v>49.236989370399797</v>
      </c>
      <c r="CA14" s="91">
        <f>'[21]Bases de Incidência'!C14</f>
        <v>0.66634343565433873</v>
      </c>
      <c r="CB14" s="55">
        <f>'[21]Bases de Incidência'!D14</f>
        <v>1.9719055792350664</v>
      </c>
      <c r="CC14" s="86">
        <f>'[21]Bases de Incidência'!E14</f>
        <v>234.29770628743933</v>
      </c>
      <c r="CD14" s="38">
        <f>'[22]Bases de Incidência'!B14</f>
        <v>44.702063168802887</v>
      </c>
      <c r="CE14" s="91">
        <f>'[22]Bases de Incidência'!C14</f>
        <v>0.58744324001393089</v>
      </c>
      <c r="CF14" s="55">
        <f>'[22]Bases de Incidência'!D14</f>
        <v>1.8234149546729912</v>
      </c>
      <c r="CG14" s="86">
        <f>'[22]Bases de Incidência'!E14</f>
        <v>211.10206175143989</v>
      </c>
      <c r="CH14" s="38">
        <f>'[23]Bases de Incidência'!B14</f>
        <v>54.776698325035447</v>
      </c>
      <c r="CI14" s="91">
        <f>'[23]Bases de Incidência'!C14</f>
        <v>0.61555656584402962</v>
      </c>
      <c r="CJ14" s="55">
        <f>'[23]Bases de Incidência'!D14</f>
        <v>1.7895234791632437</v>
      </c>
      <c r="CK14" s="86">
        <f>'[23]Bases de Incidência'!E14</f>
        <v>256.78466432415109</v>
      </c>
      <c r="CL14" s="38">
        <f>'[24]Bases de Incidência'!B14</f>
        <v>63.932289712877413</v>
      </c>
      <c r="CM14" s="91">
        <f>'[24]Bases de Incidência'!C14</f>
        <v>0.63426929310899893</v>
      </c>
      <c r="CN14" s="55">
        <f>'[24]Bases de Incidência'!D14</f>
        <v>1.8170342711584881</v>
      </c>
      <c r="CO14" s="86">
        <f>'[24]Bases de Incidência'!E14</f>
        <v>314.81215144224404</v>
      </c>
      <c r="CP14" s="38">
        <f>'[25]Bases de Incidência'!B14</f>
        <v>71.603861002969992</v>
      </c>
      <c r="CQ14" s="91">
        <f>'[25]Bases de Incidência'!C14</f>
        <v>0.65431426630625888</v>
      </c>
      <c r="CR14" s="55">
        <f>'[25]Bases de Incidência'!D14</f>
        <v>1.8922858673232199</v>
      </c>
      <c r="CS14" s="86">
        <f>'[25]Bases de Incidência'!E14</f>
        <v>344.52718463755474</v>
      </c>
      <c r="CT14" s="38">
        <f>'[26]Bases de Incidência'!B14</f>
        <v>78.337977370039994</v>
      </c>
      <c r="CU14" s="91">
        <f>'[26]Bases de Incidência'!C14</f>
        <v>0.6670065420100233</v>
      </c>
      <c r="CV14" s="55">
        <f>'[26]Bases de Incidência'!D14</f>
        <v>1.8553732503168878</v>
      </c>
      <c r="CW14" s="86">
        <f>'[26]Bases de Incidência'!E14</f>
        <v>368.50407131325886</v>
      </c>
    </row>
    <row r="15" spans="1:101" x14ac:dyDescent="0.25">
      <c r="A15" s="89" t="s">
        <v>70</v>
      </c>
      <c r="B15" s="38">
        <f>'[2]Bases de Incidência'!B15</f>
        <v>17.487551332069998</v>
      </c>
      <c r="C15" s="91">
        <f>'[2]Bases de Incidência'!C15</f>
        <v>1.4544147296463048</v>
      </c>
      <c r="D15" s="55">
        <f>'[2]Bases de Incidência'!D15</f>
        <v>4.7592277472122531</v>
      </c>
      <c r="E15" s="86">
        <f>'[2]Bases de Incidência'!E15</f>
        <v>100.82281979252774</v>
      </c>
      <c r="F15" s="38">
        <f>'[3]Bases de Incidência'!B15</f>
        <v>20.708903747409998</v>
      </c>
      <c r="G15" s="91">
        <f>'[3]Bases de Incidência'!C15</f>
        <v>1.5739179214527017</v>
      </c>
      <c r="H15" s="55">
        <f>'[3]Bases de Incidência'!D15</f>
        <v>4.9114357975669032</v>
      </c>
      <c r="I15" s="86">
        <f>'[3]Bases de Incidência'!E15</f>
        <v>119.39522183399777</v>
      </c>
      <c r="J15" s="38">
        <f>'[4]Bases de Incidência'!B15</f>
        <v>24.260084583970002</v>
      </c>
      <c r="K15" s="91">
        <f>'[4]Bases de Incidência'!C15</f>
        <v>1.6295201787743983</v>
      </c>
      <c r="L15" s="55">
        <f>'[4]Bases de Incidência'!D15</f>
        <v>4.8968247209962223</v>
      </c>
      <c r="M15" s="86">
        <f>'[4]Bases de Incidência'!E15</f>
        <v>136.08150937611794</v>
      </c>
      <c r="N15" s="38">
        <f>'[5]Bases de Incidência'!B15</f>
        <v>27.402554588009998</v>
      </c>
      <c r="O15" s="91">
        <f>'[5]Bases de Incidência'!C15</f>
        <v>1.5950728826805201</v>
      </c>
      <c r="P15" s="55">
        <f>'[5]Bases de Incidência'!D15</f>
        <v>4.893183410502453</v>
      </c>
      <c r="Q15" s="86">
        <f>'[5]Bases de Incidência'!E15</f>
        <v>151.7145937184564</v>
      </c>
      <c r="R15" s="38">
        <f>'[6]Bases de Incidência'!B15</f>
        <v>31.62448516753</v>
      </c>
      <c r="S15" s="91">
        <f>'[6]Bases de Incidência'!C15</f>
        <v>1.6153476702364091</v>
      </c>
      <c r="T15" s="55">
        <f>'[6]Bases de Incidência'!D15</f>
        <v>4.80430582655086</v>
      </c>
      <c r="U15" s="86">
        <f>'[6]Bases de Incidência'!E15</f>
        <v>172.89501980556309</v>
      </c>
      <c r="V15" s="38">
        <f>'[7]Bases de Incidência'!B15</f>
        <v>34.961094505129999</v>
      </c>
      <c r="W15" s="91">
        <f>'[7]Bases de Incidência'!C15</f>
        <v>1.6106761313254261</v>
      </c>
      <c r="X15" s="55">
        <f>'[7]Bases de Incidência'!D15</f>
        <v>4.6356169064471313</v>
      </c>
      <c r="Y15" s="86">
        <f>'[7]Bases de Incidência'!E15</f>
        <v>188.82496522931689</v>
      </c>
      <c r="Z15" s="38">
        <f>'[8]Bases de Incidência'!B15</f>
        <v>38.672813311160006</v>
      </c>
      <c r="AA15" s="91">
        <f>'[8]Bases de Incidência'!C15</f>
        <v>1.605047347368072</v>
      </c>
      <c r="AB15" s="55">
        <f>'[8]Bases de Incidência'!D15</f>
        <v>4.6619826252426142</v>
      </c>
      <c r="AC15" s="86">
        <f>'[8]Bases de Incidência'!E15</f>
        <v>206.43651762541484</v>
      </c>
      <c r="AD15" s="38">
        <f>'[9]Bases de Incidência'!B15</f>
        <v>44.136194842760005</v>
      </c>
      <c r="AE15" s="91">
        <f>'[9]Bases de Incidência'!C15</f>
        <v>1.6224973409835741</v>
      </c>
      <c r="AF15" s="55">
        <f>'[9]Bases de Incidência'!D15</f>
        <v>4.6912501122998691</v>
      </c>
      <c r="AG15" s="86">
        <f>'[9]Bases de Incidência'!E15</f>
        <v>232.95446560333193</v>
      </c>
      <c r="AH15" s="38">
        <f>'[10]Bases de Incidência'!B15</f>
        <v>21.139190563329997</v>
      </c>
      <c r="AI15" s="91">
        <f>'[10]Bases de Incidência'!C15</f>
        <v>0.67975979711029921</v>
      </c>
      <c r="AJ15" s="55">
        <f>'[10]Bases de Incidência'!D15</f>
        <v>1.9557282423539628</v>
      </c>
      <c r="AK15" s="86">
        <f>'[10]Bases de Incidência'!E15</f>
        <v>110.36872225769547</v>
      </c>
      <c r="AL15" s="38">
        <f>'[11]Bases de Incidência'!B15</f>
        <v>19.137428847509998</v>
      </c>
      <c r="AM15" s="91">
        <f>'[11]Bases de Incidência'!C15</f>
        <v>0.57417356495108507</v>
      </c>
      <c r="AN15" s="55">
        <f>'[11]Bases de Incidência'!D15</f>
        <v>1.7313084486017174</v>
      </c>
      <c r="AO15" s="86">
        <f>'[11]Bases de Incidência'!E15</f>
        <v>98.878972805967408</v>
      </c>
      <c r="AP15" s="38">
        <f>'[12]Bases de Incidência'!B15</f>
        <v>26.484321561049995</v>
      </c>
      <c r="AQ15" s="91">
        <f>'[12]Bases de Incidência'!C15</f>
        <v>0.68155852664940209</v>
      </c>
      <c r="AR15" s="55">
        <f>'[12]Bases de Incidência'!D15</f>
        <v>2.050882696515917</v>
      </c>
      <c r="AS15" s="86">
        <f>'[12]Bases de Incidência'!E15</f>
        <v>135.47120206704935</v>
      </c>
      <c r="AT15" s="38">
        <f>'[13]Bases de Incidência'!B15</f>
        <v>31.866925798960001</v>
      </c>
      <c r="AU15" s="91">
        <f>'[13]Bases de Incidência'!C15</f>
        <v>0.72815686105463384</v>
      </c>
      <c r="AV15" s="55">
        <f>'[13]Bases de Incidência'!D15</f>
        <v>2.1364200606842276</v>
      </c>
      <c r="AW15" s="86">
        <f>'[13]Bases de Incidência'!E15</f>
        <v>161.43570010241999</v>
      </c>
      <c r="AX15" s="38">
        <f>'[14]Bases de Incidência'!B15</f>
        <v>30.736800863739997</v>
      </c>
      <c r="AY15" s="91">
        <f>'[14]Bases de Incidência'!C15</f>
        <v>0.63838697803711908</v>
      </c>
      <c r="AZ15" s="55">
        <f>'[14]Bases de Incidência'!D15</f>
        <v>1.8763562565081024</v>
      </c>
      <c r="BA15" s="86">
        <f>'[14]Bases de Incidência'!E15</f>
        <v>154.2683249102794</v>
      </c>
      <c r="BB15" s="38">
        <f>'[15]Bases de Incidência'!B15</f>
        <v>29.144426632290003</v>
      </c>
      <c r="BC15" s="91">
        <f>'[15]Bases de Incidência'!C15</f>
        <v>0.54663370792792965</v>
      </c>
      <c r="BD15" s="55">
        <f>'[15]Bases de Incidência'!D15</f>
        <v>1.626139795527294</v>
      </c>
      <c r="BE15" s="86">
        <f>'[15]Bases de Incidência'!E15</f>
        <v>144.973552077151</v>
      </c>
      <c r="BF15" s="38">
        <f>'[16]Bases de Incidência'!B15</f>
        <v>29.739886525400003</v>
      </c>
      <c r="BG15" s="91">
        <f>'[16]Bases de Incidência'!C15</f>
        <v>0.51462412872020247</v>
      </c>
      <c r="BH15" s="55">
        <f>'[16]Bases de Incidência'!D15</f>
        <v>1.56543739587035</v>
      </c>
      <c r="BI15" s="86">
        <f>'[16]Bases de Incidência'!E15</f>
        <v>146.66911986780278</v>
      </c>
      <c r="BJ15" s="38">
        <f>'[17]Bases de Incidência'!B15</f>
        <v>34.680350850019998</v>
      </c>
      <c r="BK15" s="91">
        <f>'[17]Bases de Incidência'!C15</f>
        <v>0.57841198911869285</v>
      </c>
      <c r="BL15" s="55">
        <f>'[17]Bases de Incidência'!D15</f>
        <v>1.7612902451116672</v>
      </c>
      <c r="BM15" s="86">
        <f>'[17]Bases de Incidência'!E15</f>
        <v>169.62700299386185</v>
      </c>
      <c r="BN15" s="38">
        <f>'[18]Bases de Incidência'!B15</f>
        <v>33.6422948823</v>
      </c>
      <c r="BO15" s="91">
        <f>'[18]Bases de Incidência'!C15</f>
        <v>0.53679901778065342</v>
      </c>
      <c r="BP15" s="55">
        <f>'[18]Bases de Incidência'!D15</f>
        <v>1.6126448337541615</v>
      </c>
      <c r="BQ15" s="86">
        <f>'[18]Bases de Incidência'!E15</f>
        <v>163.2475791525944</v>
      </c>
      <c r="BR15" s="38">
        <f>'[19]Bases de Incidência'!B15</f>
        <v>34.408193699530003</v>
      </c>
      <c r="BS15" s="91">
        <f>'[19]Bases de Incidência'!C15</f>
        <v>0.52500792778267025</v>
      </c>
      <c r="BT15" s="55">
        <f>'[19]Bases de Incidência'!D15</f>
        <v>1.5615922691388817</v>
      </c>
      <c r="BU15" s="86">
        <f>'[19]Bases de Incidência'!E15</f>
        <v>165.69411427187637</v>
      </c>
      <c r="BV15" s="38">
        <f>'[20]Bases de Incidência'!B15</f>
        <v>36.612378947630006</v>
      </c>
      <c r="BW15" s="91">
        <f>'[20]Bases de Incidência'!C15</f>
        <v>0.53144785989183829</v>
      </c>
      <c r="BX15" s="55">
        <f>'[20]Bases de Incidência'!D15</f>
        <v>1.5430034632977783</v>
      </c>
      <c r="BY15" s="86">
        <f>'[20]Bases de Incidência'!E15</f>
        <v>175.60323512771777</v>
      </c>
      <c r="BZ15" s="38">
        <f>'[21]Bases de Incidência'!B15</f>
        <v>40.905808627379983</v>
      </c>
      <c r="CA15" s="91">
        <f>'[21]Bases de Incidência'!C15</f>
        <v>0.55359430800969667</v>
      </c>
      <c r="CB15" s="55">
        <f>'[21]Bases de Incidência'!D15</f>
        <v>1.638247855664891</v>
      </c>
      <c r="CC15" s="86">
        <f>'[21]Bases de Incidência'!E15</f>
        <v>194.65319179303538</v>
      </c>
      <c r="CD15" s="38">
        <f>'[22]Bases de Incidência'!B15</f>
        <v>21.941876685349996</v>
      </c>
      <c r="CE15" s="91">
        <f>'[22]Bases de Incidência'!C15</f>
        <v>0.28834479257377227</v>
      </c>
      <c r="CF15" s="55">
        <f>'[22]Bases de Incidência'!D15</f>
        <v>0.8950178861001612</v>
      </c>
      <c r="CG15" s="86">
        <f>'[22]Bases de Incidência'!E15</f>
        <v>103.61882827381091</v>
      </c>
      <c r="CH15" s="38">
        <f>'[23]Bases de Incidência'!B15</f>
        <v>48.987323408759998</v>
      </c>
      <c r="CI15" s="91">
        <f>'[23]Bases de Incidência'!C15</f>
        <v>0.5504981039283483</v>
      </c>
      <c r="CJ15" s="55">
        <f>'[23]Bases de Incidência'!D15</f>
        <v>1.6003879040163465</v>
      </c>
      <c r="CK15" s="86">
        <f>'[23]Bases de Incidência'!E15</f>
        <v>229.64497281333587</v>
      </c>
      <c r="CL15" s="38">
        <f>'[24]Bases de Incidência'!B15</f>
        <v>58.963791861939981</v>
      </c>
      <c r="CM15" s="91">
        <f>'[24]Bases de Incidência'!C15</f>
        <v>0.58497705543253553</v>
      </c>
      <c r="CN15" s="55">
        <f>'[24]Bases de Incidência'!D15</f>
        <v>1.6758234540287491</v>
      </c>
      <c r="CO15" s="86">
        <f>'[24]Bases de Incidência'!E15</f>
        <v>290.34652531005929</v>
      </c>
      <c r="CP15" s="38">
        <f>'[25]Bases de Incidência'!B15</f>
        <v>61.01280103709</v>
      </c>
      <c r="CQ15" s="91">
        <f>'[25]Bases de Incidência'!C15</f>
        <v>0.55753342887777269</v>
      </c>
      <c r="CR15" s="55">
        <f>'[25]Bases de Incidência'!D15</f>
        <v>1.6123943529176465</v>
      </c>
      <c r="CS15" s="86">
        <f>'[25]Bases de Incidência'!E15</f>
        <v>293.56752937230584</v>
      </c>
      <c r="CT15" s="38">
        <f>'[26]Bases de Incidência'!B15</f>
        <v>67.379786312069982</v>
      </c>
      <c r="CU15" s="91">
        <f>'[26]Bases de Incidência'!C15</f>
        <v>0.573703327277585</v>
      </c>
      <c r="CV15" s="55">
        <f>'[26]Bases de Incidência'!D15</f>
        <v>1.5958371320331528</v>
      </c>
      <c r="CW15" s="86">
        <f>'[26]Bases de Incidência'!E15</f>
        <v>316.95642922880972</v>
      </c>
    </row>
    <row r="16" spans="1:101" ht="13.8" thickBot="1" x14ac:dyDescent="0.3">
      <c r="A16" s="92" t="s">
        <v>33</v>
      </c>
      <c r="B16" s="45">
        <f>'[2]Bases de Incidência'!B16</f>
        <v>11.653460994528498</v>
      </c>
      <c r="C16" s="93">
        <f>'[2]Bases de Incidência'!C16</f>
        <v>0.96920174814404247</v>
      </c>
      <c r="D16" s="77">
        <f>'[2]Bases de Incidência'!D16</f>
        <v>3.1714831804099566</v>
      </c>
      <c r="E16" s="87">
        <f>'[2]Bases de Incidência'!E16</f>
        <v>67.186924887300435</v>
      </c>
      <c r="F16" s="45">
        <f>'[3]Bases de Incidência'!B16</f>
        <v>10.215978879677696</v>
      </c>
      <c r="G16" s="93">
        <f>'[3]Bases de Incidência'!C16</f>
        <v>0.77643473744562586</v>
      </c>
      <c r="H16" s="77">
        <f>'[3]Bases de Incidência'!D16</f>
        <v>2.422876893380304</v>
      </c>
      <c r="I16" s="87">
        <f>'[3]Bases de Incidência'!E16</f>
        <v>58.899257993948794</v>
      </c>
      <c r="J16" s="45">
        <f>'[4]Bases de Incidência'!B16</f>
        <v>16.720376762180003</v>
      </c>
      <c r="K16" s="93">
        <f>'[4]Bases de Incidência'!C16</f>
        <v>1.1230872355938091</v>
      </c>
      <c r="L16" s="77">
        <f>'[4]Bases de Incidência'!D16</f>
        <v>3.3749574940688531</v>
      </c>
      <c r="M16" s="87">
        <f>'[4]Bases de Incidência'!E16</f>
        <v>93.789207505000348</v>
      </c>
      <c r="N16" s="45">
        <f>'[5]Bases de Incidência'!B16</f>
        <v>13.593596260110001</v>
      </c>
      <c r="O16" s="93">
        <f>'[5]Bases de Incidência'!C16</f>
        <v>0.79126844553741371</v>
      </c>
      <c r="P16" s="77">
        <f>'[5]Bases de Incidência'!D16</f>
        <v>2.4273634596878986</v>
      </c>
      <c r="Q16" s="87">
        <f>'[5]Bases de Incidência'!E16</f>
        <v>75.261119438758385</v>
      </c>
      <c r="R16" s="45">
        <f>'[6]Bases de Incidência'!B16</f>
        <v>14.880946758745001</v>
      </c>
      <c r="S16" s="93">
        <f>'[6]Bases de Incidência'!C16</f>
        <v>0.76010415822773181</v>
      </c>
      <c r="T16" s="77">
        <f>'[6]Bases de Incidência'!D16</f>
        <v>2.2606729829403132</v>
      </c>
      <c r="U16" s="87">
        <f>'[6]Bases de Incidência'!E16</f>
        <v>81.355999028890963</v>
      </c>
      <c r="V16" s="45">
        <f>'[7]Bases de Incidência'!B16</f>
        <v>22.226314600390001</v>
      </c>
      <c r="W16" s="93">
        <f>'[7]Bases de Incidência'!C16</f>
        <v>1.0239780796600917</v>
      </c>
      <c r="X16" s="77">
        <f>'[7]Bases de Incidência'!D16</f>
        <v>2.9470667663010994</v>
      </c>
      <c r="Y16" s="87">
        <f>'[7]Bases de Incidência'!E16</f>
        <v>120.04438479403649</v>
      </c>
      <c r="Z16" s="45">
        <f>'[8]Bases de Incidência'!B16</f>
        <v>25.133028773540005</v>
      </c>
      <c r="AA16" s="93">
        <f>'[8]Bases de Incidência'!C16</f>
        <v>1.0431023168582043</v>
      </c>
      <c r="AB16" s="77">
        <f>'[8]Bases de Incidência'!D16</f>
        <v>3.0297703588105374</v>
      </c>
      <c r="AC16" s="87">
        <f>'[8]Bases de Incidência'!E16</f>
        <v>134.16078358829185</v>
      </c>
      <c r="AD16" s="45">
        <f>'[9]Bases de Incidência'!B16</f>
        <v>27.61598309563</v>
      </c>
      <c r="AE16" s="93">
        <f>'[9]Bases de Incidência'!C16</f>
        <v>1.0151953357315084</v>
      </c>
      <c r="AF16" s="77">
        <f>'[9]Bases de Incidência'!D16</f>
        <v>2.9353115795367928</v>
      </c>
      <c r="AG16" s="87">
        <f>'[9]Bases de Incidência'!E16</f>
        <v>145.75942958092213</v>
      </c>
      <c r="AH16" s="45">
        <f>'[10]Bases de Incidência'!B16</f>
        <v>33.94824888686999</v>
      </c>
      <c r="AI16" s="93">
        <f>'[10]Bases de Incidência'!C16</f>
        <v>1.0916527151999658</v>
      </c>
      <c r="AJ16" s="77">
        <f>'[10]Bases de Incidência'!D16</f>
        <v>3.1407801035525713</v>
      </c>
      <c r="AK16" s="87">
        <f>'[10]Bases de Incidência'!E16</f>
        <v>177.24542674919934</v>
      </c>
      <c r="AL16" s="45">
        <f>'[11]Bases de Incidência'!B16</f>
        <v>34.688164396160005</v>
      </c>
      <c r="AM16" s="93">
        <f>'[11]Bases de Incidência'!C16</f>
        <v>1.040736828946796</v>
      </c>
      <c r="AN16" s="77">
        <f>'[11]Bases de Incidência'!D16</f>
        <v>3.1381390135577734</v>
      </c>
      <c r="AO16" s="87">
        <f>'[11]Bases de Incidência'!E16</f>
        <v>179.22627388177619</v>
      </c>
      <c r="AP16" s="45">
        <f>'[12]Bases de Incidência'!B16</f>
        <v>31.405471734179994</v>
      </c>
      <c r="AQ16" s="93">
        <f>'[12]Bases de Incidência'!C16</f>
        <v>0.80820144833751806</v>
      </c>
      <c r="AR16" s="77">
        <f>'[12]Bases de Incidência'!D16</f>
        <v>2.431964828967887</v>
      </c>
      <c r="AS16" s="87">
        <f>'[12]Bases de Incidência'!E16</f>
        <v>160.64360937110709</v>
      </c>
      <c r="AT16" s="45">
        <f>'[13]Bases de Incidência'!B16</f>
        <v>37.262387890590006</v>
      </c>
      <c r="AU16" s="93">
        <f>'[13]Bases de Incidência'!C16</f>
        <v>0.85144276460761437</v>
      </c>
      <c r="AV16" s="77">
        <f>'[13]Bases de Incidência'!D16</f>
        <v>2.4981422274831289</v>
      </c>
      <c r="AW16" s="87">
        <f>'[13]Bases de Incidência'!E16</f>
        <v>188.76874771527704</v>
      </c>
      <c r="AX16" s="45">
        <f>'[14]Bases de Incidência'!B16</f>
        <v>60.894253182</v>
      </c>
      <c r="AY16" s="93">
        <f>'[14]Bases de Incidência'!C16</f>
        <v>1.2647411954489942</v>
      </c>
      <c r="AZ16" s="77">
        <f>'[14]Bases de Incidência'!D16</f>
        <v>3.7173456486236045</v>
      </c>
      <c r="BA16" s="87">
        <f>'[14]Bases de Incidência'!E16</f>
        <v>305.62889341329259</v>
      </c>
      <c r="BB16" s="45">
        <f>'[15]Bases de Incidência'!B16</f>
        <v>67.577027827590001</v>
      </c>
      <c r="BC16" s="93">
        <f>'[15]Bases de Incidência'!C16</f>
        <v>1.2674766863046667</v>
      </c>
      <c r="BD16" s="77">
        <f>'[15]Bases de Incidência'!D16</f>
        <v>3.7705217398975801</v>
      </c>
      <c r="BE16" s="87">
        <f>'[15]Bases de Incidência'!E16</f>
        <v>336.14940813856794</v>
      </c>
      <c r="BF16" s="45">
        <f>'[16]Bases de Incidência'!B16</f>
        <v>56.960505356600002</v>
      </c>
      <c r="BG16" s="93">
        <f>'[16]Bases de Incidência'!C16</f>
        <v>0.98565441450380376</v>
      </c>
      <c r="BH16" s="77">
        <f>'[16]Bases de Incidência'!D16</f>
        <v>2.9982664895758444</v>
      </c>
      <c r="BI16" s="87">
        <f>'[16]Bases de Incidência'!E16</f>
        <v>280.91388918860116</v>
      </c>
      <c r="BJ16" s="45">
        <f>'[17]Bases de Incidência'!B16</f>
        <v>54.00946528347</v>
      </c>
      <c r="BK16" s="93">
        <f>'[17]Bases de Incidência'!C16</f>
        <v>0.90079025961846204</v>
      </c>
      <c r="BL16" s="77">
        <f>'[17]Bases de Incidência'!D16</f>
        <v>2.7429464240099546</v>
      </c>
      <c r="BM16" s="87">
        <f>'[17]Bases de Incidência'!E16</f>
        <v>264.16871527500018</v>
      </c>
      <c r="BN16" s="45">
        <f>'[18]Bases de Incidência'!B16</f>
        <v>78.546244768029936</v>
      </c>
      <c r="BO16" s="93">
        <f>'[18]Bases de Incidência'!C16</f>
        <v>1.2532898599619757</v>
      </c>
      <c r="BP16" s="77">
        <f>'[18]Bases de Incidência'!D16</f>
        <v>3.7651175783075344</v>
      </c>
      <c r="BQ16" s="87">
        <f>'[18]Bases de Incidência'!E16</f>
        <v>381.14178461274446</v>
      </c>
      <c r="BR16" s="45">
        <f>'[19]Bases de Incidência'!B16</f>
        <v>61.472268611950014</v>
      </c>
      <c r="BS16" s="93">
        <f>'[19]Bases de Incidência'!C16</f>
        <v>0.93795764584121144</v>
      </c>
      <c r="BT16" s="77">
        <f>'[19]Bases de Incidência'!D16</f>
        <v>2.7898767447406314</v>
      </c>
      <c r="BU16" s="87">
        <f>'[19]Bases de Incidência'!E16</f>
        <v>296.02231343167119</v>
      </c>
      <c r="BV16" s="45">
        <f>'[20]Bases de Incidência'!B16</f>
        <v>41.406075515690013</v>
      </c>
      <c r="BW16" s="93">
        <f>'[20]Bases de Incidência'!C16</f>
        <v>0.60103087676463973</v>
      </c>
      <c r="BX16" s="77">
        <f>'[20]Bases de Incidência'!D16</f>
        <v>1.7450304994839658</v>
      </c>
      <c r="BY16" s="87">
        <f>'[20]Bases de Incidência'!E16</f>
        <v>198.59514796616133</v>
      </c>
      <c r="BZ16" s="45">
        <f>'[21]Bases de Incidência'!B16</f>
        <v>28.362867088319987</v>
      </c>
      <c r="CA16" s="93">
        <f>'[21]Bases de Incidência'!C16</f>
        <v>0.38384577412851367</v>
      </c>
      <c r="CB16" s="77">
        <f>'[21]Bases de Incidência'!D16</f>
        <v>1.1359121784197483</v>
      </c>
      <c r="CC16" s="87">
        <f>'[21]Bases de Incidência'!E16</f>
        <v>134.96671481144455</v>
      </c>
      <c r="CD16" s="45">
        <f>'[22]Bases de Incidência'!B16</f>
        <v>29.428359768050001</v>
      </c>
      <c r="CE16" s="93">
        <f>'[22]Bases de Incidência'!C16</f>
        <v>0.38672691560472916</v>
      </c>
      <c r="CF16" s="77">
        <f>'[22]Bases de Incidência'!D16</f>
        <v>1.2003945117684907</v>
      </c>
      <c r="CG16" s="87">
        <f>'[22]Bases de Incidência'!E16</f>
        <v>138.97316993042151</v>
      </c>
      <c r="CH16" s="45">
        <f>'[23]Bases de Incidência'!B16</f>
        <v>38.907142523919994</v>
      </c>
      <c r="CI16" s="93">
        <f>'[23]Bases de Incidência'!C16</f>
        <v>0.43722144216717729</v>
      </c>
      <c r="CJ16" s="77">
        <f>'[23]Bases de Incidência'!D16</f>
        <v>1.2710741461736401</v>
      </c>
      <c r="CK16" s="87">
        <f>'[23]Bases de Incidência'!E16</f>
        <v>182.39064854791494</v>
      </c>
      <c r="CL16" s="45">
        <f>'[24]Bases de Incidência'!B16</f>
        <v>49.14009961151001</v>
      </c>
      <c r="CM16" s="93">
        <f>'[24]Bases de Incidência'!C16</f>
        <v>0.48751665838773006</v>
      </c>
      <c r="CN16" s="77">
        <f>'[24]Bases de Incidência'!D16</f>
        <v>1.3966220431531129</v>
      </c>
      <c r="CO16" s="87">
        <f>'[24]Bases de Incidência'!E16</f>
        <v>241.97319617773144</v>
      </c>
      <c r="CP16" s="45">
        <f>'[25]Bases de Incidência'!B16</f>
        <v>56.253958316929996</v>
      </c>
      <c r="CQ16" s="93">
        <f>'[25]Bases de Incidência'!C16</f>
        <v>0.5140472447629354</v>
      </c>
      <c r="CR16" s="77">
        <f>'[25]Bases de Incidência'!D16</f>
        <v>1.4866317097020905</v>
      </c>
      <c r="CS16" s="87">
        <f>'[25]Bases de Incidência'!E16</f>
        <v>270.67001153536063</v>
      </c>
      <c r="CT16" s="45">
        <f>'[26]Bases de Incidência'!B16</f>
        <v>79.713516364519947</v>
      </c>
      <c r="CU16" s="93">
        <f>'[26]Bases de Incidência'!C16</f>
        <v>0.67871853074026733</v>
      </c>
      <c r="CV16" s="77">
        <f>'[26]Bases de Incidência'!D16</f>
        <v>1.8879518072417178</v>
      </c>
      <c r="CW16" s="87">
        <f>'[26]Bases de Incidência'!E16</f>
        <v>374.97464582556262</v>
      </c>
    </row>
    <row r="17" spans="1:101" x14ac:dyDescent="0.25">
      <c r="A17" s="49" t="s">
        <v>72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</row>
    <row r="18" spans="1:101" x14ac:dyDescent="0.25">
      <c r="A18" s="49" t="s">
        <v>79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</row>
    <row r="19" spans="1:101" x14ac:dyDescent="0.25">
      <c r="A19" s="49" t="s">
        <v>78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</row>
    <row r="20" spans="1:101" x14ac:dyDescent="0.25">
      <c r="A20" s="49" t="s">
        <v>107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</row>
    <row r="21" spans="1:101" x14ac:dyDescent="0.25">
      <c r="A21" s="49" t="s">
        <v>108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</row>
    <row r="22" spans="1:101" x14ac:dyDescent="0.25">
      <c r="A22" s="49" t="s">
        <v>106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</row>
    <row r="23" spans="1:101" x14ac:dyDescent="0.25">
      <c r="A23" s="49" t="s">
        <v>73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</row>
    <row r="24" spans="1:101" x14ac:dyDescent="0.25">
      <c r="A24" s="49" t="s">
        <v>77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</row>
    <row r="25" spans="1:101" x14ac:dyDescent="0.25">
      <c r="A25" s="49" t="s">
        <v>74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</row>
    <row r="26" spans="1:101" x14ac:dyDescent="0.25">
      <c r="A26" s="49" t="s">
        <v>80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</row>
  </sheetData>
  <mergeCells count="26">
    <mergeCell ref="CT3:CW3"/>
    <mergeCell ref="AD3:AG3"/>
    <mergeCell ref="AX3:BA3"/>
    <mergeCell ref="BB3:BE3"/>
    <mergeCell ref="AH3:AK3"/>
    <mergeCell ref="AL3:AO3"/>
    <mergeCell ref="AT3:AW3"/>
    <mergeCell ref="CP3:CS3"/>
    <mergeCell ref="CL3:CO3"/>
    <mergeCell ref="AP3:AS3"/>
    <mergeCell ref="BF3:BI3"/>
    <mergeCell ref="BZ3:CC3"/>
    <mergeCell ref="CH3:CK3"/>
    <mergeCell ref="CD3:CG3"/>
    <mergeCell ref="BV3:BY3"/>
    <mergeCell ref="BR3:BU3"/>
    <mergeCell ref="BN3:BQ3"/>
    <mergeCell ref="BJ3:BM3"/>
    <mergeCell ref="A3:A4"/>
    <mergeCell ref="V3:Y3"/>
    <mergeCell ref="Z3:AC3"/>
    <mergeCell ref="R3:U3"/>
    <mergeCell ref="N3:Q3"/>
    <mergeCell ref="F3:I3"/>
    <mergeCell ref="B3:E3"/>
    <mergeCell ref="J3:M3"/>
  </mergeCells>
  <phoneticPr fontId="0" type="noConversion"/>
  <printOptions horizontalCentered="1" verticalCentered="1" gridLines="1"/>
  <pageMargins left="0" right="0" top="0" bottom="0" header="0" footer="0"/>
  <pageSetup paperSize="9" orientation="landscape" horizontalDpi="4294967294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Y55"/>
  <sheetViews>
    <sheetView showZeros="0" tabSelected="1" zoomScaleNormal="100" workbookViewId="0">
      <pane xSplit="1" ySplit="4" topLeftCell="CL35" activePane="bottomRight" state="frozen"/>
      <selection pane="topRight" activeCell="B1" sqref="B1"/>
      <selection pane="bottomLeft" activeCell="A5" sqref="A5"/>
      <selection pane="bottomRight" activeCell="CS50" sqref="CS50:CT55"/>
    </sheetView>
  </sheetViews>
  <sheetFormatPr defaultColWidth="9.109375" defaultRowHeight="13.2" x14ac:dyDescent="0.25"/>
  <cols>
    <col min="1" max="1" width="30.109375" style="13" customWidth="1"/>
    <col min="2" max="2" width="12.109375" style="13" bestFit="1" customWidth="1"/>
    <col min="3" max="5" width="12.5546875" style="13" customWidth="1"/>
    <col min="6" max="6" width="12.109375" style="13" bestFit="1" customWidth="1"/>
    <col min="7" max="9" width="12.5546875" style="13" customWidth="1"/>
    <col min="10" max="10" width="12.109375" style="13" bestFit="1" customWidth="1"/>
    <col min="11" max="13" width="12.5546875" style="13" customWidth="1"/>
    <col min="14" max="14" width="12.109375" style="13" bestFit="1" customWidth="1"/>
    <col min="15" max="17" width="12.5546875" style="13" customWidth="1"/>
    <col min="18" max="18" width="12.109375" style="13" bestFit="1" customWidth="1"/>
    <col min="19" max="21" width="12.5546875" style="13" customWidth="1"/>
    <col min="22" max="22" width="12.109375" style="13" bestFit="1" customWidth="1"/>
    <col min="23" max="25" width="12.5546875" style="13" customWidth="1"/>
    <col min="26" max="26" width="12.109375" style="13" bestFit="1" customWidth="1"/>
    <col min="27" max="29" width="12.5546875" style="13" customWidth="1"/>
    <col min="30" max="30" width="12.109375" style="13" bestFit="1" customWidth="1"/>
    <col min="31" max="33" width="12.5546875" style="13" customWidth="1"/>
    <col min="34" max="34" width="12.109375" style="13" bestFit="1" customWidth="1"/>
    <col min="35" max="37" width="12.5546875" style="13" customWidth="1"/>
    <col min="38" max="38" width="12.109375" style="13" bestFit="1" customWidth="1"/>
    <col min="39" max="41" width="12.5546875" style="13" customWidth="1"/>
    <col min="42" max="42" width="12.109375" style="13" bestFit="1" customWidth="1"/>
    <col min="43" max="45" width="12.5546875" style="13" customWidth="1"/>
    <col min="46" max="46" width="12.109375" style="13" bestFit="1" customWidth="1"/>
    <col min="47" max="49" width="12.5546875" style="13" customWidth="1"/>
    <col min="50" max="50" width="12.109375" style="13" bestFit="1" customWidth="1"/>
    <col min="51" max="53" width="12.5546875" style="13" customWidth="1"/>
    <col min="54" max="54" width="12.109375" style="13" bestFit="1" customWidth="1"/>
    <col min="55" max="57" width="12.5546875" style="13" customWidth="1"/>
    <col min="58" max="58" width="12.109375" style="13" bestFit="1" customWidth="1"/>
    <col min="59" max="61" width="12.5546875" style="13" customWidth="1"/>
    <col min="62" max="62" width="12.109375" style="13" bestFit="1" customWidth="1"/>
    <col min="63" max="65" width="12.5546875" style="13" customWidth="1"/>
    <col min="66" max="66" width="12.109375" style="13" bestFit="1" customWidth="1"/>
    <col min="67" max="69" width="12.5546875" style="13" customWidth="1"/>
    <col min="70" max="70" width="12.109375" style="13" bestFit="1" customWidth="1"/>
    <col min="71" max="73" width="12.5546875" style="13" customWidth="1"/>
    <col min="74" max="74" width="12.109375" style="13" bestFit="1" customWidth="1"/>
    <col min="75" max="77" width="12.5546875" style="13" customWidth="1"/>
    <col min="78" max="78" width="12.109375" style="13" bestFit="1" customWidth="1"/>
    <col min="79" max="81" width="12.5546875" style="13" customWidth="1"/>
    <col min="82" max="82" width="12.109375" style="13" bestFit="1" customWidth="1"/>
    <col min="83" max="85" width="12.5546875" style="13" customWidth="1"/>
    <col min="86" max="86" width="12.109375" style="13" bestFit="1" customWidth="1"/>
    <col min="87" max="89" width="12.5546875" style="13" customWidth="1"/>
    <col min="90" max="90" width="12.109375" style="13" bestFit="1" customWidth="1"/>
    <col min="91" max="93" width="12.5546875" style="13" customWidth="1"/>
    <col min="94" max="94" width="12.109375" style="13" bestFit="1" customWidth="1"/>
    <col min="95" max="97" width="12.5546875" style="13" customWidth="1"/>
    <col min="98" max="98" width="12.109375" style="13" bestFit="1" customWidth="1"/>
    <col min="99" max="101" width="12.5546875" style="13" customWidth="1"/>
    <col min="102" max="16384" width="9.109375" style="13"/>
  </cols>
  <sheetData>
    <row r="1" spans="1:102" x14ac:dyDescent="0.25">
      <c r="A1" s="61" t="s">
        <v>129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1"/>
      <c r="CU1" s="61"/>
      <c r="CV1" s="61"/>
      <c r="CW1" s="61"/>
    </row>
    <row r="2" spans="1:102" ht="13.8" thickBot="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</row>
    <row r="3" spans="1:102" x14ac:dyDescent="0.25">
      <c r="A3" s="115" t="s">
        <v>87</v>
      </c>
      <c r="B3" s="110">
        <v>2000</v>
      </c>
      <c r="C3" s="111"/>
      <c r="D3" s="111"/>
      <c r="E3" s="111"/>
      <c r="F3" s="110">
        <v>2001</v>
      </c>
      <c r="G3" s="111"/>
      <c r="H3" s="111"/>
      <c r="I3" s="111"/>
      <c r="J3" s="110">
        <v>2002</v>
      </c>
      <c r="K3" s="111"/>
      <c r="L3" s="111"/>
      <c r="M3" s="111"/>
      <c r="N3" s="110">
        <v>2003</v>
      </c>
      <c r="O3" s="111"/>
      <c r="P3" s="111"/>
      <c r="Q3" s="111"/>
      <c r="R3" s="110">
        <v>2004</v>
      </c>
      <c r="S3" s="111"/>
      <c r="T3" s="111"/>
      <c r="U3" s="111"/>
      <c r="V3" s="110">
        <v>2005</v>
      </c>
      <c r="W3" s="111"/>
      <c r="X3" s="111"/>
      <c r="Y3" s="111"/>
      <c r="Z3" s="110">
        <v>2006</v>
      </c>
      <c r="AA3" s="111"/>
      <c r="AB3" s="111"/>
      <c r="AC3" s="111"/>
      <c r="AD3" s="110">
        <v>2007</v>
      </c>
      <c r="AE3" s="111"/>
      <c r="AF3" s="111"/>
      <c r="AG3" s="111"/>
      <c r="AH3" s="110">
        <v>2008</v>
      </c>
      <c r="AI3" s="111"/>
      <c r="AJ3" s="111"/>
      <c r="AK3" s="111"/>
      <c r="AL3" s="110">
        <v>2009</v>
      </c>
      <c r="AM3" s="111"/>
      <c r="AN3" s="111"/>
      <c r="AO3" s="111"/>
      <c r="AP3" s="110">
        <v>2010</v>
      </c>
      <c r="AQ3" s="111"/>
      <c r="AR3" s="111"/>
      <c r="AS3" s="111"/>
      <c r="AT3" s="110">
        <v>2011</v>
      </c>
      <c r="AU3" s="111"/>
      <c r="AV3" s="111"/>
      <c r="AW3" s="111"/>
      <c r="AX3" s="110">
        <v>2012</v>
      </c>
      <c r="AY3" s="111"/>
      <c r="AZ3" s="111"/>
      <c r="BA3" s="111"/>
      <c r="BB3" s="110">
        <v>2013</v>
      </c>
      <c r="BC3" s="111"/>
      <c r="BD3" s="111"/>
      <c r="BE3" s="112"/>
      <c r="BF3" s="110">
        <v>2014</v>
      </c>
      <c r="BG3" s="111"/>
      <c r="BH3" s="111"/>
      <c r="BI3" s="112"/>
      <c r="BJ3" s="110">
        <v>2015</v>
      </c>
      <c r="BK3" s="111"/>
      <c r="BL3" s="111"/>
      <c r="BM3" s="112"/>
      <c r="BN3" s="110">
        <v>2016</v>
      </c>
      <c r="BO3" s="111"/>
      <c r="BP3" s="111"/>
      <c r="BQ3" s="112"/>
      <c r="BR3" s="110">
        <v>2017</v>
      </c>
      <c r="BS3" s="111"/>
      <c r="BT3" s="111"/>
      <c r="BU3" s="112"/>
      <c r="BV3" s="110">
        <v>2018</v>
      </c>
      <c r="BW3" s="111"/>
      <c r="BX3" s="111"/>
      <c r="BY3" s="112"/>
      <c r="BZ3" s="110">
        <v>2019</v>
      </c>
      <c r="CA3" s="111"/>
      <c r="CB3" s="111"/>
      <c r="CC3" s="112"/>
      <c r="CD3" s="110">
        <v>2020</v>
      </c>
      <c r="CE3" s="111"/>
      <c r="CF3" s="111"/>
      <c r="CG3" s="112"/>
      <c r="CH3" s="110">
        <v>2021</v>
      </c>
      <c r="CI3" s="111"/>
      <c r="CJ3" s="111"/>
      <c r="CK3" s="112"/>
      <c r="CL3" s="110">
        <v>2022</v>
      </c>
      <c r="CM3" s="111"/>
      <c r="CN3" s="111"/>
      <c r="CO3" s="112"/>
      <c r="CP3" s="110">
        <v>2023</v>
      </c>
      <c r="CQ3" s="111"/>
      <c r="CR3" s="111"/>
      <c r="CS3" s="112"/>
      <c r="CT3" s="110">
        <v>2024</v>
      </c>
      <c r="CU3" s="111"/>
      <c r="CV3" s="111"/>
      <c r="CW3" s="112"/>
    </row>
    <row r="4" spans="1:102" ht="37.5" customHeight="1" x14ac:dyDescent="0.25">
      <c r="A4" s="117"/>
      <c r="B4" s="16" t="s">
        <v>84</v>
      </c>
      <c r="C4" s="17" t="s">
        <v>81</v>
      </c>
      <c r="D4" s="17" t="s">
        <v>82</v>
      </c>
      <c r="E4" s="17" t="s">
        <v>116</v>
      </c>
      <c r="F4" s="16" t="s">
        <v>84</v>
      </c>
      <c r="G4" s="17" t="s">
        <v>81</v>
      </c>
      <c r="H4" s="17" t="s">
        <v>82</v>
      </c>
      <c r="I4" s="17" t="s">
        <v>116</v>
      </c>
      <c r="J4" s="16" t="s">
        <v>84</v>
      </c>
      <c r="K4" s="17" t="s">
        <v>81</v>
      </c>
      <c r="L4" s="17" t="s">
        <v>82</v>
      </c>
      <c r="M4" s="17" t="s">
        <v>116</v>
      </c>
      <c r="N4" s="16" t="s">
        <v>84</v>
      </c>
      <c r="O4" s="17" t="s">
        <v>81</v>
      </c>
      <c r="P4" s="17" t="s">
        <v>82</v>
      </c>
      <c r="Q4" s="17" t="s">
        <v>116</v>
      </c>
      <c r="R4" s="16" t="s">
        <v>84</v>
      </c>
      <c r="S4" s="17" t="s">
        <v>81</v>
      </c>
      <c r="T4" s="17" t="s">
        <v>82</v>
      </c>
      <c r="U4" s="17" t="s">
        <v>116</v>
      </c>
      <c r="V4" s="16" t="s">
        <v>84</v>
      </c>
      <c r="W4" s="17" t="s">
        <v>81</v>
      </c>
      <c r="X4" s="17" t="s">
        <v>82</v>
      </c>
      <c r="Y4" s="17" t="s">
        <v>116</v>
      </c>
      <c r="Z4" s="16" t="s">
        <v>84</v>
      </c>
      <c r="AA4" s="17" t="s">
        <v>81</v>
      </c>
      <c r="AB4" s="17" t="s">
        <v>82</v>
      </c>
      <c r="AC4" s="17" t="s">
        <v>116</v>
      </c>
      <c r="AD4" s="16" t="s">
        <v>84</v>
      </c>
      <c r="AE4" s="17" t="s">
        <v>81</v>
      </c>
      <c r="AF4" s="17" t="s">
        <v>82</v>
      </c>
      <c r="AG4" s="17" t="s">
        <v>116</v>
      </c>
      <c r="AH4" s="16" t="s">
        <v>84</v>
      </c>
      <c r="AI4" s="17" t="s">
        <v>81</v>
      </c>
      <c r="AJ4" s="17" t="s">
        <v>82</v>
      </c>
      <c r="AK4" s="17" t="s">
        <v>116</v>
      </c>
      <c r="AL4" s="16" t="s">
        <v>84</v>
      </c>
      <c r="AM4" s="17" t="s">
        <v>81</v>
      </c>
      <c r="AN4" s="17" t="s">
        <v>82</v>
      </c>
      <c r="AO4" s="17" t="s">
        <v>116</v>
      </c>
      <c r="AP4" s="16" t="s">
        <v>84</v>
      </c>
      <c r="AQ4" s="17" t="s">
        <v>81</v>
      </c>
      <c r="AR4" s="17" t="s">
        <v>82</v>
      </c>
      <c r="AS4" s="17" t="s">
        <v>116</v>
      </c>
      <c r="AT4" s="16" t="s">
        <v>84</v>
      </c>
      <c r="AU4" s="17" t="s">
        <v>81</v>
      </c>
      <c r="AV4" s="17" t="s">
        <v>82</v>
      </c>
      <c r="AW4" s="17" t="s">
        <v>116</v>
      </c>
      <c r="AX4" s="16" t="s">
        <v>84</v>
      </c>
      <c r="AY4" s="17" t="s">
        <v>81</v>
      </c>
      <c r="AZ4" s="17" t="s">
        <v>82</v>
      </c>
      <c r="BA4" s="17" t="s">
        <v>116</v>
      </c>
      <c r="BB4" s="16" t="s">
        <v>84</v>
      </c>
      <c r="BC4" s="17" t="s">
        <v>81</v>
      </c>
      <c r="BD4" s="17" t="s">
        <v>82</v>
      </c>
      <c r="BE4" s="18" t="s">
        <v>116</v>
      </c>
      <c r="BF4" s="16" t="s">
        <v>84</v>
      </c>
      <c r="BG4" s="17" t="s">
        <v>81</v>
      </c>
      <c r="BH4" s="17" t="s">
        <v>82</v>
      </c>
      <c r="BI4" s="18" t="s">
        <v>116</v>
      </c>
      <c r="BJ4" s="16" t="s">
        <v>84</v>
      </c>
      <c r="BK4" s="17" t="s">
        <v>81</v>
      </c>
      <c r="BL4" s="17" t="s">
        <v>82</v>
      </c>
      <c r="BM4" s="18" t="s">
        <v>116</v>
      </c>
      <c r="BN4" s="16" t="s">
        <v>84</v>
      </c>
      <c r="BO4" s="17" t="s">
        <v>81</v>
      </c>
      <c r="BP4" s="17" t="s">
        <v>82</v>
      </c>
      <c r="BQ4" s="18" t="s">
        <v>116</v>
      </c>
      <c r="BR4" s="16" t="s">
        <v>84</v>
      </c>
      <c r="BS4" s="17" t="s">
        <v>81</v>
      </c>
      <c r="BT4" s="17" t="s">
        <v>82</v>
      </c>
      <c r="BU4" s="18" t="s">
        <v>116</v>
      </c>
      <c r="BV4" s="16" t="s">
        <v>84</v>
      </c>
      <c r="BW4" s="17" t="s">
        <v>81</v>
      </c>
      <c r="BX4" s="17" t="s">
        <v>82</v>
      </c>
      <c r="BY4" s="18" t="s">
        <v>116</v>
      </c>
      <c r="BZ4" s="16" t="s">
        <v>84</v>
      </c>
      <c r="CA4" s="17" t="s">
        <v>81</v>
      </c>
      <c r="CB4" s="17" t="s">
        <v>82</v>
      </c>
      <c r="CC4" s="18" t="s">
        <v>116</v>
      </c>
      <c r="CD4" s="16" t="s">
        <v>84</v>
      </c>
      <c r="CE4" s="17" t="s">
        <v>81</v>
      </c>
      <c r="CF4" s="17" t="s">
        <v>82</v>
      </c>
      <c r="CG4" s="18" t="s">
        <v>116</v>
      </c>
      <c r="CH4" s="16" t="s">
        <v>84</v>
      </c>
      <c r="CI4" s="17" t="s">
        <v>81</v>
      </c>
      <c r="CJ4" s="17" t="s">
        <v>82</v>
      </c>
      <c r="CK4" s="18" t="s">
        <v>116</v>
      </c>
      <c r="CL4" s="16" t="s">
        <v>84</v>
      </c>
      <c r="CM4" s="17" t="s">
        <v>81</v>
      </c>
      <c r="CN4" s="17" t="s">
        <v>82</v>
      </c>
      <c r="CO4" s="18" t="s">
        <v>116</v>
      </c>
      <c r="CP4" s="16" t="s">
        <v>84</v>
      </c>
      <c r="CQ4" s="17" t="s">
        <v>81</v>
      </c>
      <c r="CR4" s="17" t="s">
        <v>82</v>
      </c>
      <c r="CS4" s="18" t="s">
        <v>116</v>
      </c>
      <c r="CT4" s="16" t="s">
        <v>84</v>
      </c>
      <c r="CU4" s="17" t="s">
        <v>81</v>
      </c>
      <c r="CV4" s="17" t="s">
        <v>82</v>
      </c>
      <c r="CW4" s="18" t="s">
        <v>116</v>
      </c>
    </row>
    <row r="5" spans="1:102" x14ac:dyDescent="0.25">
      <c r="A5" s="64" t="s">
        <v>2</v>
      </c>
      <c r="B5" s="20">
        <f>'[2]RD ESFERA'!B5</f>
        <v>1202.3772157699991</v>
      </c>
      <c r="C5" s="82">
        <f>'[2]RD ESFERA'!C5</f>
        <v>0</v>
      </c>
      <c r="D5" s="82">
        <f>'[2]RD ESFERA'!D5</f>
        <v>0</v>
      </c>
      <c r="E5" s="82">
        <f>'[2]RD ESFERA'!E5</f>
        <v>0</v>
      </c>
      <c r="F5" s="20">
        <f>'[3]RD ESFERA'!B5</f>
        <v>1315.7550000000001</v>
      </c>
      <c r="G5" s="82">
        <f>'[3]RD ESFERA'!C5</f>
        <v>0</v>
      </c>
      <c r="H5" s="82">
        <f>'[3]RD ESFERA'!D5</f>
        <v>0</v>
      </c>
      <c r="I5" s="82">
        <f>'[3]RD ESFERA'!E5</f>
        <v>0</v>
      </c>
      <c r="J5" s="20">
        <f>'[4]RD ESFERA'!B5</f>
        <v>1488.787</v>
      </c>
      <c r="K5" s="82">
        <f>'[4]RD ESFERA'!C5</f>
        <v>0</v>
      </c>
      <c r="L5" s="82">
        <f>'[4]RD ESFERA'!D5</f>
        <v>0</v>
      </c>
      <c r="M5" s="82">
        <f>'[4]RD ESFERA'!E5</f>
        <v>0</v>
      </c>
      <c r="N5" s="20">
        <f>'[5]RD ESFERA'!B5</f>
        <v>1717.95</v>
      </c>
      <c r="O5" s="82">
        <f>'[5]RD ESFERA'!C5</f>
        <v>0</v>
      </c>
      <c r="P5" s="82">
        <f>'[5]RD ESFERA'!D5</f>
        <v>0</v>
      </c>
      <c r="Q5" s="82">
        <f>'[5]RD ESFERA'!E5</f>
        <v>0</v>
      </c>
      <c r="R5" s="20">
        <f>'[6]RD ESFERA'!B5</f>
        <v>1957.751</v>
      </c>
      <c r="S5" s="82">
        <f>'[6]RD ESFERA'!C5</f>
        <v>0</v>
      </c>
      <c r="T5" s="82">
        <f>'[6]RD ESFERA'!D5</f>
        <v>0</v>
      </c>
      <c r="U5" s="82">
        <f>'[6]RD ESFERA'!E5</f>
        <v>0</v>
      </c>
      <c r="V5" s="20">
        <f>'[7]RD ESFERA'!B5</f>
        <v>2170.585</v>
      </c>
      <c r="W5" s="82">
        <f>'[7]RD ESFERA'!C5</f>
        <v>0</v>
      </c>
      <c r="X5" s="82">
        <f>'[7]RD ESFERA'!D5</f>
        <v>0</v>
      </c>
      <c r="Y5" s="82">
        <f>'[7]RD ESFERA'!E5</f>
        <v>0</v>
      </c>
      <c r="Z5" s="20">
        <f>'[8]RD ESFERA'!B5</f>
        <v>2409.4499999999998</v>
      </c>
      <c r="AA5" s="82">
        <f>'[8]RD ESFERA'!C5</f>
        <v>0</v>
      </c>
      <c r="AB5" s="82">
        <f>'[8]RD ESFERA'!D5</f>
        <v>0</v>
      </c>
      <c r="AC5" s="82">
        <f>'[8]RD ESFERA'!E5</f>
        <v>0</v>
      </c>
      <c r="AD5" s="20">
        <f>'[9]RD ESFERA'!B5</f>
        <v>2720.2629999999999</v>
      </c>
      <c r="AE5" s="82">
        <f>'[9]RD ESFERA'!C5</f>
        <v>0</v>
      </c>
      <c r="AF5" s="82">
        <f>'[9]RD ESFERA'!D5</f>
        <v>0</v>
      </c>
      <c r="AG5" s="82">
        <f>'[9]RD ESFERA'!E5</f>
        <v>0</v>
      </c>
      <c r="AH5" s="20">
        <f>'[10]RD ESFERA'!B5</f>
        <v>3109.8029999999999</v>
      </c>
      <c r="AI5" s="82">
        <f>'[10]RD ESFERA'!C5</f>
        <v>0</v>
      </c>
      <c r="AJ5" s="82">
        <f>'[10]RD ESFERA'!D5</f>
        <v>0</v>
      </c>
      <c r="AK5" s="82">
        <f>'[10]RD ESFERA'!E5</f>
        <v>0</v>
      </c>
      <c r="AL5" s="20">
        <f>'[11]RD ESFERA'!B5</f>
        <v>3333.0390000000002</v>
      </c>
      <c r="AM5" s="82">
        <f>'[11]RD ESFERA'!C5</f>
        <v>0</v>
      </c>
      <c r="AN5" s="82">
        <f>'[11]RD ESFERA'!D5</f>
        <v>0</v>
      </c>
      <c r="AO5" s="82">
        <f>'[11]RD ESFERA'!E5</f>
        <v>0</v>
      </c>
      <c r="AP5" s="20">
        <f>'[12]RD ESFERA'!B5</f>
        <v>3885.8470000000002</v>
      </c>
      <c r="AQ5" s="82">
        <f>'[12]RD ESFERA'!C5</f>
        <v>0</v>
      </c>
      <c r="AR5" s="82">
        <f>'[12]RD ESFERA'!D5</f>
        <v>0</v>
      </c>
      <c r="AS5" s="82">
        <f>'[12]RD ESFERA'!E5</f>
        <v>0</v>
      </c>
      <c r="AT5" s="20">
        <f>'[13]RD ESFERA'!B5</f>
        <v>4376.3819999999996</v>
      </c>
      <c r="AU5" s="82">
        <f>'[13]RD ESFERA'!C5</f>
        <v>0</v>
      </c>
      <c r="AV5" s="82">
        <f>'[13]RD ESFERA'!D5</f>
        <v>0</v>
      </c>
      <c r="AW5" s="82">
        <f>'[13]RD ESFERA'!E5</f>
        <v>0</v>
      </c>
      <c r="AX5" s="20">
        <f>'[14]RD ESFERA'!B5</f>
        <v>4814.76</v>
      </c>
      <c r="AY5" s="82">
        <f>'[14]RD ESFERA'!C5</f>
        <v>0</v>
      </c>
      <c r="AZ5" s="82">
        <f>'[14]RD ESFERA'!D5</f>
        <v>0</v>
      </c>
      <c r="BA5" s="82">
        <f>'[14]RD ESFERA'!E5</f>
        <v>0</v>
      </c>
      <c r="BB5" s="20">
        <f>'[15]RD ESFERA'!B5</f>
        <v>5331.6189999999997</v>
      </c>
      <c r="BC5" s="82">
        <f>'[15]RD ESFERA'!C5</f>
        <v>0</v>
      </c>
      <c r="BD5" s="82">
        <f>'[15]RD ESFERA'!D5</f>
        <v>0</v>
      </c>
      <c r="BE5" s="83">
        <f>'[15]RD ESFERA'!E5</f>
        <v>0</v>
      </c>
      <c r="BF5" s="20">
        <f>'[16]RD ESFERA'!B5</f>
        <v>5778.9530000000004</v>
      </c>
      <c r="BG5" s="82">
        <f>'[16]RD ESFERA'!C5</f>
        <v>0</v>
      </c>
      <c r="BH5" s="82">
        <f>'[16]RD ESFERA'!D5</f>
        <v>0</v>
      </c>
      <c r="BI5" s="83">
        <f>'[16]RD ESFERA'!E5</f>
        <v>0</v>
      </c>
      <c r="BJ5" s="20">
        <f>'[17]RD ESFERA'!B5</f>
        <v>5995.7870000000003</v>
      </c>
      <c r="BK5" s="82">
        <f>'[17]RD ESFERA'!C5</f>
        <v>0</v>
      </c>
      <c r="BL5" s="82">
        <f>'[17]RD ESFERA'!D5</f>
        <v>0</v>
      </c>
      <c r="BM5" s="83">
        <f>'[17]RD ESFERA'!E5</f>
        <v>0</v>
      </c>
      <c r="BN5" s="20">
        <f>'[18]RD ESFERA'!B5</f>
        <v>6267.2049999999999</v>
      </c>
      <c r="BO5" s="82">
        <f>'[18]RD ESFERA'!C5</f>
        <v>0</v>
      </c>
      <c r="BP5" s="82">
        <f>'[18]RD ESFERA'!D5</f>
        <v>0</v>
      </c>
      <c r="BQ5" s="83">
        <f>'[18]RD ESFERA'!E5</f>
        <v>0</v>
      </c>
      <c r="BR5" s="20">
        <f>'[19]RD ESFERA'!B5</f>
        <v>6553.8426904999897</v>
      </c>
      <c r="BS5" s="82">
        <f>'[19]RD ESFERA'!C5</f>
        <v>0</v>
      </c>
      <c r="BT5" s="82">
        <f>'[19]RD ESFERA'!D5</f>
        <v>0</v>
      </c>
      <c r="BU5" s="83">
        <f>'[19]RD ESFERA'!E5</f>
        <v>0</v>
      </c>
      <c r="BV5" s="20">
        <f>'[20]RD ESFERA'!B5</f>
        <v>6889.1760999999997</v>
      </c>
      <c r="BW5" s="82">
        <f>'[20]RD ESFERA'!C5</f>
        <v>0</v>
      </c>
      <c r="BX5" s="82">
        <f>'[20]RD ESFERA'!D5</f>
        <v>0</v>
      </c>
      <c r="BY5" s="83">
        <f>'[20]RD ESFERA'!E5</f>
        <v>0</v>
      </c>
      <c r="BZ5" s="20">
        <f>'[21]RD ESFERA'!B5</f>
        <v>7389.1310000000003</v>
      </c>
      <c r="CA5" s="82">
        <f>'[21]RD ESFERA'!C5</f>
        <v>0</v>
      </c>
      <c r="CB5" s="82">
        <f>'[21]RD ESFERA'!D5</f>
        <v>0</v>
      </c>
      <c r="CC5" s="83">
        <f>'[21]RD ESFERA'!E5</f>
        <v>0</v>
      </c>
      <c r="CD5" s="20">
        <f>'[22]RD ESFERA'!B5</f>
        <v>7609.5969999999998</v>
      </c>
      <c r="CE5" s="82">
        <f>'[22]RD ESFERA'!C5</f>
        <v>0</v>
      </c>
      <c r="CF5" s="82">
        <f>'[22]RD ESFERA'!D5</f>
        <v>0</v>
      </c>
      <c r="CG5" s="83">
        <f>'[22]RD ESFERA'!E5</f>
        <v>0</v>
      </c>
      <c r="CH5" s="20">
        <f>'[23]RD ESFERA'!B5</f>
        <v>8898.7270000000008</v>
      </c>
      <c r="CI5" s="82"/>
      <c r="CJ5" s="82"/>
      <c r="CK5" s="83"/>
      <c r="CL5" s="20">
        <f>'[24]RD ESFERA'!B5</f>
        <v>10079.675999999999</v>
      </c>
      <c r="CM5" s="82">
        <f>'[24]RD ESFERA'!C5</f>
        <v>0</v>
      </c>
      <c r="CN5" s="82">
        <f>'[24]RD ESFERA'!D5</f>
        <v>0</v>
      </c>
      <c r="CO5" s="83">
        <f>'[24]RD ESFERA'!E5</f>
        <v>0</v>
      </c>
      <c r="CP5" s="20">
        <f>'[25]RD ESFERA'!B5</f>
        <v>10943.343999999999</v>
      </c>
      <c r="CQ5" s="82">
        <f>'[25]RD ESFERA'!C5</f>
        <v>0</v>
      </c>
      <c r="CR5" s="82">
        <f>'[25]RD ESFERA'!D5</f>
        <v>0</v>
      </c>
      <c r="CS5" s="83">
        <f>'[25]RD ESFERA'!E5</f>
        <v>0</v>
      </c>
      <c r="CT5" s="20">
        <f>'[26]RD ESFERA'!B5</f>
        <v>11744.709000000001</v>
      </c>
      <c r="CU5" s="82">
        <f>'[26]RD ESFERA'!C5</f>
        <v>0</v>
      </c>
      <c r="CV5" s="82">
        <f>'[26]RD ESFERA'!D5</f>
        <v>0</v>
      </c>
      <c r="CW5" s="83">
        <f>'[26]RD ESFERA'!E5</f>
        <v>0</v>
      </c>
    </row>
    <row r="6" spans="1:102" x14ac:dyDescent="0.25">
      <c r="A6" s="64" t="s">
        <v>121</v>
      </c>
      <c r="B6" s="23">
        <f>'[2]RD ESFERA'!B6</f>
        <v>173448346</v>
      </c>
      <c r="C6" s="82">
        <f>'[2]RD ESFERA'!C6</f>
        <v>0</v>
      </c>
      <c r="D6" s="82">
        <f>'[2]RD ESFERA'!D6</f>
        <v>0</v>
      </c>
      <c r="E6" s="82">
        <f>'[2]RD ESFERA'!E6</f>
        <v>0</v>
      </c>
      <c r="F6" s="23">
        <f>'[3]RD ESFERA'!B6</f>
        <v>173448346</v>
      </c>
      <c r="G6" s="82">
        <f>'[3]RD ESFERA'!C6</f>
        <v>0</v>
      </c>
      <c r="H6" s="82">
        <f>'[3]RD ESFERA'!D6</f>
        <v>0</v>
      </c>
      <c r="I6" s="82">
        <f>'[3]RD ESFERA'!E6</f>
        <v>0</v>
      </c>
      <c r="J6" s="23">
        <f>'[4]RD ESFERA'!B6</f>
        <v>178276128</v>
      </c>
      <c r="K6" s="82">
        <f>'[4]RD ESFERA'!C6</f>
        <v>0</v>
      </c>
      <c r="L6" s="82">
        <f>'[4]RD ESFERA'!D6</f>
        <v>0</v>
      </c>
      <c r="M6" s="82">
        <f>'[4]RD ESFERA'!E6</f>
        <v>0</v>
      </c>
      <c r="N6" s="23">
        <f>'[5]RD ESFERA'!B6</f>
        <v>180619108</v>
      </c>
      <c r="O6" s="82">
        <f>'[5]RD ESFERA'!C6</f>
        <v>0</v>
      </c>
      <c r="P6" s="82">
        <f>'[5]RD ESFERA'!D6</f>
        <v>0</v>
      </c>
      <c r="Q6" s="82">
        <f>'[5]RD ESFERA'!E6</f>
        <v>0</v>
      </c>
      <c r="R6" s="23">
        <f>'[6]RD ESFERA'!B6</f>
        <v>182911487</v>
      </c>
      <c r="S6" s="82">
        <f>'[6]RD ESFERA'!C6</f>
        <v>0</v>
      </c>
      <c r="T6" s="82">
        <f>'[6]RD ESFERA'!D6</f>
        <v>0</v>
      </c>
      <c r="U6" s="82">
        <f>'[6]RD ESFERA'!E6</f>
        <v>0</v>
      </c>
      <c r="V6" s="23">
        <f>'[7]RD ESFERA'!B6</f>
        <v>185150806</v>
      </c>
      <c r="W6" s="82">
        <f>'[7]RD ESFERA'!C6</f>
        <v>0</v>
      </c>
      <c r="X6" s="82">
        <f>'[7]RD ESFERA'!D6</f>
        <v>0</v>
      </c>
      <c r="Y6" s="82">
        <f>'[7]RD ESFERA'!E6</f>
        <v>0</v>
      </c>
      <c r="Z6" s="23">
        <f>'[8]RD ESFERA'!B6</f>
        <v>187335137</v>
      </c>
      <c r="AA6" s="82">
        <f>'[8]RD ESFERA'!C6</f>
        <v>0</v>
      </c>
      <c r="AB6" s="82">
        <f>'[8]RD ESFERA'!D6</f>
        <v>0</v>
      </c>
      <c r="AC6" s="82">
        <f>'[8]RD ESFERA'!E6</f>
        <v>0</v>
      </c>
      <c r="AD6" s="23">
        <f>'[9]RD ESFERA'!B6</f>
        <v>189462755</v>
      </c>
      <c r="AE6" s="82">
        <f>'[9]RD ESFERA'!C6</f>
        <v>0</v>
      </c>
      <c r="AF6" s="82">
        <f>'[9]RD ESFERA'!D6</f>
        <v>0</v>
      </c>
      <c r="AG6" s="82">
        <f>'[9]RD ESFERA'!E6</f>
        <v>0</v>
      </c>
      <c r="AH6" s="23">
        <f>'[10]RD ESFERA'!B6</f>
        <v>191532439</v>
      </c>
      <c r="AI6" s="82">
        <f>'[10]RD ESFERA'!C6</f>
        <v>0</v>
      </c>
      <c r="AJ6" s="82">
        <f>'[10]RD ESFERA'!D6</f>
        <v>0</v>
      </c>
      <c r="AK6" s="82">
        <f>'[10]RD ESFERA'!E6</f>
        <v>0</v>
      </c>
      <c r="AL6" s="23">
        <f>'[11]RD ESFERA'!B6</f>
        <v>193543969</v>
      </c>
      <c r="AM6" s="82">
        <f>'[11]RD ESFERA'!C6</f>
        <v>0</v>
      </c>
      <c r="AN6" s="82">
        <f>'[11]RD ESFERA'!D6</f>
        <v>0</v>
      </c>
      <c r="AO6" s="82">
        <f>'[11]RD ESFERA'!E6</f>
        <v>0</v>
      </c>
      <c r="AP6" s="23">
        <f>'[12]RD ESFERA'!B6</f>
        <v>195497797</v>
      </c>
      <c r="AQ6" s="82">
        <f>'[12]RD ESFERA'!C6</f>
        <v>0</v>
      </c>
      <c r="AR6" s="82">
        <f>'[12]RD ESFERA'!D6</f>
        <v>0</v>
      </c>
      <c r="AS6" s="82">
        <f>'[12]RD ESFERA'!E6</f>
        <v>0</v>
      </c>
      <c r="AT6" s="23">
        <f>'[13]RD ESFERA'!B6</f>
        <v>197397018</v>
      </c>
      <c r="AU6" s="82">
        <f>'[13]RD ESFERA'!C6</f>
        <v>0</v>
      </c>
      <c r="AV6" s="82">
        <f>'[13]RD ESFERA'!D6</f>
        <v>0</v>
      </c>
      <c r="AW6" s="82">
        <f>'[13]RD ESFERA'!E6</f>
        <v>0</v>
      </c>
      <c r="AX6" s="23">
        <f>'[14]RD ESFERA'!B6</f>
        <v>199242462</v>
      </c>
      <c r="AY6" s="82">
        <f>'[14]RD ESFERA'!C6</f>
        <v>0</v>
      </c>
      <c r="AZ6" s="82">
        <f>'[14]RD ESFERA'!D6</f>
        <v>0</v>
      </c>
      <c r="BA6" s="82">
        <f>'[14]RD ESFERA'!E6</f>
        <v>0</v>
      </c>
      <c r="BB6" s="23">
        <f>'[15]RD ESFERA'!B6</f>
        <v>201032714</v>
      </c>
      <c r="BC6" s="82">
        <f>'[15]RD ESFERA'!C6</f>
        <v>0</v>
      </c>
      <c r="BD6" s="82">
        <f>'[15]RD ESFERA'!D6</f>
        <v>0</v>
      </c>
      <c r="BE6" s="83">
        <f>'[15]RD ESFERA'!E6</f>
        <v>0</v>
      </c>
      <c r="BF6" s="23">
        <f>'[16]RD ESFERA'!B6</f>
        <v>202768562</v>
      </c>
      <c r="BG6" s="82">
        <f>'[16]RD ESFERA'!C6</f>
        <v>0</v>
      </c>
      <c r="BH6" s="82">
        <f>'[16]RD ESFERA'!D6</f>
        <v>0</v>
      </c>
      <c r="BI6" s="83">
        <f>'[16]RD ESFERA'!E6</f>
        <v>0</v>
      </c>
      <c r="BJ6" s="23">
        <f>'[17]RD ESFERA'!B6</f>
        <v>204450649</v>
      </c>
      <c r="BK6" s="82">
        <f>'[17]RD ESFERA'!C6</f>
        <v>0</v>
      </c>
      <c r="BL6" s="82">
        <f>'[17]RD ESFERA'!D6</f>
        <v>0</v>
      </c>
      <c r="BM6" s="83">
        <f>'[17]RD ESFERA'!E6</f>
        <v>0</v>
      </c>
      <c r="BN6" s="23">
        <f>'[18]RD ESFERA'!B6</f>
        <v>206081432</v>
      </c>
      <c r="BO6" s="82">
        <f>'[18]RD ESFERA'!C6</f>
        <v>0</v>
      </c>
      <c r="BP6" s="82">
        <f>'[18]RD ESFERA'!D6</f>
        <v>0</v>
      </c>
      <c r="BQ6" s="83">
        <f>'[18]RD ESFERA'!E6</f>
        <v>0</v>
      </c>
      <c r="BR6" s="23">
        <f>'[19]RD ESFERA'!B6</f>
        <v>207660929</v>
      </c>
      <c r="BS6" s="82">
        <f>'[19]RD ESFERA'!C6</f>
        <v>0</v>
      </c>
      <c r="BT6" s="82">
        <f>'[19]RD ESFERA'!D6</f>
        <v>0</v>
      </c>
      <c r="BU6" s="83">
        <f>'[19]RD ESFERA'!E6</f>
        <v>0</v>
      </c>
      <c r="BV6" s="23">
        <f>'[20]RD ESFERA'!B6</f>
        <v>208494900</v>
      </c>
      <c r="BW6" s="82">
        <f>'[20]RD ESFERA'!C6</f>
        <v>0</v>
      </c>
      <c r="BX6" s="82">
        <f>'[20]RD ESFERA'!D6</f>
        <v>0</v>
      </c>
      <c r="BY6" s="83">
        <f>'[20]RD ESFERA'!E6</f>
        <v>0</v>
      </c>
      <c r="BZ6" s="23">
        <f>'[21]RD ESFERA'!B6</f>
        <v>210147125</v>
      </c>
      <c r="CA6" s="82">
        <f>'[21]RD ESFERA'!C6</f>
        <v>0</v>
      </c>
      <c r="CB6" s="82">
        <f>'[21]RD ESFERA'!D6</f>
        <v>0</v>
      </c>
      <c r="CC6" s="83">
        <f>'[21]RD ESFERA'!E6</f>
        <v>0</v>
      </c>
      <c r="CD6" s="23">
        <f>'[22]RD ESFERA'!B6</f>
        <v>211755692</v>
      </c>
      <c r="CE6" s="82">
        <f>'[22]RD ESFERA'!C6</f>
        <v>0</v>
      </c>
      <c r="CF6" s="82">
        <f>'[22]RD ESFERA'!D6</f>
        <v>0</v>
      </c>
      <c r="CG6" s="83">
        <f>'[22]RD ESFERA'!E6</f>
        <v>0</v>
      </c>
      <c r="CH6" s="23">
        <f>'[23]RD ESFERA'!B6</f>
        <v>213317639</v>
      </c>
      <c r="CI6" s="82"/>
      <c r="CJ6" s="82"/>
      <c r="CK6" s="83"/>
      <c r="CL6" s="23">
        <f>'[24]RD ESFERA'!B6</f>
        <v>203080756</v>
      </c>
      <c r="CM6" s="82">
        <f>'[24]RD ESFERA'!C6</f>
        <v>0</v>
      </c>
      <c r="CN6" s="82">
        <f>'[24]RD ESFERA'!D6</f>
        <v>0</v>
      </c>
      <c r="CO6" s="83">
        <f>'[24]RD ESFERA'!E6</f>
        <v>0</v>
      </c>
      <c r="CP6" s="23">
        <f>'[25]RD ESFERA'!B6</f>
        <v>207832253</v>
      </c>
      <c r="CQ6" s="82">
        <f>'[25]RD ESFERA'!C6</f>
        <v>0</v>
      </c>
      <c r="CR6" s="82">
        <f>'[25]RD ESFERA'!D6</f>
        <v>0</v>
      </c>
      <c r="CS6" s="83">
        <f>'[25]RD ESFERA'!E6</f>
        <v>0</v>
      </c>
      <c r="CT6" s="23">
        <f>'[26]RD ESFERA'!B6</f>
        <v>212583750</v>
      </c>
      <c r="CU6" s="82">
        <f>'[26]RD ESFERA'!C6</f>
        <v>0</v>
      </c>
      <c r="CV6" s="82">
        <f>'[26]RD ESFERA'!D6</f>
        <v>0</v>
      </c>
      <c r="CW6" s="83">
        <f>'[26]RD ESFERA'!E6</f>
        <v>0</v>
      </c>
    </row>
    <row r="7" spans="1:102" x14ac:dyDescent="0.25">
      <c r="A7" s="68" t="s">
        <v>36</v>
      </c>
      <c r="B7" s="95">
        <f>'[2]RD ESFERA'!B7</f>
        <v>367.44514574477847</v>
      </c>
      <c r="C7" s="96">
        <f>'[2]RD ESFERA'!C7</f>
        <v>30.559889269813517</v>
      </c>
      <c r="D7" s="96">
        <f>'[2]RD ESFERA'!D7</f>
        <v>100</v>
      </c>
      <c r="E7" s="96">
        <f>'[2]RD ESFERA'!E7</f>
        <v>2118.4701625507482</v>
      </c>
      <c r="F7" s="95">
        <f>'[3]RD ESFERA'!B7</f>
        <v>421.64663452730179</v>
      </c>
      <c r="G7" s="96">
        <f>'[3]RD ESFERA'!C7</f>
        <v>32.045983828851249</v>
      </c>
      <c r="H7" s="96">
        <f>'[3]RD ESFERA'!D7</f>
        <v>99.999999999999986</v>
      </c>
      <c r="I7" s="96">
        <f>'[3]RD ESFERA'!E7</f>
        <v>2430.9637090877868</v>
      </c>
      <c r="J7" s="95">
        <f>'[4]RD ESFERA'!B7</f>
        <v>495.42481028470365</v>
      </c>
      <c r="K7" s="96">
        <f>'[4]RD ESFERA'!C7</f>
        <v>33.277077935574638</v>
      </c>
      <c r="L7" s="96">
        <f>'[4]RD ESFERA'!D7</f>
        <v>100.00000000000001</v>
      </c>
      <c r="M7" s="96">
        <f>'[4]RD ESFERA'!E7</f>
        <v>2778.97448100681</v>
      </c>
      <c r="N7" s="95">
        <f>'[5]RD ESFERA'!B7</f>
        <v>560.01486740093776</v>
      </c>
      <c r="O7" s="96">
        <f>'[5]RD ESFERA'!C7</f>
        <v>32.597856014490389</v>
      </c>
      <c r="P7" s="96">
        <f>'[5]RD ESFERA'!D7</f>
        <v>100</v>
      </c>
      <c r="Q7" s="96">
        <f>'[5]RD ESFERA'!E7</f>
        <v>3100.5294711174065</v>
      </c>
      <c r="R7" s="95">
        <f>'[6]RD ESFERA'!B7</f>
        <v>658.25295701947596</v>
      </c>
      <c r="S7" s="96">
        <f>'[6]RD ESFERA'!C7</f>
        <v>33.622915121457012</v>
      </c>
      <c r="T7" s="96">
        <f>'[6]RD ESFERA'!D7</f>
        <v>99.999999999999986</v>
      </c>
      <c r="U7" s="96">
        <f>'[6]RD ESFERA'!E7</f>
        <v>3598.7513294858072</v>
      </c>
      <c r="V7" s="95">
        <f>'[7]RD ESFERA'!B7</f>
        <v>754.18429112437559</v>
      </c>
      <c r="W7" s="96">
        <f>'[7]RD ESFERA'!C7</f>
        <v>34.745669537215804</v>
      </c>
      <c r="X7" s="96">
        <f>'[7]RD ESFERA'!D7</f>
        <v>100.00000000000001</v>
      </c>
      <c r="Y7" s="96">
        <f>'[7]RD ESFERA'!E7</f>
        <v>4073.3513799792781</v>
      </c>
      <c r="Z7" s="95">
        <f>'[8]RD ESFERA'!B7</f>
        <v>829.53576664493539</v>
      </c>
      <c r="AA7" s="96">
        <f>'[8]RD ESFERA'!C7</f>
        <v>34.428428340282451</v>
      </c>
      <c r="AB7" s="96">
        <f>'[8]RD ESFERA'!D7</f>
        <v>99.999999999999986</v>
      </c>
      <c r="AC7" s="96">
        <f>'[8]RD ESFERA'!E7</f>
        <v>4428.084234112127</v>
      </c>
      <c r="AD7" s="95">
        <f>'[9]RD ESFERA'!B7</f>
        <v>940.81947852322855</v>
      </c>
      <c r="AE7" s="96">
        <f>'[9]RD ESFERA'!C7</f>
        <v>34.585607293237032</v>
      </c>
      <c r="AF7" s="96">
        <f>'[9]RD ESFERA'!D7</f>
        <v>100.00000000000003</v>
      </c>
      <c r="AG7" s="96">
        <f>'[9]RD ESFERA'!E7</f>
        <v>4965.7225691837348</v>
      </c>
      <c r="AH7" s="95">
        <f>'[10]RD ESFERA'!B7</f>
        <v>1080.8858871867769</v>
      </c>
      <c r="AI7" s="96">
        <f>'[10]RD ESFERA'!C7</f>
        <v>34.757374894383247</v>
      </c>
      <c r="AJ7" s="96">
        <f>'[10]RD ESFERA'!D7</f>
        <v>100.00000000000001</v>
      </c>
      <c r="AK7" s="96">
        <f>'[10]RD ESFERA'!E7</f>
        <v>5643.3567746024319</v>
      </c>
      <c r="AL7" s="95">
        <f>'[11]RD ESFERA'!B7</f>
        <v>1105.3740756788609</v>
      </c>
      <c r="AM7" s="96">
        <f>'[11]RD ESFERA'!C7</f>
        <v>33.164150664869531</v>
      </c>
      <c r="AN7" s="96">
        <f>'[11]RD ESFERA'!D7</f>
        <v>100</v>
      </c>
      <c r="AO7" s="96">
        <f>'[11]RD ESFERA'!E7</f>
        <v>5711.229760297314</v>
      </c>
      <c r="AP7" s="95">
        <f>'[12]RD ESFERA'!B7</f>
        <v>1291.3620855079682</v>
      </c>
      <c r="AQ7" s="96">
        <f>'[12]RD ESFERA'!C7</f>
        <v>33.232448048211069</v>
      </c>
      <c r="AR7" s="96">
        <f>'[12]RD ESFERA'!D7</f>
        <v>99.999999999999986</v>
      </c>
      <c r="AS7" s="96">
        <f>'[12]RD ESFERA'!E7</f>
        <v>6605.5070968803211</v>
      </c>
      <c r="AT7" s="95">
        <f>'[13]RD ESFERA'!B7</f>
        <v>1491.6039399458755</v>
      </c>
      <c r="AU7" s="96">
        <f>'[13]RD ESFERA'!C7</f>
        <v>34.08303799681736</v>
      </c>
      <c r="AV7" s="96">
        <f>'[13]RD ESFERA'!D7</f>
        <v>100.00000000000001</v>
      </c>
      <c r="AW7" s="96">
        <f>'[13]RD ESFERA'!E7</f>
        <v>7556.3651115837802</v>
      </c>
      <c r="AX7" s="95">
        <f>'[14]RD ESFERA'!B7</f>
        <v>1638.1111399890101</v>
      </c>
      <c r="AY7" s="96">
        <f>'[14]RD ESFERA'!C7</f>
        <v>34.022695627383506</v>
      </c>
      <c r="AZ7" s="96">
        <f>'[14]RD ESFERA'!D7</f>
        <v>99.999999999999986</v>
      </c>
      <c r="BA7" s="96">
        <f>'[14]RD ESFERA'!E7</f>
        <v>8221.6969392247829</v>
      </c>
      <c r="BB7" s="95">
        <f>'[15]RD ESFERA'!B7</f>
        <v>1792.2460733358776</v>
      </c>
      <c r="BC7" s="96">
        <f>'[15]RD ESFERA'!C7</f>
        <v>33.615419131334733</v>
      </c>
      <c r="BD7" s="96">
        <f>'[15]RD ESFERA'!D7</f>
        <v>100</v>
      </c>
      <c r="BE7" s="97">
        <f>'[15]RD ESFERA'!E7</f>
        <v>8915.1961274117675</v>
      </c>
      <c r="BF7" s="95">
        <f>'[16]RD ESFERA'!B7</f>
        <v>1899.7812754348608</v>
      </c>
      <c r="BG7" s="96">
        <f>'[16]RD ESFERA'!C7</f>
        <v>32.874143040008477</v>
      </c>
      <c r="BH7" s="96">
        <f>'[16]RD ESFERA'!D7</f>
        <v>99.999999999999986</v>
      </c>
      <c r="BI7" s="97">
        <f>'[16]RD ESFERA'!E7</f>
        <v>9369.2101807915406</v>
      </c>
      <c r="BJ7" s="95">
        <f>'[17]RD ESFERA'!B7</f>
        <v>1969.0309956733586</v>
      </c>
      <c r="BK7" s="96">
        <f>'[17]RD ESFERA'!C7</f>
        <v>32.840242584891001</v>
      </c>
      <c r="BL7" s="96">
        <f>'[17]RD ESFERA'!D7</f>
        <v>99.999999999999986</v>
      </c>
      <c r="BM7" s="97">
        <f>'[17]RD ESFERA'!E7</f>
        <v>9630.8375899230268</v>
      </c>
      <c r="BN7" s="95">
        <f>'[18]RD ESFERA'!B7</f>
        <v>2086.156491382068</v>
      </c>
      <c r="BO7" s="96">
        <f>'[18]RD ESFERA'!C7</f>
        <v>33.286871761527948</v>
      </c>
      <c r="BP7" s="96">
        <f>'[18]RD ESFERA'!D7</f>
        <v>100.00000000000001</v>
      </c>
      <c r="BQ7" s="97">
        <f>'[18]RD ESFERA'!E7</f>
        <v>10122.97163861938</v>
      </c>
      <c r="BR7" s="95">
        <f>'[19]RD ESFERA'!B7</f>
        <v>2203.4044596355438</v>
      </c>
      <c r="BS7" s="96">
        <f>'[19]RD ESFERA'!C7</f>
        <v>33.620038864061399</v>
      </c>
      <c r="BT7" s="96">
        <f>'[19]RD ESFERA'!D7</f>
        <v>99.999999999999986</v>
      </c>
      <c r="BU7" s="97">
        <f>'[19]RD ESFERA'!E7</f>
        <v>10610.587510352243</v>
      </c>
      <c r="BV7" s="95">
        <f>'[20]RD ESFERA'!B7</f>
        <v>2372.799531465751</v>
      </c>
      <c r="BW7" s="96">
        <f>'[20]RD ESFERA'!C7</f>
        <v>34.442428194944114</v>
      </c>
      <c r="BX7" s="96">
        <f>'[20]RD ESFERA'!D7</f>
        <v>100</v>
      </c>
      <c r="BY7" s="97">
        <f>'[20]RD ESFERA'!E7</f>
        <v>11380.61185892677</v>
      </c>
      <c r="BZ7" s="95">
        <f>'[21]RD ESFERA'!B7</f>
        <v>2496.9242893211767</v>
      </c>
      <c r="CA7" s="96">
        <f>'[21]RD ESFERA'!C7</f>
        <v>33.791853051748255</v>
      </c>
      <c r="CB7" s="96">
        <f>'[21]RD ESFERA'!D7</f>
        <v>100.00000000000001</v>
      </c>
      <c r="CC7" s="97">
        <f>'[21]RD ESFERA'!E7</f>
        <v>11881.791337003429</v>
      </c>
      <c r="CD7" s="95">
        <f>'[22]RD ESFERA'!B7</f>
        <v>2451.5573404858737</v>
      </c>
      <c r="CE7" s="96">
        <f>'[22]RD ESFERA'!C7</f>
        <v>32.216651426953014</v>
      </c>
      <c r="CF7" s="96">
        <f>'[22]RD ESFERA'!D7</f>
        <v>99.999999999999986</v>
      </c>
      <c r="CG7" s="97">
        <f>'[22]RD ESFERA'!E7</f>
        <v>11577.291346132379</v>
      </c>
      <c r="CH7" s="95">
        <f>'[23]RD ESFERA'!B7</f>
        <v>3060.9656125131296</v>
      </c>
      <c r="CI7" s="96">
        <f>'[23]RD ESFERA'!C7</f>
        <v>34.397792094454971</v>
      </c>
      <c r="CJ7" s="96">
        <f>'[23]RD ESFERA'!D7</f>
        <v>99.999999999999986</v>
      </c>
      <c r="CK7" s="97">
        <f>'[23]RD ESFERA'!E7</f>
        <v>14349.33194864926</v>
      </c>
      <c r="CL7" s="95">
        <f>'[24]RD ESFERA'!B7</f>
        <v>3518.4966363961894</v>
      </c>
      <c r="CM7" s="96">
        <f>'[24]RD ESFERA'!C7</f>
        <v>34.906842604823701</v>
      </c>
      <c r="CN7" s="96">
        <f>'[24]RD ESFERA'!D7</f>
        <v>100</v>
      </c>
      <c r="CO7" s="97">
        <f>'[24]RD ESFERA'!E7</f>
        <v>17325.603398857693</v>
      </c>
      <c r="CP7" s="95">
        <f>'[25]RD ESFERA'!B7</f>
        <v>3783.9875168681046</v>
      </c>
      <c r="CQ7" s="99">
        <f>'[25]RD ESFERA'!C7</f>
        <v>34.577981984922566</v>
      </c>
      <c r="CR7" s="96">
        <f>'[25]RD ESFERA'!D7</f>
        <v>100.00000000000001</v>
      </c>
      <c r="CS7" s="97">
        <f>'[25]RD ESFERA'!E7</f>
        <v>18206.931129539862</v>
      </c>
      <c r="CT7" s="95">
        <f>'[26]RD ESFERA'!B7</f>
        <v>4222.221989923607</v>
      </c>
      <c r="CU7" s="99">
        <f>'[26]RD ESFERA'!C7</f>
        <v>35.949992374639564</v>
      </c>
      <c r="CV7" s="96">
        <f>'[26]RD ESFERA'!D7</f>
        <v>99.999999999999986</v>
      </c>
      <c r="CW7" s="97">
        <f>'[26]RD ESFERA'!E7</f>
        <v>19861.452203771958</v>
      </c>
    </row>
    <row r="8" spans="1:102" x14ac:dyDescent="0.25">
      <c r="A8" s="64"/>
      <c r="B8" s="64">
        <f>'[2]RD ESFERA'!B8</f>
        <v>0</v>
      </c>
      <c r="C8" s="82">
        <f>'[2]RD ESFERA'!C8</f>
        <v>0</v>
      </c>
      <c r="D8" s="82">
        <f>'[2]RD ESFERA'!D8</f>
        <v>0</v>
      </c>
      <c r="E8" s="82">
        <f>'[2]RD ESFERA'!E8</f>
        <v>0</v>
      </c>
      <c r="F8" s="64">
        <f>'[3]RD ESFERA'!B8</f>
        <v>0</v>
      </c>
      <c r="G8" s="82">
        <f>'[3]RD ESFERA'!C8</f>
        <v>0</v>
      </c>
      <c r="H8" s="82">
        <f>'[3]RD ESFERA'!D8</f>
        <v>0</v>
      </c>
      <c r="I8" s="82">
        <f>'[3]RD ESFERA'!E8</f>
        <v>0</v>
      </c>
      <c r="J8" s="64">
        <f>'[4]RD ESFERA'!B8</f>
        <v>0</v>
      </c>
      <c r="K8" s="82">
        <f>'[4]RD ESFERA'!C8</f>
        <v>0</v>
      </c>
      <c r="L8" s="82">
        <f>'[4]RD ESFERA'!D8</f>
        <v>0</v>
      </c>
      <c r="M8" s="82">
        <f>'[4]RD ESFERA'!E8</f>
        <v>0</v>
      </c>
      <c r="N8" s="64">
        <f>'[5]RD ESFERA'!B8</f>
        <v>0</v>
      </c>
      <c r="O8" s="82">
        <f>'[5]RD ESFERA'!C8</f>
        <v>0</v>
      </c>
      <c r="P8" s="82">
        <f>'[5]RD ESFERA'!D8</f>
        <v>0</v>
      </c>
      <c r="Q8" s="82">
        <f>'[5]RD ESFERA'!E8</f>
        <v>0</v>
      </c>
      <c r="R8" s="64">
        <f>'[6]RD ESFERA'!B8</f>
        <v>0</v>
      </c>
      <c r="S8" s="82">
        <f>'[6]RD ESFERA'!C8</f>
        <v>0</v>
      </c>
      <c r="T8" s="82">
        <f>'[6]RD ESFERA'!D8</f>
        <v>0</v>
      </c>
      <c r="U8" s="82">
        <f>'[6]RD ESFERA'!E8</f>
        <v>0</v>
      </c>
      <c r="V8" s="64">
        <f>'[7]RD ESFERA'!B8</f>
        <v>0</v>
      </c>
      <c r="W8" s="82">
        <f>'[7]RD ESFERA'!C8</f>
        <v>0</v>
      </c>
      <c r="X8" s="82">
        <f>'[7]RD ESFERA'!D8</f>
        <v>0</v>
      </c>
      <c r="Y8" s="82">
        <f>'[7]RD ESFERA'!E8</f>
        <v>0</v>
      </c>
      <c r="Z8" s="64">
        <f>'[8]RD ESFERA'!B8</f>
        <v>0</v>
      </c>
      <c r="AA8" s="82">
        <f>'[8]RD ESFERA'!C8</f>
        <v>0</v>
      </c>
      <c r="AB8" s="82">
        <f>'[8]RD ESFERA'!D8</f>
        <v>0</v>
      </c>
      <c r="AC8" s="82">
        <f>'[8]RD ESFERA'!E8</f>
        <v>0</v>
      </c>
      <c r="AD8" s="64">
        <f>'[9]RD ESFERA'!B8</f>
        <v>0</v>
      </c>
      <c r="AE8" s="82">
        <f>'[9]RD ESFERA'!C8</f>
        <v>0</v>
      </c>
      <c r="AF8" s="82">
        <f>'[9]RD ESFERA'!D8</f>
        <v>0</v>
      </c>
      <c r="AG8" s="82">
        <f>'[9]RD ESFERA'!E8</f>
        <v>0</v>
      </c>
      <c r="AH8" s="64">
        <f>'[10]RD ESFERA'!B8</f>
        <v>0</v>
      </c>
      <c r="AI8" s="82">
        <f>'[10]RD ESFERA'!C8</f>
        <v>0</v>
      </c>
      <c r="AJ8" s="82">
        <f>'[10]RD ESFERA'!D8</f>
        <v>0</v>
      </c>
      <c r="AK8" s="82">
        <f>'[10]RD ESFERA'!E8</f>
        <v>0</v>
      </c>
      <c r="AL8" s="64">
        <f>'[11]RD ESFERA'!B8</f>
        <v>0</v>
      </c>
      <c r="AM8" s="82">
        <f>'[11]RD ESFERA'!C8</f>
        <v>0</v>
      </c>
      <c r="AN8" s="82">
        <f>'[11]RD ESFERA'!D8</f>
        <v>0</v>
      </c>
      <c r="AO8" s="82">
        <f>'[11]RD ESFERA'!E8</f>
        <v>0</v>
      </c>
      <c r="AP8" s="64">
        <f>'[12]RD ESFERA'!B8</f>
        <v>0</v>
      </c>
      <c r="AQ8" s="82">
        <f>'[12]RD ESFERA'!C8</f>
        <v>0</v>
      </c>
      <c r="AR8" s="82">
        <f>'[12]RD ESFERA'!D8</f>
        <v>0</v>
      </c>
      <c r="AS8" s="82">
        <f>'[12]RD ESFERA'!E8</f>
        <v>0</v>
      </c>
      <c r="AT8" s="64">
        <f>'[13]RD ESFERA'!B8</f>
        <v>0</v>
      </c>
      <c r="AU8" s="82">
        <f>'[13]RD ESFERA'!C8</f>
        <v>0</v>
      </c>
      <c r="AV8" s="82">
        <f>'[13]RD ESFERA'!D8</f>
        <v>0</v>
      </c>
      <c r="AW8" s="82">
        <f>'[13]RD ESFERA'!E8</f>
        <v>0</v>
      </c>
      <c r="AX8" s="64">
        <f>'[14]RD ESFERA'!B8</f>
        <v>0</v>
      </c>
      <c r="AY8" s="82">
        <f>'[14]RD ESFERA'!C8</f>
        <v>0</v>
      </c>
      <c r="AZ8" s="82">
        <f>'[14]RD ESFERA'!D8</f>
        <v>0</v>
      </c>
      <c r="BA8" s="82">
        <f>'[14]RD ESFERA'!E8</f>
        <v>0</v>
      </c>
      <c r="BB8" s="64">
        <f>'[15]RD ESFERA'!B8</f>
        <v>0</v>
      </c>
      <c r="BC8" s="82">
        <f>'[15]RD ESFERA'!C8</f>
        <v>0</v>
      </c>
      <c r="BD8" s="82">
        <f>'[15]RD ESFERA'!D8</f>
        <v>0</v>
      </c>
      <c r="BE8" s="83">
        <f>'[15]RD ESFERA'!E8</f>
        <v>0</v>
      </c>
      <c r="BF8" s="64">
        <f>'[16]RD ESFERA'!B8</f>
        <v>0</v>
      </c>
      <c r="BG8" s="82">
        <f>'[16]RD ESFERA'!C8</f>
        <v>0</v>
      </c>
      <c r="BH8" s="82">
        <f>'[16]RD ESFERA'!D8</f>
        <v>0</v>
      </c>
      <c r="BI8" s="83">
        <f>'[16]RD ESFERA'!E8</f>
        <v>0</v>
      </c>
      <c r="BJ8" s="64">
        <f>'[17]RD ESFERA'!B8</f>
        <v>0</v>
      </c>
      <c r="BK8" s="82">
        <f>'[17]RD ESFERA'!C8</f>
        <v>0</v>
      </c>
      <c r="BL8" s="82">
        <f>'[17]RD ESFERA'!D8</f>
        <v>0</v>
      </c>
      <c r="BM8" s="83">
        <f>'[17]RD ESFERA'!E8</f>
        <v>0</v>
      </c>
      <c r="BN8" s="64">
        <f>'[18]RD ESFERA'!B8</f>
        <v>0</v>
      </c>
      <c r="BO8" s="82">
        <f>'[18]RD ESFERA'!C8</f>
        <v>0</v>
      </c>
      <c r="BP8" s="82">
        <f>'[18]RD ESFERA'!D8</f>
        <v>0</v>
      </c>
      <c r="BQ8" s="83">
        <f>'[18]RD ESFERA'!E8</f>
        <v>0</v>
      </c>
      <c r="BR8" s="64">
        <f>'[19]RD ESFERA'!B8</f>
        <v>0</v>
      </c>
      <c r="BS8" s="82">
        <f>'[19]RD ESFERA'!C8</f>
        <v>0</v>
      </c>
      <c r="BT8" s="82">
        <f>'[19]RD ESFERA'!D8</f>
        <v>0</v>
      </c>
      <c r="BU8" s="83">
        <f>'[19]RD ESFERA'!E8</f>
        <v>0</v>
      </c>
      <c r="BV8" s="64">
        <f>'[20]RD ESFERA'!B8</f>
        <v>0</v>
      </c>
      <c r="BW8" s="82">
        <f>'[20]RD ESFERA'!C8</f>
        <v>0</v>
      </c>
      <c r="BX8" s="82">
        <f>'[20]RD ESFERA'!D8</f>
        <v>0</v>
      </c>
      <c r="BY8" s="83">
        <f>'[20]RD ESFERA'!E8</f>
        <v>0</v>
      </c>
      <c r="BZ8" s="64">
        <f>'[21]RD ESFERA'!B8</f>
        <v>0</v>
      </c>
      <c r="CA8" s="82">
        <f>'[21]RD ESFERA'!C8</f>
        <v>0</v>
      </c>
      <c r="CB8" s="82">
        <f>'[21]RD ESFERA'!D8</f>
        <v>0</v>
      </c>
      <c r="CC8" s="83">
        <f>'[21]RD ESFERA'!E8</f>
        <v>0</v>
      </c>
      <c r="CD8" s="64">
        <f>'[22]RD ESFERA'!B8</f>
        <v>0</v>
      </c>
      <c r="CE8" s="82">
        <f>'[22]RD ESFERA'!C8</f>
        <v>0</v>
      </c>
      <c r="CF8" s="82">
        <f>'[22]RD ESFERA'!D8</f>
        <v>0</v>
      </c>
      <c r="CG8" s="83">
        <f>'[22]RD ESFERA'!E8</f>
        <v>0</v>
      </c>
      <c r="CH8" s="64"/>
      <c r="CI8" s="82"/>
      <c r="CJ8" s="82"/>
      <c r="CK8" s="83"/>
      <c r="CL8" s="64">
        <f>'[24]RD ESFERA'!B8</f>
        <v>0</v>
      </c>
      <c r="CM8" s="82">
        <f>'[24]RD ESFERA'!C8</f>
        <v>0</v>
      </c>
      <c r="CN8" s="82">
        <f>'[24]RD ESFERA'!D8</f>
        <v>0</v>
      </c>
      <c r="CO8" s="83">
        <f>'[24]RD ESFERA'!E8</f>
        <v>0</v>
      </c>
      <c r="CP8" s="64">
        <f>'[25]RD ESFERA'!B8</f>
        <v>0</v>
      </c>
      <c r="CQ8" s="82">
        <f>'[25]RD ESFERA'!C8</f>
        <v>0</v>
      </c>
      <c r="CR8" s="82">
        <f>'[25]RD ESFERA'!D8</f>
        <v>0</v>
      </c>
      <c r="CS8" s="83">
        <f>'[25]RD ESFERA'!E8</f>
        <v>0</v>
      </c>
      <c r="CT8" s="64">
        <f>'[26]RD ESFERA'!B8</f>
        <v>0</v>
      </c>
      <c r="CU8" s="82">
        <f>'[26]RD ESFERA'!C8</f>
        <v>0</v>
      </c>
      <c r="CV8" s="82">
        <f>'[26]RD ESFERA'!D8</f>
        <v>0</v>
      </c>
      <c r="CW8" s="83">
        <f>'[26]RD ESFERA'!E8</f>
        <v>0</v>
      </c>
    </row>
    <row r="9" spans="1:102" x14ac:dyDescent="0.25">
      <c r="A9" s="98" t="s">
        <v>50</v>
      </c>
      <c r="B9" s="95">
        <f>'[2]RD ESFERA'!B9</f>
        <v>205.26046910124597</v>
      </c>
      <c r="C9" s="99">
        <f>'[2]RD ESFERA'!C9</f>
        <v>17.071220779062894</v>
      </c>
      <c r="D9" s="96">
        <f>'[2]RD ESFERA'!D9</f>
        <v>55.861526945797948</v>
      </c>
      <c r="E9" s="96">
        <f>'[2]RD ESFERA'!E9</f>
        <v>1183.409780691976</v>
      </c>
      <c r="F9" s="95">
        <f>'[3]RD ESFERA'!B9</f>
        <v>236.20782006244957</v>
      </c>
      <c r="G9" s="99">
        <f>'[3]RD ESFERA'!C9</f>
        <v>17.952264674080627</v>
      </c>
      <c r="H9" s="96">
        <f>'[3]RD ESFERA'!D9</f>
        <v>56.020326197375361</v>
      </c>
      <c r="I9" s="96">
        <f>'[3]RD ESFERA'!E9</f>
        <v>1361.8337995707932</v>
      </c>
      <c r="J9" s="95">
        <f>'[4]RD ESFERA'!B9</f>
        <v>281.32157060287335</v>
      </c>
      <c r="K9" s="99">
        <f>'[4]RD ESFERA'!C9</f>
        <v>18.896025462532474</v>
      </c>
      <c r="L9" s="96">
        <f>'[4]RD ESFERA'!D9</f>
        <v>56.783908428245155</v>
      </c>
      <c r="M9" s="96">
        <f>'[4]RD ESFERA'!E9</f>
        <v>1578.0103245392079</v>
      </c>
      <c r="N9" s="95">
        <f>'[5]RD ESFERA'!B9</f>
        <v>317.23556429657572</v>
      </c>
      <c r="O9" s="99">
        <f>'[5]RD ESFERA'!C9</f>
        <v>18.465936977011886</v>
      </c>
      <c r="P9" s="96">
        <f>'[5]RD ESFERA'!D9</f>
        <v>56.647703974161409</v>
      </c>
      <c r="Q9" s="96">
        <f>'[5]RD ESFERA'!E9</f>
        <v>1756.3787564302208</v>
      </c>
      <c r="R9" s="95">
        <f>'[6]RD ESFERA'!B9</f>
        <v>375.93201819816102</v>
      </c>
      <c r="S9" s="99">
        <f>'[6]RD ESFERA'!C9</f>
        <v>19.202238599196782</v>
      </c>
      <c r="T9" s="96">
        <f>'[6]RD ESFERA'!D9</f>
        <v>57.110570364978727</v>
      </c>
      <c r="U9" s="96">
        <f>'[6]RD ESFERA'!E9</f>
        <v>2055.2674102865994</v>
      </c>
      <c r="V9" s="95">
        <f>'[7]RD ESFERA'!B9</f>
        <v>432.25409783106579</v>
      </c>
      <c r="W9" s="99">
        <f>'[7]RD ESFERA'!C9</f>
        <v>19.914175110906314</v>
      </c>
      <c r="X9" s="96">
        <f>'[7]RD ESFERA'!D9</f>
        <v>57.314121086590099</v>
      </c>
      <c r="Y9" s="96">
        <f>'[7]RD ESFERA'!E9</f>
        <v>2334.605542203612</v>
      </c>
      <c r="Z9" s="95">
        <f>'[8]RD ESFERA'!B9</f>
        <v>472.06212234192924</v>
      </c>
      <c r="AA9" s="99">
        <f>'[8]RD ESFERA'!C9</f>
        <v>19.592111159888326</v>
      </c>
      <c r="AB9" s="96">
        <f>'[8]RD ESFERA'!D9</f>
        <v>56.906783447227184</v>
      </c>
      <c r="AC9" s="96">
        <f>'[8]RD ESFERA'!E9</f>
        <v>2519.8803059669967</v>
      </c>
      <c r="AD9" s="95">
        <f>'[9]RD ESFERA'!B9</f>
        <v>541.80206759234011</v>
      </c>
      <c r="AE9" s="99">
        <f>'[9]RD ESFERA'!C9</f>
        <v>19.917267837423815</v>
      </c>
      <c r="AF9" s="96">
        <f>'[9]RD ESFERA'!D9</f>
        <v>57.588313163199814</v>
      </c>
      <c r="AG9" s="96">
        <f>'[9]RD ESFERA'!E9</f>
        <v>2859.6758639572199</v>
      </c>
      <c r="AH9" s="95">
        <f>'[10]RD ESFERA'!B9</f>
        <v>610.29613449106648</v>
      </c>
      <c r="AI9" s="99">
        <f>'[10]RD ESFERA'!C9</f>
        <v>19.624913040828197</v>
      </c>
      <c r="AJ9" s="96">
        <f>'[10]RD ESFERA'!D9</f>
        <v>56.462587006245869</v>
      </c>
      <c r="AK9" s="96">
        <f>'[10]RD ESFERA'!E9</f>
        <v>3186.3852289327688</v>
      </c>
      <c r="AL9" s="95">
        <f>'[11]RD ESFERA'!B9</f>
        <v>618.83248407192991</v>
      </c>
      <c r="AM9" s="99">
        <f>'[11]RD ESFERA'!C9</f>
        <v>18.566613954170048</v>
      </c>
      <c r="AN9" s="96">
        <f>'[11]RD ESFERA'!D9</f>
        <v>55.9839874742744</v>
      </c>
      <c r="AO9" s="96">
        <f>'[11]RD ESFERA'!E9</f>
        <v>3197.3741536318807</v>
      </c>
      <c r="AP9" s="95">
        <f>'[12]RD ESFERA'!B9</f>
        <v>729.13971097942226</v>
      </c>
      <c r="AQ9" s="99">
        <f>'[12]RD ESFERA'!C9</f>
        <v>18.763984042074284</v>
      </c>
      <c r="AR9" s="96">
        <f>'[12]RD ESFERA'!D9</f>
        <v>56.462840218249788</v>
      </c>
      <c r="AS9" s="96">
        <f>'[12]RD ESFERA'!E9</f>
        <v>3729.6569177166853</v>
      </c>
      <c r="AT9" s="95">
        <f>'[13]RD ESFERA'!B9</f>
        <v>846.07621579573379</v>
      </c>
      <c r="AU9" s="99">
        <f>'[13]RD ESFERA'!C9</f>
        <v>19.332777984091283</v>
      </c>
      <c r="AV9" s="96">
        <f>'[13]RD ESFERA'!D9</f>
        <v>56.722578503408528</v>
      </c>
      <c r="AW9" s="96">
        <f>'[13]RD ESFERA'!E9</f>
        <v>4286.165132422283</v>
      </c>
      <c r="AX9" s="95">
        <f>'[14]RD ESFERA'!B9</f>
        <v>939.13956298361222</v>
      </c>
      <c r="AY9" s="99">
        <f>'[14]RD ESFERA'!C9</f>
        <v>19.505428369921081</v>
      </c>
      <c r="AZ9" s="96">
        <f>'[14]RD ESFERA'!D9</f>
        <v>57.33063771179242</v>
      </c>
      <c r="BA9" s="96">
        <f>'[14]RD ESFERA'!E9</f>
        <v>4713.5512859884866</v>
      </c>
      <c r="BB9" s="95">
        <f>'[15]RD ESFERA'!B9</f>
        <v>1020.0968538907605</v>
      </c>
      <c r="BC9" s="99">
        <f>'[15]RD ESFERA'!C9</f>
        <v>19.132966063230711</v>
      </c>
      <c r="BD9" s="96">
        <f>'[15]RD ESFERA'!D9</f>
        <v>56.917231906223201</v>
      </c>
      <c r="BE9" s="97">
        <f>'[15]RD ESFERA'!E9</f>
        <v>5074.2828547335857</v>
      </c>
      <c r="BF9" s="95">
        <f>'[16]RD ESFERA'!B9</f>
        <v>1057.9040754919856</v>
      </c>
      <c r="BG9" s="99">
        <f>'[16]RD ESFERA'!C9</f>
        <v>18.306154687397278</v>
      </c>
      <c r="BH9" s="96">
        <f>'[16]RD ESFERA'!D9</f>
        <v>55.685572290411734</v>
      </c>
      <c r="BI9" s="97">
        <f>'[16]RD ESFERA'!E9</f>
        <v>5217.29830826529</v>
      </c>
      <c r="BJ9" s="95">
        <f>'[17]RD ESFERA'!B9</f>
        <v>1085.892856208483</v>
      </c>
      <c r="BK9" s="99">
        <f>'[17]RD ESFERA'!C9</f>
        <v>18.11093116230585</v>
      </c>
      <c r="BL9" s="96">
        <f>'[17]RD ESFERA'!D9</f>
        <v>55.148591291582747</v>
      </c>
      <c r="BM9" s="97">
        <f>'[17]RD ESFERA'!E9</f>
        <v>5311.2712604227681</v>
      </c>
      <c r="BN9" s="95">
        <f>'[18]RD ESFERA'!B9</f>
        <v>1139.0405635949403</v>
      </c>
      <c r="BO9" s="99">
        <f>'[18]RD ESFERA'!C9</f>
        <v>18.174617929283311</v>
      </c>
      <c r="BP9" s="96">
        <f>'[18]RD ESFERA'!D9</f>
        <v>54.599957783623978</v>
      </c>
      <c r="BQ9" s="97">
        <f>'[18]RD ESFERA'!E9</f>
        <v>5527.1382411344084</v>
      </c>
      <c r="BR9" s="95">
        <f>'[19]RD ESFERA'!B9</f>
        <v>1204.5048407596769</v>
      </c>
      <c r="BS9" s="99">
        <f>'[19]RD ESFERA'!C9</f>
        <v>18.378604700195904</v>
      </c>
      <c r="BT9" s="99">
        <f>'[19]RD ESFERA'!D9</f>
        <v>54.665625981301183</v>
      </c>
      <c r="BU9" s="97">
        <f>'[19]RD ESFERA'!E9</f>
        <v>5800.3440828278153</v>
      </c>
      <c r="BV9" s="95">
        <f>'[20]RD ESFERA'!B9</f>
        <v>1289.2356214043475</v>
      </c>
      <c r="BW9" s="99">
        <f>'[20]RD ESFERA'!C9</f>
        <v>18.713930413309477</v>
      </c>
      <c r="BX9" s="99">
        <f>'[20]RD ESFERA'!D9</f>
        <v>54.333946222922044</v>
      </c>
      <c r="BY9" s="97">
        <f>'[20]RD ESFERA'!E9</f>
        <v>6183.5355272687602</v>
      </c>
      <c r="BZ9" s="95">
        <f>'[21]RD ESFERA'!B9</f>
        <v>1332.5587995096546</v>
      </c>
      <c r="CA9" s="99">
        <f>'[21]RD ESFERA'!C9</f>
        <v>18.034039449424494</v>
      </c>
      <c r="CB9" s="99">
        <f>'[21]RD ESFERA'!D9</f>
        <v>53.3680098034502</v>
      </c>
      <c r="CC9" s="97">
        <f>'[21]RD ESFERA'!E9</f>
        <v>6341.0755655574849</v>
      </c>
      <c r="CD9" s="95">
        <f>'[22]RD ESFERA'!B9</f>
        <v>1208.8438179882023</v>
      </c>
      <c r="CE9" s="99">
        <f>'[22]RD ESFERA'!C9</f>
        <v>15.885779732989832</v>
      </c>
      <c r="CF9" s="99">
        <f>'[22]RD ESFERA'!D9</f>
        <v>49.309220633959214</v>
      </c>
      <c r="CG9" s="97">
        <f>'[22]RD ESFERA'!E9</f>
        <v>5708.6721333006835</v>
      </c>
      <c r="CH9" s="95">
        <f>'[23]RD ESFERA'!B9</f>
        <v>1598.365693922535</v>
      </c>
      <c r="CI9" s="99">
        <f>'[23]RD ESFERA'!C9</f>
        <v>17.961734233700337</v>
      </c>
      <c r="CJ9" s="99">
        <f>'[23]RD ESFERA'!D9</f>
        <v>52.217695206652003</v>
      </c>
      <c r="CK9" s="97">
        <f>'[23]RD ESFERA'!E9</f>
        <v>7492.8904211364115</v>
      </c>
      <c r="CL9" s="95">
        <f>'[24]RD ESFERA'!B9</f>
        <v>1826.6767848348697</v>
      </c>
      <c r="CM9" s="99">
        <f>'[24]RD ESFERA'!C9</f>
        <v>18.12237600528896</v>
      </c>
      <c r="CN9" s="99">
        <f>'[24]RD ESFERA'!D9</f>
        <v>51.91639991748972</v>
      </c>
      <c r="CO9" s="97">
        <f>'[24]RD ESFERA'!E9</f>
        <v>8994.8295486691495</v>
      </c>
      <c r="CP9" s="95">
        <f>'[25]RD ESFERA'!B9</f>
        <v>1969.6921090685698</v>
      </c>
      <c r="CQ9" s="99">
        <f>'[25]RD ESFERA'!C9</f>
        <v>17.998996550492883</v>
      </c>
      <c r="CR9" s="99">
        <f>'[25]RD ESFERA'!D9</f>
        <v>52.053345849798852</v>
      </c>
      <c r="CS9" s="97">
        <f>'[25]RD ESFERA'!E9</f>
        <v>9477.3168294940715</v>
      </c>
      <c r="CT9" s="95">
        <f>'[26]RD ESFERA'!B9</f>
        <v>2176.5729523842338</v>
      </c>
      <c r="CU9" s="99">
        <f>'[26]RD ESFERA'!C9</f>
        <v>18.532370213550916</v>
      </c>
      <c r="CV9" s="99">
        <f>'[26]RD ESFERA'!D9</f>
        <v>51.55041486635843</v>
      </c>
      <c r="CW9" s="97">
        <f>'[26]RD ESFERA'!E9</f>
        <v>10238.661009527932</v>
      </c>
    </row>
    <row r="10" spans="1:102" x14ac:dyDescent="0.25">
      <c r="A10" s="64"/>
      <c r="B10" s="64">
        <f>'[2]RD ESFERA'!B10</f>
        <v>0</v>
      </c>
      <c r="C10" s="82">
        <f>'[2]RD ESFERA'!C10</f>
        <v>0</v>
      </c>
      <c r="D10" s="82">
        <f>'[2]RD ESFERA'!D10</f>
        <v>0</v>
      </c>
      <c r="E10" s="82">
        <f>'[2]RD ESFERA'!E10</f>
        <v>0</v>
      </c>
      <c r="F10" s="64">
        <f>'[3]RD ESFERA'!B10</f>
        <v>0</v>
      </c>
      <c r="G10" s="82">
        <f>'[3]RD ESFERA'!C10</f>
        <v>0</v>
      </c>
      <c r="H10" s="82">
        <f>'[3]RD ESFERA'!D10</f>
        <v>0</v>
      </c>
      <c r="I10" s="82">
        <f>'[3]RD ESFERA'!E10</f>
        <v>0</v>
      </c>
      <c r="J10" s="64">
        <f>'[4]RD ESFERA'!B10</f>
        <v>0</v>
      </c>
      <c r="K10" s="82">
        <f>'[4]RD ESFERA'!C10</f>
        <v>0</v>
      </c>
      <c r="L10" s="82">
        <f>'[4]RD ESFERA'!D10</f>
        <v>0</v>
      </c>
      <c r="M10" s="82">
        <f>'[4]RD ESFERA'!E10</f>
        <v>0</v>
      </c>
      <c r="N10" s="64">
        <f>'[5]RD ESFERA'!B10</f>
        <v>0</v>
      </c>
      <c r="O10" s="82">
        <f>'[5]RD ESFERA'!C10</f>
        <v>0</v>
      </c>
      <c r="P10" s="82">
        <f>'[5]RD ESFERA'!D10</f>
        <v>0</v>
      </c>
      <c r="Q10" s="82">
        <f>'[5]RD ESFERA'!E10</f>
        <v>0</v>
      </c>
      <c r="R10" s="64">
        <f>'[6]RD ESFERA'!B10</f>
        <v>0</v>
      </c>
      <c r="S10" s="82">
        <f>'[6]RD ESFERA'!C10</f>
        <v>0</v>
      </c>
      <c r="T10" s="82">
        <f>'[6]RD ESFERA'!D10</f>
        <v>0</v>
      </c>
      <c r="U10" s="82">
        <f>'[6]RD ESFERA'!E10</f>
        <v>0</v>
      </c>
      <c r="V10" s="64">
        <f>'[7]RD ESFERA'!B10</f>
        <v>0</v>
      </c>
      <c r="W10" s="82">
        <f>'[7]RD ESFERA'!C10</f>
        <v>0</v>
      </c>
      <c r="X10" s="82">
        <f>'[7]RD ESFERA'!D10</f>
        <v>0</v>
      </c>
      <c r="Y10" s="82">
        <f>'[7]RD ESFERA'!E10</f>
        <v>0</v>
      </c>
      <c r="Z10" s="64">
        <f>'[8]RD ESFERA'!B10</f>
        <v>0</v>
      </c>
      <c r="AA10" s="82">
        <f>'[8]RD ESFERA'!C10</f>
        <v>0</v>
      </c>
      <c r="AB10" s="82">
        <f>'[8]RD ESFERA'!D10</f>
        <v>0</v>
      </c>
      <c r="AC10" s="82">
        <f>'[8]RD ESFERA'!E10</f>
        <v>0</v>
      </c>
      <c r="AD10" s="64">
        <f>'[9]RD ESFERA'!B10</f>
        <v>0</v>
      </c>
      <c r="AE10" s="82">
        <f>'[9]RD ESFERA'!C10</f>
        <v>0</v>
      </c>
      <c r="AF10" s="82">
        <f>'[9]RD ESFERA'!D10</f>
        <v>0</v>
      </c>
      <c r="AG10" s="82">
        <f>'[9]RD ESFERA'!E10</f>
        <v>0</v>
      </c>
      <c r="AH10" s="64">
        <f>'[10]RD ESFERA'!B10</f>
        <v>0</v>
      </c>
      <c r="AI10" s="82">
        <f>'[10]RD ESFERA'!C10</f>
        <v>0</v>
      </c>
      <c r="AJ10" s="82">
        <f>'[10]RD ESFERA'!D10</f>
        <v>0</v>
      </c>
      <c r="AK10" s="82">
        <f>'[10]RD ESFERA'!E10</f>
        <v>0</v>
      </c>
      <c r="AL10" s="64">
        <f>'[11]RD ESFERA'!B10</f>
        <v>0</v>
      </c>
      <c r="AM10" s="82">
        <f>'[11]RD ESFERA'!C10</f>
        <v>0</v>
      </c>
      <c r="AN10" s="82">
        <f>'[11]RD ESFERA'!D10</f>
        <v>0</v>
      </c>
      <c r="AO10" s="82">
        <f>'[11]RD ESFERA'!E10</f>
        <v>0</v>
      </c>
      <c r="AP10" s="64">
        <f>'[12]RD ESFERA'!B10</f>
        <v>0</v>
      </c>
      <c r="AQ10" s="82">
        <f>'[12]RD ESFERA'!C10</f>
        <v>0</v>
      </c>
      <c r="AR10" s="82">
        <f>'[12]RD ESFERA'!D10</f>
        <v>0</v>
      </c>
      <c r="AS10" s="82">
        <f>'[12]RD ESFERA'!E10</f>
        <v>0</v>
      </c>
      <c r="AT10" s="64">
        <f>'[13]RD ESFERA'!B10</f>
        <v>0</v>
      </c>
      <c r="AU10" s="82">
        <f>'[13]RD ESFERA'!C10</f>
        <v>0</v>
      </c>
      <c r="AV10" s="82">
        <f>'[13]RD ESFERA'!D10</f>
        <v>0</v>
      </c>
      <c r="AW10" s="82">
        <f>'[13]RD ESFERA'!E10</f>
        <v>0</v>
      </c>
      <c r="AX10" s="64">
        <f>'[14]RD ESFERA'!B10</f>
        <v>0</v>
      </c>
      <c r="AY10" s="82">
        <f>'[14]RD ESFERA'!C10</f>
        <v>0</v>
      </c>
      <c r="AZ10" s="82">
        <f>'[14]RD ESFERA'!D10</f>
        <v>0</v>
      </c>
      <c r="BA10" s="82">
        <f>'[14]RD ESFERA'!E10</f>
        <v>0</v>
      </c>
      <c r="BB10" s="64">
        <f>'[15]RD ESFERA'!B10</f>
        <v>0</v>
      </c>
      <c r="BC10" s="82">
        <f>'[15]RD ESFERA'!C10</f>
        <v>0</v>
      </c>
      <c r="BD10" s="82">
        <f>'[15]RD ESFERA'!D10</f>
        <v>0</v>
      </c>
      <c r="BE10" s="83">
        <f>'[15]RD ESFERA'!E10</f>
        <v>0</v>
      </c>
      <c r="BF10" s="64">
        <f>'[16]RD ESFERA'!B10</f>
        <v>0</v>
      </c>
      <c r="BG10" s="82">
        <f>'[16]RD ESFERA'!C10</f>
        <v>0</v>
      </c>
      <c r="BH10" s="82">
        <f>'[16]RD ESFERA'!D10</f>
        <v>0</v>
      </c>
      <c r="BI10" s="83">
        <f>'[16]RD ESFERA'!E10</f>
        <v>0</v>
      </c>
      <c r="BJ10" s="64">
        <f>'[17]RD ESFERA'!B10</f>
        <v>0</v>
      </c>
      <c r="BK10" s="82">
        <f>'[17]RD ESFERA'!C10</f>
        <v>0</v>
      </c>
      <c r="BL10" s="82">
        <f>'[17]RD ESFERA'!D10</f>
        <v>0</v>
      </c>
      <c r="BM10" s="83">
        <f>'[17]RD ESFERA'!E10</f>
        <v>0</v>
      </c>
      <c r="BN10" s="64">
        <f>'[18]RD ESFERA'!B10</f>
        <v>0</v>
      </c>
      <c r="BO10" s="82">
        <f>'[18]RD ESFERA'!C10</f>
        <v>0</v>
      </c>
      <c r="BP10" s="82">
        <f>'[18]RD ESFERA'!D10</f>
        <v>0</v>
      </c>
      <c r="BQ10" s="83">
        <f>'[18]RD ESFERA'!E10</f>
        <v>0</v>
      </c>
      <c r="BR10" s="64">
        <f>'[19]RD ESFERA'!B10</f>
        <v>0</v>
      </c>
      <c r="BS10" s="82">
        <f>'[19]RD ESFERA'!C10</f>
        <v>0</v>
      </c>
      <c r="BT10" s="107">
        <f>'[19]RD ESFERA'!D10</f>
        <v>0</v>
      </c>
      <c r="BU10" s="83">
        <f>'[19]RD ESFERA'!E10</f>
        <v>0</v>
      </c>
      <c r="BV10" s="64">
        <f>'[20]RD ESFERA'!B10</f>
        <v>0</v>
      </c>
      <c r="BW10" s="82">
        <f>'[20]RD ESFERA'!C10</f>
        <v>0</v>
      </c>
      <c r="BX10" s="107">
        <f>'[20]RD ESFERA'!D10</f>
        <v>0</v>
      </c>
      <c r="BY10" s="83">
        <f>'[20]RD ESFERA'!E10</f>
        <v>0</v>
      </c>
      <c r="BZ10" s="64">
        <f>'[21]RD ESFERA'!B10</f>
        <v>0</v>
      </c>
      <c r="CA10" s="82">
        <f>'[21]RD ESFERA'!C10</f>
        <v>0</v>
      </c>
      <c r="CB10" s="107">
        <f>'[21]RD ESFERA'!D10</f>
        <v>0</v>
      </c>
      <c r="CC10" s="83">
        <f>'[21]RD ESFERA'!E10</f>
        <v>0</v>
      </c>
      <c r="CD10" s="64">
        <f>'[22]RD ESFERA'!B10</f>
        <v>0</v>
      </c>
      <c r="CE10" s="82">
        <f>'[22]RD ESFERA'!C10</f>
        <v>0</v>
      </c>
      <c r="CF10" s="107">
        <f>'[22]RD ESFERA'!D10</f>
        <v>0</v>
      </c>
      <c r="CG10" s="83">
        <f>'[22]RD ESFERA'!E10</f>
        <v>0</v>
      </c>
      <c r="CH10" s="64"/>
      <c r="CI10" s="82"/>
      <c r="CJ10" s="107"/>
      <c r="CK10" s="83"/>
      <c r="CL10" s="64">
        <f>'[24]RD ESFERA'!B10</f>
        <v>0</v>
      </c>
      <c r="CM10" s="82">
        <f>'[24]RD ESFERA'!C10</f>
        <v>0</v>
      </c>
      <c r="CN10" s="107">
        <f>'[24]RD ESFERA'!D10</f>
        <v>0</v>
      </c>
      <c r="CO10" s="83">
        <f>'[24]RD ESFERA'!E10</f>
        <v>0</v>
      </c>
      <c r="CP10" s="64">
        <f>'[25]RD ESFERA'!B10</f>
        <v>0</v>
      </c>
      <c r="CQ10" s="82">
        <f>'[25]RD ESFERA'!C10</f>
        <v>0</v>
      </c>
      <c r="CR10" s="107">
        <f>'[25]RD ESFERA'!D10</f>
        <v>0</v>
      </c>
      <c r="CS10" s="83">
        <f>'[25]RD ESFERA'!E10</f>
        <v>0</v>
      </c>
      <c r="CT10" s="64">
        <f>'[26]RD ESFERA'!B10</f>
        <v>0</v>
      </c>
      <c r="CU10" s="82">
        <f>'[26]RD ESFERA'!C10</f>
        <v>0</v>
      </c>
      <c r="CV10" s="107">
        <f>'[26]RD ESFERA'!D10</f>
        <v>0</v>
      </c>
      <c r="CW10" s="83">
        <f>'[26]RD ESFERA'!E10</f>
        <v>0</v>
      </c>
    </row>
    <row r="11" spans="1:102" x14ac:dyDescent="0.25">
      <c r="A11" s="98" t="s">
        <v>8</v>
      </c>
      <c r="B11" s="95">
        <f>'[2]RD ESFERA'!B11</f>
        <v>98.055303680009501</v>
      </c>
      <c r="C11" s="99">
        <f>'[2]RD ESFERA'!C11</f>
        <v>8.155119906959909</v>
      </c>
      <c r="D11" s="96">
        <f>'[2]RD ESFERA'!D11</f>
        <v>26.685698481948961</v>
      </c>
      <c r="E11" s="96">
        <f>'[2]RD ESFERA'!E11</f>
        <v>565.32856000834681</v>
      </c>
      <c r="F11" s="95">
        <f>'[3]RD ESFERA'!B11</f>
        <v>112.70897377444251</v>
      </c>
      <c r="G11" s="99">
        <f>'[3]RD ESFERA'!C11</f>
        <v>8.5661064388463277</v>
      </c>
      <c r="H11" s="96">
        <f>'[3]RD ESFERA'!D11</f>
        <v>26.730670790435195</v>
      </c>
      <c r="I11" s="96">
        <f>'[3]RD ESFERA'!E11</f>
        <v>649.81290611120903</v>
      </c>
      <c r="J11" s="95">
        <f>'[4]RD ESFERA'!B11</f>
        <v>128.66736778456027</v>
      </c>
      <c r="K11" s="99">
        <f>'[4]RD ESFERA'!C11</f>
        <v>8.6424295607471215</v>
      </c>
      <c r="L11" s="96">
        <f>'[4]RD ESFERA'!D11</f>
        <v>25.971119151384354</v>
      </c>
      <c r="M11" s="96">
        <f>'[4]RD ESFERA'!E11</f>
        <v>721.73077364884364</v>
      </c>
      <c r="N11" s="95">
        <f>'[5]RD ESFERA'!B11</f>
        <v>145.53835805792653</v>
      </c>
      <c r="O11" s="99">
        <f>'[5]RD ESFERA'!C11</f>
        <v>8.4716294454394205</v>
      </c>
      <c r="P11" s="96">
        <f>'[5]RD ESFERA'!D11</f>
        <v>25.988302548712451</v>
      </c>
      <c r="Q11" s="96">
        <f>'[5]RD ESFERA'!E11</f>
        <v>805.77497956598563</v>
      </c>
      <c r="R11" s="95">
        <f>'[6]RD ESFERA'!B11</f>
        <v>169.17044562255734</v>
      </c>
      <c r="S11" s="99">
        <f>'[6]RD ESFERA'!C11</f>
        <v>8.6410603607178516</v>
      </c>
      <c r="T11" s="96">
        <f>'[6]RD ESFERA'!D11</f>
        <v>25.699914268300368</v>
      </c>
      <c r="U11" s="96">
        <f>'[6]RD ESFERA'!E11</f>
        <v>924.87600640717187</v>
      </c>
      <c r="V11" s="95">
        <f>'[7]RD ESFERA'!B11</f>
        <v>192.62118012792681</v>
      </c>
      <c r="W11" s="99">
        <f>'[7]RD ESFERA'!C11</f>
        <v>8.8741597370260461</v>
      </c>
      <c r="X11" s="96">
        <f>'[7]RD ESFERA'!D11</f>
        <v>25.540333098261371</v>
      </c>
      <c r="Y11" s="96">
        <f>'[7]RD ESFERA'!E11</f>
        <v>1040.3475107093341</v>
      </c>
      <c r="Z11" s="95">
        <f>'[8]RD ESFERA'!B11</f>
        <v>212.53525421906915</v>
      </c>
      <c r="AA11" s="99">
        <f>'[8]RD ESFERA'!C11</f>
        <v>8.8209032857734826</v>
      </c>
      <c r="AB11" s="96">
        <f>'[8]RD ESFERA'!D11</f>
        <v>25.620987396199901</v>
      </c>
      <c r="AC11" s="96">
        <f>'[8]RD ESFERA'!E11</f>
        <v>1134.5189035149831</v>
      </c>
      <c r="AD11" s="95">
        <f>'[9]RD ESFERA'!B11</f>
        <v>233.17615745900034</v>
      </c>
      <c r="AE11" s="99">
        <f>'[9]RD ESFERA'!C11</f>
        <v>8.5718240280075992</v>
      </c>
      <c r="AF11" s="96">
        <f>'[9]RD ESFERA'!D11</f>
        <v>24.784367541476591</v>
      </c>
      <c r="AG11" s="96">
        <f>'[9]RD ESFERA'!E11</f>
        <v>1230.7229326365509</v>
      </c>
      <c r="AH11" s="95">
        <f>'[10]RD ESFERA'!B11</f>
        <v>276.32318374833216</v>
      </c>
      <c r="AI11" s="99">
        <f>'[10]RD ESFERA'!C11</f>
        <v>8.8855526780420551</v>
      </c>
      <c r="AJ11" s="96">
        <f>'[10]RD ESFERA'!D11</f>
        <v>25.564510280314494</v>
      </c>
      <c r="AK11" s="96">
        <f>'[10]RD ESFERA'!E11</f>
        <v>1442.6965227980631</v>
      </c>
      <c r="AL11" s="95">
        <f>'[11]RD ESFERA'!B11</f>
        <v>278.20203575398597</v>
      </c>
      <c r="AM11" s="99">
        <f>'[11]RD ESFERA'!C11</f>
        <v>8.3467980948913567</v>
      </c>
      <c r="AN11" s="96">
        <f>'[11]RD ESFERA'!D11</f>
        <v>25.168134650084799</v>
      </c>
      <c r="AO11" s="96">
        <f>'[11]RD ESFERA'!E11</f>
        <v>1437.4099962473435</v>
      </c>
      <c r="AP11" s="95">
        <f>'[12]RD ESFERA'!B11</f>
        <v>324.01505552540544</v>
      </c>
      <c r="AQ11" s="99">
        <f>'[12]RD ESFERA'!C11</f>
        <v>8.338337961463882</v>
      </c>
      <c r="AR11" s="96">
        <f>'[12]RD ESFERA'!D11</f>
        <v>25.090953123186306</v>
      </c>
      <c r="AS11" s="96">
        <f>'[12]RD ESFERA'!E11</f>
        <v>1657.3846892269862</v>
      </c>
      <c r="AT11" s="95">
        <f>'[13]RD ESFERA'!B11</f>
        <v>367.14425487072282</v>
      </c>
      <c r="AU11" s="99">
        <f>'[13]RD ESFERA'!C11</f>
        <v>8.3892186484343192</v>
      </c>
      <c r="AV11" s="96">
        <f>'[13]RD ESFERA'!D11</f>
        <v>24.614057729295421</v>
      </c>
      <c r="AW11" s="96">
        <f>'[13]RD ESFERA'!E11</f>
        <v>1859.9280708015704</v>
      </c>
      <c r="AX11" s="95">
        <f>'[14]RD ESFERA'!B11</f>
        <v>401.73030817539234</v>
      </c>
      <c r="AY11" s="99">
        <f>'[14]RD ESFERA'!C11</f>
        <v>8.3437244675828559</v>
      </c>
      <c r="AZ11" s="96">
        <f>'[14]RD ESFERA'!D11</f>
        <v>24.523995861360635</v>
      </c>
      <c r="BA11" s="96">
        <f>'[14]RD ESFERA'!E11</f>
        <v>2016.2886171090997</v>
      </c>
      <c r="BB11" s="95">
        <f>'[15]RD ESFERA'!B11</f>
        <v>437.03889174703409</v>
      </c>
      <c r="BC11" s="99">
        <f>'[15]RD ESFERA'!C11</f>
        <v>8.1971140801140159</v>
      </c>
      <c r="BD11" s="96">
        <f>'[15]RD ESFERA'!D11</f>
        <v>24.384982522716925</v>
      </c>
      <c r="BE11" s="97">
        <f>'[15]RD ESFERA'!E11</f>
        <v>2173.9690175352957</v>
      </c>
      <c r="BF11" s="95">
        <f>'[16]RD ESFERA'!B11</f>
        <v>475.08295324225924</v>
      </c>
      <c r="BG11" s="99">
        <f>'[16]RD ESFERA'!C11</f>
        <v>8.220917409126864</v>
      </c>
      <c r="BH11" s="96">
        <f>'[16]RD ESFERA'!D11</f>
        <v>25.007244748925761</v>
      </c>
      <c r="BI11" s="97">
        <f>'[16]RD ESFERA'!E11</f>
        <v>2342.9813209518111</v>
      </c>
      <c r="BJ11" s="95">
        <f>'[17]RD ESFERA'!B11</f>
        <v>493.48027442986091</v>
      </c>
      <c r="BK11" s="99">
        <f>'[17]RD ESFERA'!C11</f>
        <v>8.230450388412077</v>
      </c>
      <c r="BL11" s="96">
        <f>'[17]RD ESFERA'!D11</f>
        <v>25.062087672271666</v>
      </c>
      <c r="BM11" s="97">
        <f>'[17]RD ESFERA'!E11</f>
        <v>2413.6889603606046</v>
      </c>
      <c r="BN11" s="95">
        <f>'[18]RD ESFERA'!B11</f>
        <v>526.75498832160918</v>
      </c>
      <c r="BO11" s="99">
        <f>'[18]RD ESFERA'!C11</f>
        <v>8.4049426869172006</v>
      </c>
      <c r="BP11" s="96">
        <f>'[18]RD ESFERA'!D11</f>
        <v>25.250022733080623</v>
      </c>
      <c r="BQ11" s="97">
        <f>'[18]RD ESFERA'!E11</f>
        <v>2556.0526400146969</v>
      </c>
      <c r="BR11" s="95">
        <f>'[19]RD ESFERA'!B11</f>
        <v>556.61217740582003</v>
      </c>
      <c r="BS11" s="99">
        <f>'[19]RD ESFERA'!C11</f>
        <v>8.4929132982188857</v>
      </c>
      <c r="BT11" s="99">
        <f>'[19]RD ESFERA'!D11</f>
        <v>25.261461869687192</v>
      </c>
      <c r="BU11" s="97">
        <f>'[19]RD ESFERA'!E11</f>
        <v>2680.3895180774234</v>
      </c>
      <c r="BV11" s="95">
        <f>'[20]RD ESFERA'!B11</f>
        <v>603.72019408179415</v>
      </c>
      <c r="BW11" s="99">
        <f>'[20]RD ESFERA'!C11</f>
        <v>8.7633148771127232</v>
      </c>
      <c r="BX11" s="99">
        <f>'[20]RD ESFERA'!D11</f>
        <v>25.443371261492853</v>
      </c>
      <c r="BY11" s="97">
        <f>'[20]RD ESFERA'!E11</f>
        <v>2895.6113270962223</v>
      </c>
      <c r="BZ11" s="95">
        <f>'[21]RD ESFERA'!B11</f>
        <v>639.1769852127477</v>
      </c>
      <c r="CA11" s="99">
        <f>'[21]RD ESFERA'!C11</f>
        <v>8.6502321479040987</v>
      </c>
      <c r="CB11" s="99">
        <f>'[21]RD ESFERA'!D11</f>
        <v>25.598572930159481</v>
      </c>
      <c r="CC11" s="97">
        <f>'[21]RD ESFERA'!E11</f>
        <v>3041.5690208121937</v>
      </c>
      <c r="CD11" s="95">
        <f>'[22]RD ESFERA'!B11</f>
        <v>682.72077717534319</v>
      </c>
      <c r="CE11" s="99">
        <f>'[22]RD ESFERA'!C11</f>
        <v>8.9718388132162996</v>
      </c>
      <c r="CF11" s="99">
        <f>'[22]RD ESFERA'!D11</f>
        <v>27.848452324596039</v>
      </c>
      <c r="CG11" s="97">
        <f>'[22]RD ESFERA'!E11</f>
        <v>3224.0964610072588</v>
      </c>
      <c r="CH11" s="95">
        <f>'[23]RD ESFERA'!B11</f>
        <v>796.24828131502488</v>
      </c>
      <c r="CI11" s="99">
        <f>'[23]RD ESFERA'!C11</f>
        <v>8.9478897522648442</v>
      </c>
      <c r="CJ11" s="99">
        <f>'[23]RD ESFERA'!D11</f>
        <v>26.012977018101317</v>
      </c>
      <c r="CK11" s="97">
        <f>'[23]RD ESFERA'!E11</f>
        <v>3732.6884220532033</v>
      </c>
      <c r="CL11" s="95">
        <f>'[24]RD ESFERA'!B11</f>
        <v>910.11219401507515</v>
      </c>
      <c r="CM11" s="99">
        <f>'[24]RD ESFERA'!C11</f>
        <v>9.0291810373178176</v>
      </c>
      <c r="CN11" s="99">
        <f>'[24]RD ESFERA'!D11</f>
        <v>25.866507433903791</v>
      </c>
      <c r="CO11" s="97">
        <f>'[24]RD ESFERA'!E11</f>
        <v>4481.5284911342123</v>
      </c>
      <c r="CP11" s="95">
        <f>'[25]RD ESFERA'!B11</f>
        <v>949.88554812579741</v>
      </c>
      <c r="CQ11" s="99">
        <f>'[25]RD ESFERA'!C11</f>
        <v>8.6800300541205448</v>
      </c>
      <c r="CR11" s="99">
        <f>'[25]RD ESFERA'!D11</f>
        <v>25.102766430688174</v>
      </c>
      <c r="CS11" s="97">
        <f>'[25]RD ESFERA'!E11</f>
        <v>4570.4433956446474</v>
      </c>
      <c r="CT11" s="95">
        <f>'[26]RD ESFERA'!B11</f>
        <v>1063.1728700254369</v>
      </c>
      <c r="CU11" s="99">
        <f>'[26]RD ESFERA'!C11</f>
        <v>9.0523560015444975</v>
      </c>
      <c r="CV11" s="99">
        <f>'[26]RD ESFERA'!D11</f>
        <v>25.180411464928042</v>
      </c>
      <c r="CW11" s="97">
        <f>'[26]RD ESFERA'!E11</f>
        <v>5001.1953878197974</v>
      </c>
    </row>
    <row r="12" spans="1:102" x14ac:dyDescent="0.25">
      <c r="A12" s="72"/>
      <c r="B12" s="75">
        <f>'[2]RD ESFERA'!B12</f>
        <v>0</v>
      </c>
      <c r="C12" s="34">
        <f>'[2]RD ESFERA'!C12</f>
        <v>0</v>
      </c>
      <c r="D12" s="34">
        <f>'[2]RD ESFERA'!D12</f>
        <v>0</v>
      </c>
      <c r="E12" s="34">
        <f>'[2]RD ESFERA'!E12</f>
        <v>0</v>
      </c>
      <c r="F12" s="75">
        <f>'[3]RD ESFERA'!B12</f>
        <v>0</v>
      </c>
      <c r="G12" s="34">
        <f>'[3]RD ESFERA'!C12</f>
        <v>0</v>
      </c>
      <c r="H12" s="34">
        <f>'[3]RD ESFERA'!D12</f>
        <v>0</v>
      </c>
      <c r="I12" s="34">
        <f>'[3]RD ESFERA'!E12</f>
        <v>0</v>
      </c>
      <c r="J12" s="75">
        <f>'[4]RD ESFERA'!B12</f>
        <v>0</v>
      </c>
      <c r="K12" s="34">
        <f>'[4]RD ESFERA'!C12</f>
        <v>0</v>
      </c>
      <c r="L12" s="34">
        <f>'[4]RD ESFERA'!D12</f>
        <v>0</v>
      </c>
      <c r="M12" s="34">
        <f>'[4]RD ESFERA'!E12</f>
        <v>0</v>
      </c>
      <c r="N12" s="75">
        <f>'[5]RD ESFERA'!B12</f>
        <v>0</v>
      </c>
      <c r="O12" s="34">
        <f>'[5]RD ESFERA'!C12</f>
        <v>0</v>
      </c>
      <c r="P12" s="34">
        <f>'[5]RD ESFERA'!D12</f>
        <v>0</v>
      </c>
      <c r="Q12" s="34">
        <f>'[5]RD ESFERA'!E12</f>
        <v>0</v>
      </c>
      <c r="R12" s="75">
        <f>'[6]RD ESFERA'!B12</f>
        <v>0</v>
      </c>
      <c r="S12" s="34">
        <f>'[6]RD ESFERA'!C12</f>
        <v>0</v>
      </c>
      <c r="T12" s="34">
        <f>'[6]RD ESFERA'!D12</f>
        <v>0</v>
      </c>
      <c r="U12" s="34">
        <f>'[6]RD ESFERA'!E12</f>
        <v>0</v>
      </c>
      <c r="V12" s="75">
        <f>'[7]RD ESFERA'!B12</f>
        <v>0</v>
      </c>
      <c r="W12" s="34">
        <f>'[7]RD ESFERA'!C12</f>
        <v>0</v>
      </c>
      <c r="X12" s="34">
        <f>'[7]RD ESFERA'!D12</f>
        <v>0</v>
      </c>
      <c r="Y12" s="34">
        <f>'[7]RD ESFERA'!E12</f>
        <v>0</v>
      </c>
      <c r="Z12" s="75">
        <f>'[8]RD ESFERA'!B12</f>
        <v>0</v>
      </c>
      <c r="AA12" s="34">
        <f>'[8]RD ESFERA'!C12</f>
        <v>0</v>
      </c>
      <c r="AB12" s="34">
        <f>'[8]RD ESFERA'!D12</f>
        <v>0</v>
      </c>
      <c r="AC12" s="34">
        <f>'[8]RD ESFERA'!E12</f>
        <v>0</v>
      </c>
      <c r="AD12" s="75">
        <f>'[9]RD ESFERA'!B12</f>
        <v>0</v>
      </c>
      <c r="AE12" s="34">
        <f>'[9]RD ESFERA'!C12</f>
        <v>0</v>
      </c>
      <c r="AF12" s="34">
        <f>'[9]RD ESFERA'!D12</f>
        <v>0</v>
      </c>
      <c r="AG12" s="34">
        <f>'[9]RD ESFERA'!E12</f>
        <v>0</v>
      </c>
      <c r="AH12" s="75">
        <f>'[10]RD ESFERA'!B12</f>
        <v>0</v>
      </c>
      <c r="AI12" s="34">
        <f>'[10]RD ESFERA'!C12</f>
        <v>0</v>
      </c>
      <c r="AJ12" s="34">
        <f>'[10]RD ESFERA'!D12</f>
        <v>0</v>
      </c>
      <c r="AK12" s="34">
        <f>'[10]RD ESFERA'!E12</f>
        <v>0</v>
      </c>
      <c r="AL12" s="75">
        <f>'[11]RD ESFERA'!B12</f>
        <v>0</v>
      </c>
      <c r="AM12" s="34">
        <f>'[11]RD ESFERA'!C12</f>
        <v>0</v>
      </c>
      <c r="AN12" s="34">
        <f>'[11]RD ESFERA'!D12</f>
        <v>0</v>
      </c>
      <c r="AO12" s="34">
        <f>'[11]RD ESFERA'!E12</f>
        <v>0</v>
      </c>
      <c r="AP12" s="75">
        <f>'[12]RD ESFERA'!B12</f>
        <v>0</v>
      </c>
      <c r="AQ12" s="34">
        <f>'[12]RD ESFERA'!C12</f>
        <v>0</v>
      </c>
      <c r="AR12" s="34">
        <f>'[12]RD ESFERA'!D12</f>
        <v>0</v>
      </c>
      <c r="AS12" s="34">
        <f>'[12]RD ESFERA'!E12</f>
        <v>0</v>
      </c>
      <c r="AT12" s="75">
        <f>'[13]RD ESFERA'!B12</f>
        <v>0</v>
      </c>
      <c r="AU12" s="34">
        <f>'[13]RD ESFERA'!C12</f>
        <v>0</v>
      </c>
      <c r="AV12" s="34">
        <f>'[13]RD ESFERA'!D12</f>
        <v>0</v>
      </c>
      <c r="AW12" s="34">
        <f>'[13]RD ESFERA'!E12</f>
        <v>0</v>
      </c>
      <c r="AX12" s="75">
        <f>'[14]RD ESFERA'!B12</f>
        <v>0</v>
      </c>
      <c r="AY12" s="34">
        <f>'[14]RD ESFERA'!C12</f>
        <v>0</v>
      </c>
      <c r="AZ12" s="34">
        <f>'[14]RD ESFERA'!D12</f>
        <v>0</v>
      </c>
      <c r="BA12" s="34">
        <f>'[14]RD ESFERA'!E12</f>
        <v>0</v>
      </c>
      <c r="BB12" s="75">
        <f>'[15]RD ESFERA'!B12</f>
        <v>0</v>
      </c>
      <c r="BC12" s="34">
        <f>'[15]RD ESFERA'!C12</f>
        <v>0</v>
      </c>
      <c r="BD12" s="34">
        <f>'[15]RD ESFERA'!D12</f>
        <v>0</v>
      </c>
      <c r="BE12" s="65">
        <f>'[15]RD ESFERA'!E12</f>
        <v>0</v>
      </c>
      <c r="BF12" s="75">
        <f>'[16]RD ESFERA'!B12</f>
        <v>0</v>
      </c>
      <c r="BG12" s="34">
        <f>'[16]RD ESFERA'!C12</f>
        <v>0</v>
      </c>
      <c r="BH12" s="34">
        <f>'[16]RD ESFERA'!D12</f>
        <v>0</v>
      </c>
      <c r="BI12" s="65">
        <f>'[16]RD ESFERA'!E12</f>
        <v>0</v>
      </c>
      <c r="BJ12" s="75">
        <f>'[17]RD ESFERA'!B12</f>
        <v>0</v>
      </c>
      <c r="BK12" s="34">
        <f>'[17]RD ESFERA'!C12</f>
        <v>0</v>
      </c>
      <c r="BL12" s="34">
        <f>'[17]RD ESFERA'!D12</f>
        <v>0</v>
      </c>
      <c r="BM12" s="65">
        <f>'[17]RD ESFERA'!E12</f>
        <v>0</v>
      </c>
      <c r="BN12" s="75">
        <f>'[18]RD ESFERA'!B12</f>
        <v>0</v>
      </c>
      <c r="BO12" s="34">
        <f>'[18]RD ESFERA'!C12</f>
        <v>0</v>
      </c>
      <c r="BP12" s="34">
        <f>'[18]RD ESFERA'!D12</f>
        <v>0</v>
      </c>
      <c r="BQ12" s="65">
        <f>'[18]RD ESFERA'!E12</f>
        <v>0</v>
      </c>
      <c r="BR12" s="75">
        <f>'[19]RD ESFERA'!B12</f>
        <v>0</v>
      </c>
      <c r="BS12" s="34">
        <f>'[19]RD ESFERA'!C12</f>
        <v>0</v>
      </c>
      <c r="BT12" s="31">
        <f>'[19]RD ESFERA'!D12</f>
        <v>0</v>
      </c>
      <c r="BU12" s="65">
        <f>'[19]RD ESFERA'!E12</f>
        <v>0</v>
      </c>
      <c r="BV12" s="75">
        <f>'[20]RD ESFERA'!B12</f>
        <v>0</v>
      </c>
      <c r="BW12" s="34">
        <f>'[20]RD ESFERA'!C12</f>
        <v>0</v>
      </c>
      <c r="BX12" s="31">
        <f>'[20]RD ESFERA'!D12</f>
        <v>0</v>
      </c>
      <c r="BY12" s="65">
        <f>'[20]RD ESFERA'!E12</f>
        <v>0</v>
      </c>
      <c r="BZ12" s="75">
        <f>'[21]RD ESFERA'!B12</f>
        <v>0</v>
      </c>
      <c r="CA12" s="34">
        <f>'[21]RD ESFERA'!C12</f>
        <v>0</v>
      </c>
      <c r="CB12" s="31">
        <f>'[21]RD ESFERA'!D12</f>
        <v>0</v>
      </c>
      <c r="CC12" s="65">
        <f>'[21]RD ESFERA'!E12</f>
        <v>0</v>
      </c>
      <c r="CD12" s="75">
        <f>'[22]RD ESFERA'!B12</f>
        <v>0</v>
      </c>
      <c r="CE12" s="34">
        <f>'[22]RD ESFERA'!C12</f>
        <v>0</v>
      </c>
      <c r="CF12" s="31">
        <f>'[22]RD ESFERA'!D12</f>
        <v>0</v>
      </c>
      <c r="CG12" s="65">
        <f>'[22]RD ESFERA'!E12</f>
        <v>0</v>
      </c>
      <c r="CH12" s="75"/>
      <c r="CI12" s="34"/>
      <c r="CJ12" s="31"/>
      <c r="CK12" s="65"/>
      <c r="CL12" s="75">
        <f>'[24]RD ESFERA'!B12</f>
        <v>0</v>
      </c>
      <c r="CM12" s="34">
        <f>'[24]RD ESFERA'!C12</f>
        <v>0</v>
      </c>
      <c r="CN12" s="31">
        <f>'[24]RD ESFERA'!D12</f>
        <v>0</v>
      </c>
      <c r="CO12" s="65">
        <f>'[24]RD ESFERA'!E12</f>
        <v>0</v>
      </c>
      <c r="CP12" s="75">
        <f>'[25]RD ESFERA'!B12</f>
        <v>0</v>
      </c>
      <c r="CQ12" s="34">
        <f>'[25]RD ESFERA'!C12</f>
        <v>0</v>
      </c>
      <c r="CR12" s="31">
        <f>'[25]RD ESFERA'!D12</f>
        <v>0</v>
      </c>
      <c r="CS12" s="65">
        <f>'[25]RD ESFERA'!E12</f>
        <v>0</v>
      </c>
      <c r="CT12" s="75">
        <f>'[26]RD ESFERA'!B12</f>
        <v>0</v>
      </c>
      <c r="CU12" s="34">
        <f>'[26]RD ESFERA'!C12</f>
        <v>0</v>
      </c>
      <c r="CV12" s="31">
        <f>'[26]RD ESFERA'!D12</f>
        <v>0</v>
      </c>
      <c r="CW12" s="65">
        <f>'[26]RD ESFERA'!E12</f>
        <v>0</v>
      </c>
    </row>
    <row r="13" spans="1:102" x14ac:dyDescent="0.25">
      <c r="A13" s="98" t="s">
        <v>11</v>
      </c>
      <c r="B13" s="95">
        <f>'[2]RD ESFERA'!B13</f>
        <v>64.129372963523011</v>
      </c>
      <c r="C13" s="99">
        <f>'[2]RD ESFERA'!C13</f>
        <v>5.3335485837907139</v>
      </c>
      <c r="D13" s="96">
        <f>'[2]RD ESFERA'!D13</f>
        <v>17.452774572253091</v>
      </c>
      <c r="E13" s="96">
        <f>'[2]RD ESFERA'!E13</f>
        <v>369.73182185042577</v>
      </c>
      <c r="F13" s="95">
        <f>'[3]RD ESFERA'!B13</f>
        <v>72.729840690409674</v>
      </c>
      <c r="G13" s="99">
        <f>'[3]RD ESFERA'!C13</f>
        <v>5.5276127159242918</v>
      </c>
      <c r="H13" s="96">
        <f>'[3]RD ESFERA'!D13</f>
        <v>17.249003012189437</v>
      </c>
      <c r="I13" s="96">
        <f>'[3]RD ESFERA'!E13</f>
        <v>419.31700340578436</v>
      </c>
      <c r="J13" s="95">
        <f>'[4]RD ESFERA'!B13</f>
        <v>85.435871897270005</v>
      </c>
      <c r="K13" s="99">
        <f>'[4]RD ESFERA'!C13</f>
        <v>5.7386229122950434</v>
      </c>
      <c r="L13" s="96">
        <f>'[4]RD ESFERA'!D13</f>
        <v>17.244972420370498</v>
      </c>
      <c r="M13" s="96">
        <f>'[4]RD ESFERA'!E13</f>
        <v>479.23338281875857</v>
      </c>
      <c r="N13" s="95">
        <f>'[5]RD ESFERA'!B13</f>
        <v>97.240945046435499</v>
      </c>
      <c r="O13" s="99">
        <f>'[5]RD ESFERA'!C13</f>
        <v>5.6602895920390868</v>
      </c>
      <c r="P13" s="96">
        <f>'[5]RD ESFERA'!D13</f>
        <v>17.363993477126151</v>
      </c>
      <c r="Q13" s="96">
        <f>'[5]RD ESFERA'!E13</f>
        <v>538.37573512120048</v>
      </c>
      <c r="R13" s="95">
        <f>'[6]RD ESFERA'!B13</f>
        <v>113.1504931987575</v>
      </c>
      <c r="S13" s="99">
        <f>'[6]RD ESFERA'!C13</f>
        <v>5.7796161615423776</v>
      </c>
      <c r="T13" s="96">
        <f>'[6]RD ESFERA'!D13</f>
        <v>17.189515366720897</v>
      </c>
      <c r="U13" s="96">
        <f>'[6]RD ESFERA'!E13</f>
        <v>618.60791279203534</v>
      </c>
      <c r="V13" s="95">
        <f>'[7]RD ESFERA'!B13</f>
        <v>129.30901316538302</v>
      </c>
      <c r="W13" s="99">
        <f>'[7]RD ESFERA'!C13</f>
        <v>5.9573346892834431</v>
      </c>
      <c r="X13" s="96">
        <f>'[7]RD ESFERA'!D13</f>
        <v>17.145545815148534</v>
      </c>
      <c r="Y13" s="96">
        <f>'[7]RD ESFERA'!E13</f>
        <v>698.39832706633217</v>
      </c>
      <c r="Z13" s="95">
        <f>'[8]RD ESFERA'!B13</f>
        <v>144.93839008393701</v>
      </c>
      <c r="AA13" s="99">
        <f>'[8]RD ESFERA'!C13</f>
        <v>6.0154138946206404</v>
      </c>
      <c r="AB13" s="96">
        <f>'[8]RD ESFERA'!D13</f>
        <v>17.472229156572908</v>
      </c>
      <c r="AC13" s="96">
        <f>'[8]RD ESFERA'!E13</f>
        <v>773.68502463014727</v>
      </c>
      <c r="AD13" s="95">
        <f>'[9]RD ESFERA'!B13</f>
        <v>165.84125347188808</v>
      </c>
      <c r="AE13" s="99">
        <f>'[9]RD ESFERA'!C13</f>
        <v>6.0965154278056231</v>
      </c>
      <c r="AF13" s="96">
        <f>'[9]RD ESFERA'!D13</f>
        <v>17.627319295323616</v>
      </c>
      <c r="AG13" s="96">
        <f>'[9]RD ESFERA'!E13</f>
        <v>875.32377258996416</v>
      </c>
      <c r="AH13" s="95">
        <f>'[10]RD ESFERA'!B13</f>
        <v>194.26656894737846</v>
      </c>
      <c r="AI13" s="99">
        <f>'[10]RD ESFERA'!C13</f>
        <v>6.2469091755129975</v>
      </c>
      <c r="AJ13" s="96">
        <f>'[10]RD ESFERA'!D13</f>
        <v>17.972902713439648</v>
      </c>
      <c r="AK13" s="96">
        <f>'[10]RD ESFERA'!E13</f>
        <v>1014.2750228716006</v>
      </c>
      <c r="AL13" s="95">
        <f>'[11]RD ESFERA'!B13</f>
        <v>208.33955585294498</v>
      </c>
      <c r="AM13" s="99">
        <f>'[11]RD ESFERA'!C13</f>
        <v>6.2507386158081255</v>
      </c>
      <c r="AN13" s="96">
        <f>'[11]RD ESFERA'!D13</f>
        <v>18.847877875640801</v>
      </c>
      <c r="AO13" s="96">
        <f>'[11]RD ESFERA'!E13</f>
        <v>1076.4456104180904</v>
      </c>
      <c r="AP13" s="95">
        <f>'[12]RD ESFERA'!B13</f>
        <v>238.20731900314053</v>
      </c>
      <c r="AQ13" s="99">
        <f>'[12]RD ESFERA'!C13</f>
        <v>6.1301260446728989</v>
      </c>
      <c r="AR13" s="96">
        <f>'[12]RD ESFERA'!D13</f>
        <v>18.446206658563899</v>
      </c>
      <c r="AS13" s="96">
        <f>'[12]RD ESFERA'!E13</f>
        <v>1218.465489936649</v>
      </c>
      <c r="AT13" s="95">
        <f>'[13]RD ESFERA'!B13</f>
        <v>278.38346927941893</v>
      </c>
      <c r="AU13" s="99">
        <f>'[13]RD ESFERA'!C13</f>
        <v>6.3610413642917587</v>
      </c>
      <c r="AV13" s="96">
        <f>'[13]RD ESFERA'!D13</f>
        <v>18.663363767296058</v>
      </c>
      <c r="AW13" s="96">
        <f>'[13]RD ESFERA'!E13</f>
        <v>1410.2719083599275</v>
      </c>
      <c r="AX13" s="95">
        <f>'[14]RD ESFERA'!B13</f>
        <v>297.24126883000548</v>
      </c>
      <c r="AY13" s="99">
        <f>'[14]RD ESFERA'!C13</f>
        <v>6.1735427898795674</v>
      </c>
      <c r="AZ13" s="96">
        <f>'[14]RD ESFERA'!D13</f>
        <v>18.145366426846937</v>
      </c>
      <c r="BA13" s="96">
        <f>'[14]RD ESFERA'!E13</f>
        <v>1491.8570361271961</v>
      </c>
      <c r="BB13" s="95">
        <f>'[15]RD ESFERA'!B13</f>
        <v>335.11032769808298</v>
      </c>
      <c r="BC13" s="99">
        <f>'[15]RD ESFERA'!C13</f>
        <v>6.2853389879900075</v>
      </c>
      <c r="BD13" s="96">
        <f>'[15]RD ESFERA'!D13</f>
        <v>18.697785571059878</v>
      </c>
      <c r="BE13" s="97">
        <f>'[15]RD ESFERA'!E13</f>
        <v>1666.944255142887</v>
      </c>
      <c r="BF13" s="95">
        <f>'[16]RD ESFERA'!B13</f>
        <v>366.79424670061599</v>
      </c>
      <c r="BG13" s="99">
        <f>'[16]RD ESFERA'!C13</f>
        <v>6.3470709434843302</v>
      </c>
      <c r="BH13" s="96">
        <f>'[16]RD ESFERA'!D13</f>
        <v>19.307182960662487</v>
      </c>
      <c r="BI13" s="97">
        <f>'[16]RD ESFERA'!E13</f>
        <v>1808.9305515744397</v>
      </c>
      <c r="BJ13" s="95">
        <f>'[17]RD ESFERA'!B13</f>
        <v>389.65786503501477</v>
      </c>
      <c r="BK13" s="99">
        <f>'[17]RD ESFERA'!C13</f>
        <v>6.4988610341730739</v>
      </c>
      <c r="BL13" s="96">
        <f>'[17]RD ESFERA'!D13</f>
        <v>19.78932103614558</v>
      </c>
      <c r="BM13" s="97">
        <f>'[17]RD ESFERA'!E13</f>
        <v>1905.8773691396536</v>
      </c>
      <c r="BN13" s="95">
        <f>'[18]RD ESFERA'!B13</f>
        <v>420.36093946551853</v>
      </c>
      <c r="BO13" s="99">
        <f>'[18]RD ESFERA'!C13</f>
        <v>6.7073111453274397</v>
      </c>
      <c r="BP13" s="96">
        <f>'[18]RD ESFERA'!D13</f>
        <v>20.150019483295413</v>
      </c>
      <c r="BQ13" s="97">
        <f>'[18]RD ESFERA'!E13</f>
        <v>2039.7807574702729</v>
      </c>
      <c r="BR13" s="95">
        <f>'[19]RD ESFERA'!B13</f>
        <v>442.28744147004687</v>
      </c>
      <c r="BS13" s="99">
        <f>'[19]RD ESFERA'!C13</f>
        <v>6.7485208656466078</v>
      </c>
      <c r="BT13" s="99">
        <f>'[19]RD ESFERA'!D13</f>
        <v>20.072912149011618</v>
      </c>
      <c r="BU13" s="97">
        <f>'[19]RD ESFERA'!E13</f>
        <v>2129.8539094470048</v>
      </c>
      <c r="BV13" s="95">
        <f>'[20]RD ESFERA'!B13</f>
        <v>479.84371597960961</v>
      </c>
      <c r="BW13" s="99">
        <f>'[20]RD ESFERA'!C13</f>
        <v>6.9651829045219156</v>
      </c>
      <c r="BX13" s="99">
        <f>'[20]RD ESFERA'!D13</f>
        <v>20.222682515585099</v>
      </c>
      <c r="BY13" s="97">
        <f>'[20]RD ESFERA'!E13</f>
        <v>2301.4650045617882</v>
      </c>
      <c r="BZ13" s="95">
        <f>'[21]RD ESFERA'!B13</f>
        <v>525.18850459877422</v>
      </c>
      <c r="CA13" s="99">
        <f>'[21]RD ESFERA'!C13</f>
        <v>7.1075814544196634</v>
      </c>
      <c r="CB13" s="99">
        <f>'[21]RD ESFERA'!D13</f>
        <v>21.033417266390327</v>
      </c>
      <c r="CC13" s="97">
        <f>'[21]RD ESFERA'!E13</f>
        <v>2499.146750633749</v>
      </c>
      <c r="CD13" s="95">
        <f>'[22]RD ESFERA'!B13</f>
        <v>559.99274532232812</v>
      </c>
      <c r="CE13" s="99">
        <f>'[22]RD ESFERA'!C13</f>
        <v>7.3590328807468799</v>
      </c>
      <c r="CF13" s="99">
        <f>'[22]RD ESFERA'!D13</f>
        <v>22.842327041444737</v>
      </c>
      <c r="CG13" s="97">
        <f>'[22]RD ESFERA'!E13</f>
        <v>2644.5227518244378</v>
      </c>
      <c r="CH13" s="95">
        <f>'[23]RD ESFERA'!B13</f>
        <v>666.35163727557006</v>
      </c>
      <c r="CI13" s="99">
        <f>'[23]RD ESFERA'!C13</f>
        <v>7.4881681084897869</v>
      </c>
      <c r="CJ13" s="99">
        <f>'[23]RD ESFERA'!D13</f>
        <v>21.769327775246662</v>
      </c>
      <c r="CK13" s="97">
        <f>'[23]RD ESFERA'!E13</f>
        <v>3123.7531054596479</v>
      </c>
      <c r="CL13" s="95">
        <f>'[24]RD ESFERA'!B13</f>
        <v>781.70765754624449</v>
      </c>
      <c r="CM13" s="99">
        <f>'[24]RD ESFERA'!C13</f>
        <v>7.7552855622169252</v>
      </c>
      <c r="CN13" s="99">
        <f>'[24]RD ESFERA'!D13</f>
        <v>22.217092648606489</v>
      </c>
      <c r="CO13" s="97">
        <f>'[24]RD ESFERA'!E13</f>
        <v>3849.2453590543287</v>
      </c>
      <c r="CP13" s="95">
        <f>'[25]RD ESFERA'!B13</f>
        <v>864.4098596737374</v>
      </c>
      <c r="CQ13" s="99">
        <f>'[25]RD ESFERA'!C13</f>
        <v>7.8989553803091406</v>
      </c>
      <c r="CR13" s="99">
        <f>'[25]RD ESFERA'!D13</f>
        <v>22.843887719512992</v>
      </c>
      <c r="CS13" s="97">
        <f>'[25]RD ESFERA'!E13</f>
        <v>4159.1709044011441</v>
      </c>
      <c r="CT13" s="95">
        <f>'[26]RD ESFERA'!B13</f>
        <v>982.47616751393616</v>
      </c>
      <c r="CU13" s="99">
        <f>'[26]RD ESFERA'!C13</f>
        <v>8.3652661595441486</v>
      </c>
      <c r="CV13" s="99">
        <f>'[26]RD ESFERA'!D13</f>
        <v>23.26917366871352</v>
      </c>
      <c r="CW13" s="97">
        <f>'[26]RD ESFERA'!E13</f>
        <v>4621.5958064242268</v>
      </c>
      <c r="CX13" s="13">
        <f>CU13-CQ13</f>
        <v>0.46631077923500808</v>
      </c>
    </row>
    <row r="14" spans="1:102" x14ac:dyDescent="0.25">
      <c r="A14" s="64"/>
      <c r="B14" s="64">
        <f>'[2]RD ESFERA'!B14</f>
        <v>0</v>
      </c>
      <c r="C14" s="82">
        <f>'[2]RD ESFERA'!C14</f>
        <v>0</v>
      </c>
      <c r="D14" s="82">
        <f>'[2]RD ESFERA'!D14</f>
        <v>0</v>
      </c>
      <c r="E14" s="82">
        <f>'[2]RD ESFERA'!E14</f>
        <v>0</v>
      </c>
      <c r="F14" s="64">
        <f>'[3]RD ESFERA'!B14</f>
        <v>0</v>
      </c>
      <c r="G14" s="82">
        <f>'[3]RD ESFERA'!C14</f>
        <v>0</v>
      </c>
      <c r="H14" s="82">
        <f>'[3]RD ESFERA'!D14</f>
        <v>0</v>
      </c>
      <c r="I14" s="82">
        <f>'[3]RD ESFERA'!E14</f>
        <v>0</v>
      </c>
      <c r="J14" s="64">
        <f>'[4]RD ESFERA'!B14</f>
        <v>0</v>
      </c>
      <c r="K14" s="82">
        <f>'[4]RD ESFERA'!C14</f>
        <v>0</v>
      </c>
      <c r="L14" s="82">
        <f>'[4]RD ESFERA'!D14</f>
        <v>0</v>
      </c>
      <c r="M14" s="82">
        <f>'[4]RD ESFERA'!E14</f>
        <v>0</v>
      </c>
      <c r="N14" s="64">
        <f>'[5]RD ESFERA'!B14</f>
        <v>0</v>
      </c>
      <c r="O14" s="82">
        <f>'[5]RD ESFERA'!C14</f>
        <v>0</v>
      </c>
      <c r="P14" s="82">
        <f>'[5]RD ESFERA'!D14</f>
        <v>0</v>
      </c>
      <c r="Q14" s="82">
        <f>'[5]RD ESFERA'!E14</f>
        <v>0</v>
      </c>
      <c r="R14" s="64">
        <f>'[6]RD ESFERA'!B14</f>
        <v>0</v>
      </c>
      <c r="S14" s="82">
        <f>'[6]RD ESFERA'!C14</f>
        <v>0</v>
      </c>
      <c r="T14" s="82">
        <f>'[6]RD ESFERA'!D14</f>
        <v>0</v>
      </c>
      <c r="U14" s="82">
        <f>'[6]RD ESFERA'!E14</f>
        <v>0</v>
      </c>
      <c r="V14" s="64">
        <f>'[7]RD ESFERA'!B14</f>
        <v>0</v>
      </c>
      <c r="W14" s="82">
        <f>'[7]RD ESFERA'!C14</f>
        <v>0</v>
      </c>
      <c r="X14" s="82">
        <f>'[7]RD ESFERA'!D14</f>
        <v>0</v>
      </c>
      <c r="Y14" s="82">
        <f>'[7]RD ESFERA'!E14</f>
        <v>0</v>
      </c>
      <c r="Z14" s="64">
        <f>'[8]RD ESFERA'!B14</f>
        <v>0</v>
      </c>
      <c r="AA14" s="82">
        <f>'[8]RD ESFERA'!C14</f>
        <v>0</v>
      </c>
      <c r="AB14" s="82">
        <f>'[8]RD ESFERA'!D14</f>
        <v>0</v>
      </c>
      <c r="AC14" s="82">
        <f>'[8]RD ESFERA'!E14</f>
        <v>0</v>
      </c>
      <c r="AD14" s="64">
        <f>'[9]RD ESFERA'!B14</f>
        <v>0</v>
      </c>
      <c r="AE14" s="82">
        <f>'[9]RD ESFERA'!C14</f>
        <v>0</v>
      </c>
      <c r="AF14" s="82">
        <f>'[9]RD ESFERA'!D14</f>
        <v>0</v>
      </c>
      <c r="AG14" s="82">
        <f>'[9]RD ESFERA'!E14</f>
        <v>0</v>
      </c>
      <c r="AH14" s="64">
        <f>'[10]RD ESFERA'!B14</f>
        <v>0</v>
      </c>
      <c r="AI14" s="82">
        <f>'[10]RD ESFERA'!C14</f>
        <v>0</v>
      </c>
      <c r="AJ14" s="82">
        <f>'[10]RD ESFERA'!D14</f>
        <v>0</v>
      </c>
      <c r="AK14" s="82">
        <f>'[10]RD ESFERA'!E14</f>
        <v>0</v>
      </c>
      <c r="AL14" s="64">
        <f>'[11]RD ESFERA'!B14</f>
        <v>0</v>
      </c>
      <c r="AM14" s="82">
        <f>'[11]RD ESFERA'!C14</f>
        <v>0</v>
      </c>
      <c r="AN14" s="82">
        <f>'[11]RD ESFERA'!D14</f>
        <v>0</v>
      </c>
      <c r="AO14" s="82">
        <f>'[11]RD ESFERA'!E14</f>
        <v>0</v>
      </c>
      <c r="AP14" s="64">
        <f>'[12]RD ESFERA'!B14</f>
        <v>0</v>
      </c>
      <c r="AQ14" s="82">
        <f>'[12]RD ESFERA'!C14</f>
        <v>0</v>
      </c>
      <c r="AR14" s="82">
        <f>'[12]RD ESFERA'!D14</f>
        <v>0</v>
      </c>
      <c r="AS14" s="82">
        <f>'[12]RD ESFERA'!E14</f>
        <v>0</v>
      </c>
      <c r="AT14" s="64">
        <f>'[13]RD ESFERA'!B14</f>
        <v>0</v>
      </c>
      <c r="AU14" s="82">
        <f>'[13]RD ESFERA'!C14</f>
        <v>0</v>
      </c>
      <c r="AV14" s="82">
        <f>'[13]RD ESFERA'!D14</f>
        <v>0</v>
      </c>
      <c r="AW14" s="82">
        <f>'[13]RD ESFERA'!E14</f>
        <v>0</v>
      </c>
      <c r="AX14" s="64">
        <f>'[14]RD ESFERA'!B14</f>
        <v>0</v>
      </c>
      <c r="AY14" s="82">
        <f>'[14]RD ESFERA'!C14</f>
        <v>0</v>
      </c>
      <c r="AZ14" s="82">
        <f>'[14]RD ESFERA'!D14</f>
        <v>0</v>
      </c>
      <c r="BA14" s="82">
        <f>'[14]RD ESFERA'!E14</f>
        <v>0</v>
      </c>
      <c r="BB14" s="64">
        <f>'[15]RD ESFERA'!B14</f>
        <v>0</v>
      </c>
      <c r="BC14" s="82">
        <f>'[15]RD ESFERA'!C14</f>
        <v>0</v>
      </c>
      <c r="BD14" s="82">
        <f>'[15]RD ESFERA'!D14</f>
        <v>0</v>
      </c>
      <c r="BE14" s="83">
        <f>'[15]RD ESFERA'!E14</f>
        <v>0</v>
      </c>
      <c r="BF14" s="64">
        <f>'[16]RD ESFERA'!B14</f>
        <v>0</v>
      </c>
      <c r="BG14" s="82">
        <f>'[16]RD ESFERA'!C14</f>
        <v>0</v>
      </c>
      <c r="BH14" s="82">
        <f>'[16]RD ESFERA'!D14</f>
        <v>0</v>
      </c>
      <c r="BI14" s="83">
        <f>'[16]RD ESFERA'!E14</f>
        <v>0</v>
      </c>
      <c r="BJ14" s="64">
        <f>'[17]RD ESFERA'!B14</f>
        <v>0</v>
      </c>
      <c r="BK14" s="82">
        <f>'[17]RD ESFERA'!C14</f>
        <v>0</v>
      </c>
      <c r="BL14" s="82">
        <f>'[17]RD ESFERA'!D14</f>
        <v>0</v>
      </c>
      <c r="BM14" s="83">
        <f>'[17]RD ESFERA'!E14</f>
        <v>0</v>
      </c>
      <c r="BN14" s="64">
        <f>'[18]RD ESFERA'!B14</f>
        <v>0</v>
      </c>
      <c r="BO14" s="82">
        <f>'[18]RD ESFERA'!C14</f>
        <v>0</v>
      </c>
      <c r="BP14" s="82">
        <f>'[18]RD ESFERA'!D14</f>
        <v>0</v>
      </c>
      <c r="BQ14" s="83">
        <f>'[18]RD ESFERA'!E14</f>
        <v>0</v>
      </c>
      <c r="BR14" s="64">
        <f>'[19]RD ESFERA'!B14</f>
        <v>0</v>
      </c>
      <c r="BS14" s="82">
        <f>'[19]RD ESFERA'!C14</f>
        <v>0</v>
      </c>
      <c r="BT14" s="82">
        <f>'[19]RD ESFERA'!D14</f>
        <v>0</v>
      </c>
      <c r="BU14" s="83">
        <f>'[19]RD ESFERA'!E14</f>
        <v>0</v>
      </c>
      <c r="BV14" s="64">
        <f>'[20]RD ESFERA'!B14</f>
        <v>0</v>
      </c>
      <c r="BW14" s="82">
        <f>'[20]RD ESFERA'!C14</f>
        <v>0</v>
      </c>
      <c r="BX14" s="82">
        <f>'[20]RD ESFERA'!D14</f>
        <v>0</v>
      </c>
      <c r="BY14" s="83">
        <f>'[20]RD ESFERA'!E14</f>
        <v>0</v>
      </c>
      <c r="BZ14" s="64">
        <f>'[21]RD ESFERA'!B14</f>
        <v>0</v>
      </c>
      <c r="CA14" s="82">
        <f>'[21]RD ESFERA'!C14</f>
        <v>0</v>
      </c>
      <c r="CB14" s="82">
        <f>'[21]RD ESFERA'!D14</f>
        <v>0</v>
      </c>
      <c r="CC14" s="83">
        <f>'[21]RD ESFERA'!E14</f>
        <v>0</v>
      </c>
      <c r="CD14" s="64">
        <f>'[22]RD ESFERA'!B14</f>
        <v>0</v>
      </c>
      <c r="CE14" s="82">
        <f>'[22]RD ESFERA'!C14</f>
        <v>0</v>
      </c>
      <c r="CF14" s="82">
        <f>'[22]RD ESFERA'!D14</f>
        <v>0</v>
      </c>
      <c r="CG14" s="83">
        <f>'[22]RD ESFERA'!E14</f>
        <v>0</v>
      </c>
      <c r="CH14" s="64"/>
      <c r="CI14" s="82"/>
      <c r="CJ14" s="82"/>
      <c r="CK14" s="83"/>
      <c r="CL14" s="64">
        <f>'[24]RD ESFERA'!B14</f>
        <v>0</v>
      </c>
      <c r="CM14" s="82">
        <f>'[24]RD ESFERA'!C14</f>
        <v>0</v>
      </c>
      <c r="CN14" s="82">
        <f>'[24]RD ESFERA'!D14</f>
        <v>0</v>
      </c>
      <c r="CO14" s="83">
        <f>'[24]RD ESFERA'!E14</f>
        <v>0</v>
      </c>
      <c r="CP14" s="64">
        <f>'[25]RD ESFERA'!B14</f>
        <v>0</v>
      </c>
      <c r="CQ14" s="82">
        <f>'[25]RD ESFERA'!C14</f>
        <v>0</v>
      </c>
      <c r="CR14" s="82">
        <f>'[25]RD ESFERA'!D14</f>
        <v>0</v>
      </c>
      <c r="CS14" s="83">
        <f>'[25]RD ESFERA'!E14</f>
        <v>0</v>
      </c>
      <c r="CT14" s="64">
        <f>'[26]RD ESFERA'!B14</f>
        <v>0</v>
      </c>
      <c r="CU14" s="82">
        <f>'[26]RD ESFERA'!C14</f>
        <v>0</v>
      </c>
      <c r="CV14" s="82">
        <f>'[26]RD ESFERA'!D14</f>
        <v>0</v>
      </c>
      <c r="CW14" s="83">
        <f>'[26]RD ESFERA'!E14</f>
        <v>0</v>
      </c>
    </row>
    <row r="15" spans="1:102" x14ac:dyDescent="0.25">
      <c r="A15" s="64" t="s">
        <v>49</v>
      </c>
      <c r="B15" s="64">
        <f>'[2]RD ESFERA'!B15</f>
        <v>0</v>
      </c>
      <c r="C15" s="82">
        <f>'[2]RD ESFERA'!C15</f>
        <v>0</v>
      </c>
      <c r="D15" s="82">
        <f>'[2]RD ESFERA'!D15</f>
        <v>0</v>
      </c>
      <c r="E15" s="82">
        <f>'[2]RD ESFERA'!E15</f>
        <v>0</v>
      </c>
      <c r="F15" s="64">
        <f>'[3]RD ESFERA'!B15</f>
        <v>0</v>
      </c>
      <c r="G15" s="82">
        <f>'[3]RD ESFERA'!C15</f>
        <v>0</v>
      </c>
      <c r="H15" s="82">
        <f>'[3]RD ESFERA'!D15</f>
        <v>0</v>
      </c>
      <c r="I15" s="82">
        <f>'[3]RD ESFERA'!E15</f>
        <v>0</v>
      </c>
      <c r="J15" s="64">
        <f>'[4]RD ESFERA'!B15</f>
        <v>0</v>
      </c>
      <c r="K15" s="82">
        <f>'[4]RD ESFERA'!C15</f>
        <v>0</v>
      </c>
      <c r="L15" s="82">
        <f>'[4]RD ESFERA'!D15</f>
        <v>0</v>
      </c>
      <c r="M15" s="82">
        <f>'[4]RD ESFERA'!E15</f>
        <v>0</v>
      </c>
      <c r="N15" s="64">
        <f>'[5]RD ESFERA'!B15</f>
        <v>0</v>
      </c>
      <c r="O15" s="82">
        <f>'[5]RD ESFERA'!C15</f>
        <v>0</v>
      </c>
      <c r="P15" s="82">
        <f>'[5]RD ESFERA'!D15</f>
        <v>0</v>
      </c>
      <c r="Q15" s="82">
        <f>'[5]RD ESFERA'!E15</f>
        <v>0</v>
      </c>
      <c r="R15" s="64">
        <f>'[6]RD ESFERA'!B15</f>
        <v>0</v>
      </c>
      <c r="S15" s="82">
        <f>'[6]RD ESFERA'!C15</f>
        <v>0</v>
      </c>
      <c r="T15" s="82">
        <f>'[6]RD ESFERA'!D15</f>
        <v>0</v>
      </c>
      <c r="U15" s="82">
        <f>'[6]RD ESFERA'!E15</f>
        <v>0</v>
      </c>
      <c r="V15" s="64">
        <f>'[7]RD ESFERA'!B15</f>
        <v>0</v>
      </c>
      <c r="W15" s="82">
        <f>'[7]RD ESFERA'!C15</f>
        <v>0</v>
      </c>
      <c r="X15" s="82">
        <f>'[7]RD ESFERA'!D15</f>
        <v>0</v>
      </c>
      <c r="Y15" s="82">
        <f>'[7]RD ESFERA'!E15</f>
        <v>0</v>
      </c>
      <c r="Z15" s="64">
        <f>'[8]RD ESFERA'!B15</f>
        <v>0</v>
      </c>
      <c r="AA15" s="82">
        <f>'[8]RD ESFERA'!C15</f>
        <v>0</v>
      </c>
      <c r="AB15" s="82">
        <f>'[8]RD ESFERA'!D15</f>
        <v>0</v>
      </c>
      <c r="AC15" s="82">
        <f>'[8]RD ESFERA'!E15</f>
        <v>0</v>
      </c>
      <c r="AD15" s="64">
        <f>'[9]RD ESFERA'!B15</f>
        <v>0</v>
      </c>
      <c r="AE15" s="82">
        <f>'[9]RD ESFERA'!C15</f>
        <v>0</v>
      </c>
      <c r="AF15" s="82">
        <f>'[9]RD ESFERA'!D15</f>
        <v>0</v>
      </c>
      <c r="AG15" s="82">
        <f>'[9]RD ESFERA'!E15</f>
        <v>0</v>
      </c>
      <c r="AH15" s="64">
        <f>'[10]RD ESFERA'!B15</f>
        <v>0</v>
      </c>
      <c r="AI15" s="82">
        <f>'[10]RD ESFERA'!C15</f>
        <v>0</v>
      </c>
      <c r="AJ15" s="82">
        <f>'[10]RD ESFERA'!D15</f>
        <v>0</v>
      </c>
      <c r="AK15" s="82">
        <f>'[10]RD ESFERA'!E15</f>
        <v>0</v>
      </c>
      <c r="AL15" s="64">
        <f>'[11]RD ESFERA'!B15</f>
        <v>0</v>
      </c>
      <c r="AM15" s="82">
        <f>'[11]RD ESFERA'!C15</f>
        <v>0</v>
      </c>
      <c r="AN15" s="82">
        <f>'[11]RD ESFERA'!D15</f>
        <v>0</v>
      </c>
      <c r="AO15" s="82">
        <f>'[11]RD ESFERA'!E15</f>
        <v>0</v>
      </c>
      <c r="AP15" s="64">
        <f>'[12]RD ESFERA'!B15</f>
        <v>0</v>
      </c>
      <c r="AQ15" s="82">
        <f>'[12]RD ESFERA'!C15</f>
        <v>0</v>
      </c>
      <c r="AR15" s="82">
        <f>'[12]RD ESFERA'!D15</f>
        <v>0</v>
      </c>
      <c r="AS15" s="82">
        <f>'[12]RD ESFERA'!E15</f>
        <v>0</v>
      </c>
      <c r="AT15" s="64">
        <f>'[13]RD ESFERA'!B15</f>
        <v>0</v>
      </c>
      <c r="AU15" s="82">
        <f>'[13]RD ESFERA'!C15</f>
        <v>0</v>
      </c>
      <c r="AV15" s="82">
        <f>'[13]RD ESFERA'!D15</f>
        <v>0</v>
      </c>
      <c r="AW15" s="82">
        <f>'[13]RD ESFERA'!E15</f>
        <v>0</v>
      </c>
      <c r="AX15" s="64">
        <f>'[14]RD ESFERA'!B15</f>
        <v>0</v>
      </c>
      <c r="AY15" s="82">
        <f>'[14]RD ESFERA'!C15</f>
        <v>0</v>
      </c>
      <c r="AZ15" s="82">
        <f>'[14]RD ESFERA'!D15</f>
        <v>0</v>
      </c>
      <c r="BA15" s="82">
        <f>'[14]RD ESFERA'!E15</f>
        <v>0</v>
      </c>
      <c r="BB15" s="64">
        <f>'[15]RD ESFERA'!B15</f>
        <v>0</v>
      </c>
      <c r="BC15" s="82">
        <f>'[15]RD ESFERA'!C15</f>
        <v>0</v>
      </c>
      <c r="BD15" s="82">
        <f>'[15]RD ESFERA'!D15</f>
        <v>0</v>
      </c>
      <c r="BE15" s="83">
        <f>'[15]RD ESFERA'!E15</f>
        <v>0</v>
      </c>
      <c r="BF15" s="64">
        <f>'[16]RD ESFERA'!B15</f>
        <v>0</v>
      </c>
      <c r="BG15" s="82">
        <f>'[16]RD ESFERA'!C15</f>
        <v>0</v>
      </c>
      <c r="BH15" s="82">
        <f>'[16]RD ESFERA'!D15</f>
        <v>0</v>
      </c>
      <c r="BI15" s="83">
        <f>'[16]RD ESFERA'!E15</f>
        <v>0</v>
      </c>
      <c r="BJ15" s="64">
        <f>'[17]RD ESFERA'!B15</f>
        <v>0</v>
      </c>
      <c r="BK15" s="82">
        <f>'[17]RD ESFERA'!C15</f>
        <v>0</v>
      </c>
      <c r="BL15" s="82">
        <f>'[17]RD ESFERA'!D15</f>
        <v>0</v>
      </c>
      <c r="BM15" s="83">
        <f>'[17]RD ESFERA'!E15</f>
        <v>0</v>
      </c>
      <c r="BN15" s="64">
        <f>'[18]RD ESFERA'!B15</f>
        <v>0</v>
      </c>
      <c r="BO15" s="82">
        <f>'[18]RD ESFERA'!C15</f>
        <v>0</v>
      </c>
      <c r="BP15" s="82">
        <f>'[18]RD ESFERA'!D15</f>
        <v>0</v>
      </c>
      <c r="BQ15" s="83">
        <f>'[18]RD ESFERA'!E15</f>
        <v>0</v>
      </c>
      <c r="BR15" s="64">
        <f>'[19]RD ESFERA'!B15</f>
        <v>0</v>
      </c>
      <c r="BS15" s="82">
        <f>'[19]RD ESFERA'!C15</f>
        <v>0</v>
      </c>
      <c r="BT15" s="82">
        <f>'[19]RD ESFERA'!D15</f>
        <v>0</v>
      </c>
      <c r="BU15" s="83">
        <f>'[19]RD ESFERA'!E15</f>
        <v>0</v>
      </c>
      <c r="BV15" s="64">
        <f>'[20]RD ESFERA'!B15</f>
        <v>0</v>
      </c>
      <c r="BW15" s="82">
        <f>'[20]RD ESFERA'!C15</f>
        <v>0</v>
      </c>
      <c r="BX15" s="82">
        <f>'[20]RD ESFERA'!D15</f>
        <v>0</v>
      </c>
      <c r="BY15" s="83">
        <f>'[20]RD ESFERA'!E15</f>
        <v>0</v>
      </c>
      <c r="BZ15" s="64">
        <f>'[21]RD ESFERA'!B15</f>
        <v>0</v>
      </c>
      <c r="CA15" s="82">
        <f>'[21]RD ESFERA'!C15</f>
        <v>0</v>
      </c>
      <c r="CB15" s="82">
        <f>'[21]RD ESFERA'!D15</f>
        <v>0</v>
      </c>
      <c r="CC15" s="83">
        <f>'[21]RD ESFERA'!E15</f>
        <v>0</v>
      </c>
      <c r="CD15" s="64">
        <f>'[22]RD ESFERA'!B15</f>
        <v>0</v>
      </c>
      <c r="CE15" s="82">
        <f>'[22]RD ESFERA'!C15</f>
        <v>0</v>
      </c>
      <c r="CF15" s="82">
        <f>'[22]RD ESFERA'!D15</f>
        <v>0</v>
      </c>
      <c r="CG15" s="83">
        <f>'[22]RD ESFERA'!E15</f>
        <v>0</v>
      </c>
      <c r="CH15" s="64"/>
      <c r="CI15" s="82"/>
      <c r="CJ15" s="82"/>
      <c r="CK15" s="83"/>
      <c r="CL15" s="64">
        <f>'[24]RD ESFERA'!B15</f>
        <v>0</v>
      </c>
      <c r="CM15" s="82">
        <f>'[24]RD ESFERA'!C15</f>
        <v>0</v>
      </c>
      <c r="CN15" s="82">
        <f>'[24]RD ESFERA'!D15</f>
        <v>0</v>
      </c>
      <c r="CO15" s="83">
        <f>'[24]RD ESFERA'!E15</f>
        <v>0</v>
      </c>
      <c r="CP15" s="64">
        <f>'[25]RD ESFERA'!B15</f>
        <v>0</v>
      </c>
      <c r="CQ15" s="82">
        <f>'[25]RD ESFERA'!C15</f>
        <v>0</v>
      </c>
      <c r="CR15" s="82">
        <f>'[25]RD ESFERA'!D15</f>
        <v>0</v>
      </c>
      <c r="CS15" s="83">
        <f>'[25]RD ESFERA'!E15</f>
        <v>0</v>
      </c>
      <c r="CT15" s="64">
        <f>'[26]RD ESFERA'!B15</f>
        <v>0</v>
      </c>
      <c r="CU15" s="82">
        <f>'[26]RD ESFERA'!C15</f>
        <v>0</v>
      </c>
      <c r="CV15" s="82">
        <f>'[26]RD ESFERA'!D15</f>
        <v>0</v>
      </c>
      <c r="CW15" s="83">
        <f>'[26]RD ESFERA'!E15</f>
        <v>0</v>
      </c>
    </row>
    <row r="16" spans="1:102" x14ac:dyDescent="0.25">
      <c r="A16" s="64"/>
      <c r="B16" s="64">
        <f>'[2]RD ESFERA'!B16</f>
        <v>0</v>
      </c>
      <c r="C16" s="82">
        <f>'[2]RD ESFERA'!C16</f>
        <v>0</v>
      </c>
      <c r="D16" s="82">
        <f>'[2]RD ESFERA'!D16</f>
        <v>0</v>
      </c>
      <c r="E16" s="82">
        <f>'[2]RD ESFERA'!E16</f>
        <v>0</v>
      </c>
      <c r="F16" s="64">
        <f>'[3]RD ESFERA'!B16</f>
        <v>0</v>
      </c>
      <c r="G16" s="82">
        <f>'[3]RD ESFERA'!C16</f>
        <v>0</v>
      </c>
      <c r="H16" s="82">
        <f>'[3]RD ESFERA'!D16</f>
        <v>0</v>
      </c>
      <c r="I16" s="82">
        <f>'[3]RD ESFERA'!E16</f>
        <v>0</v>
      </c>
      <c r="J16" s="64">
        <f>'[4]RD ESFERA'!B16</f>
        <v>0</v>
      </c>
      <c r="K16" s="82">
        <f>'[4]RD ESFERA'!C16</f>
        <v>0</v>
      </c>
      <c r="L16" s="82">
        <f>'[4]RD ESFERA'!D16</f>
        <v>0</v>
      </c>
      <c r="M16" s="82">
        <f>'[4]RD ESFERA'!E16</f>
        <v>0</v>
      </c>
      <c r="N16" s="64">
        <f>'[5]RD ESFERA'!B16</f>
        <v>0</v>
      </c>
      <c r="O16" s="82">
        <f>'[5]RD ESFERA'!C16</f>
        <v>0</v>
      </c>
      <c r="P16" s="82">
        <f>'[5]RD ESFERA'!D16</f>
        <v>0</v>
      </c>
      <c r="Q16" s="82">
        <f>'[5]RD ESFERA'!E16</f>
        <v>0</v>
      </c>
      <c r="R16" s="64">
        <f>'[6]RD ESFERA'!B16</f>
        <v>0</v>
      </c>
      <c r="S16" s="82">
        <f>'[6]RD ESFERA'!C16</f>
        <v>0</v>
      </c>
      <c r="T16" s="82">
        <f>'[6]RD ESFERA'!D16</f>
        <v>0</v>
      </c>
      <c r="U16" s="82">
        <f>'[6]RD ESFERA'!E16</f>
        <v>0</v>
      </c>
      <c r="V16" s="64">
        <f>'[7]RD ESFERA'!B16</f>
        <v>0</v>
      </c>
      <c r="W16" s="82">
        <f>'[7]RD ESFERA'!C16</f>
        <v>0</v>
      </c>
      <c r="X16" s="82">
        <f>'[7]RD ESFERA'!D16</f>
        <v>0</v>
      </c>
      <c r="Y16" s="82">
        <f>'[7]RD ESFERA'!E16</f>
        <v>0</v>
      </c>
      <c r="Z16" s="64">
        <f>'[8]RD ESFERA'!B16</f>
        <v>0</v>
      </c>
      <c r="AA16" s="82">
        <f>'[8]RD ESFERA'!C16</f>
        <v>0</v>
      </c>
      <c r="AB16" s="82">
        <f>'[8]RD ESFERA'!D16</f>
        <v>0</v>
      </c>
      <c r="AC16" s="82">
        <f>'[8]RD ESFERA'!E16</f>
        <v>0</v>
      </c>
      <c r="AD16" s="64">
        <f>'[9]RD ESFERA'!B16</f>
        <v>0</v>
      </c>
      <c r="AE16" s="82">
        <f>'[9]RD ESFERA'!C16</f>
        <v>0</v>
      </c>
      <c r="AF16" s="82">
        <f>'[9]RD ESFERA'!D16</f>
        <v>0</v>
      </c>
      <c r="AG16" s="82">
        <f>'[9]RD ESFERA'!E16</f>
        <v>0</v>
      </c>
      <c r="AH16" s="64">
        <f>'[10]RD ESFERA'!B16</f>
        <v>0</v>
      </c>
      <c r="AI16" s="82">
        <f>'[10]RD ESFERA'!C16</f>
        <v>0</v>
      </c>
      <c r="AJ16" s="82">
        <f>'[10]RD ESFERA'!D16</f>
        <v>0</v>
      </c>
      <c r="AK16" s="82">
        <f>'[10]RD ESFERA'!E16</f>
        <v>0</v>
      </c>
      <c r="AL16" s="64">
        <f>'[11]RD ESFERA'!B16</f>
        <v>0</v>
      </c>
      <c r="AM16" s="82">
        <f>'[11]RD ESFERA'!C16</f>
        <v>0</v>
      </c>
      <c r="AN16" s="82">
        <f>'[11]RD ESFERA'!D16</f>
        <v>0</v>
      </c>
      <c r="AO16" s="82">
        <f>'[11]RD ESFERA'!E16</f>
        <v>0</v>
      </c>
      <c r="AP16" s="64">
        <f>'[12]RD ESFERA'!B16</f>
        <v>0</v>
      </c>
      <c r="AQ16" s="82">
        <f>'[12]RD ESFERA'!C16</f>
        <v>0</v>
      </c>
      <c r="AR16" s="82">
        <f>'[12]RD ESFERA'!D16</f>
        <v>0</v>
      </c>
      <c r="AS16" s="82">
        <f>'[12]RD ESFERA'!E16</f>
        <v>0</v>
      </c>
      <c r="AT16" s="64">
        <f>'[13]RD ESFERA'!B16</f>
        <v>0</v>
      </c>
      <c r="AU16" s="82">
        <f>'[13]RD ESFERA'!C16</f>
        <v>0</v>
      </c>
      <c r="AV16" s="82">
        <f>'[13]RD ESFERA'!D16</f>
        <v>0</v>
      </c>
      <c r="AW16" s="82">
        <f>'[13]RD ESFERA'!E16</f>
        <v>0</v>
      </c>
      <c r="AX16" s="64">
        <f>'[14]RD ESFERA'!B16</f>
        <v>0</v>
      </c>
      <c r="AY16" s="82">
        <f>'[14]RD ESFERA'!C16</f>
        <v>0</v>
      </c>
      <c r="AZ16" s="82">
        <f>'[14]RD ESFERA'!D16</f>
        <v>0</v>
      </c>
      <c r="BA16" s="82">
        <f>'[14]RD ESFERA'!E16</f>
        <v>0</v>
      </c>
      <c r="BB16" s="64">
        <f>'[15]RD ESFERA'!B16</f>
        <v>0</v>
      </c>
      <c r="BC16" s="82">
        <f>'[15]RD ESFERA'!C16</f>
        <v>0</v>
      </c>
      <c r="BD16" s="82">
        <f>'[15]RD ESFERA'!D16</f>
        <v>0</v>
      </c>
      <c r="BE16" s="83">
        <f>'[15]RD ESFERA'!E16</f>
        <v>0</v>
      </c>
      <c r="BF16" s="64">
        <f>'[16]RD ESFERA'!B16</f>
        <v>0</v>
      </c>
      <c r="BG16" s="82">
        <f>'[16]RD ESFERA'!C16</f>
        <v>0</v>
      </c>
      <c r="BH16" s="82">
        <f>'[16]RD ESFERA'!D16</f>
        <v>0</v>
      </c>
      <c r="BI16" s="83">
        <f>'[16]RD ESFERA'!E16</f>
        <v>0</v>
      </c>
      <c r="BJ16" s="64">
        <f>'[17]RD ESFERA'!B16</f>
        <v>0</v>
      </c>
      <c r="BK16" s="82">
        <f>'[17]RD ESFERA'!C16</f>
        <v>0</v>
      </c>
      <c r="BL16" s="82">
        <f>'[17]RD ESFERA'!D16</f>
        <v>0</v>
      </c>
      <c r="BM16" s="83">
        <f>'[17]RD ESFERA'!E16</f>
        <v>0</v>
      </c>
      <c r="BN16" s="64">
        <f>'[18]RD ESFERA'!B16</f>
        <v>0</v>
      </c>
      <c r="BO16" s="82">
        <f>'[18]RD ESFERA'!C16</f>
        <v>0</v>
      </c>
      <c r="BP16" s="82">
        <f>'[18]RD ESFERA'!D16</f>
        <v>0</v>
      </c>
      <c r="BQ16" s="83">
        <f>'[18]RD ESFERA'!E16</f>
        <v>0</v>
      </c>
      <c r="BR16" s="64">
        <f>'[19]RD ESFERA'!B16</f>
        <v>0</v>
      </c>
      <c r="BS16" s="82">
        <f>'[19]RD ESFERA'!C16</f>
        <v>0</v>
      </c>
      <c r="BT16" s="82">
        <f>'[19]RD ESFERA'!D16</f>
        <v>0</v>
      </c>
      <c r="BU16" s="83">
        <f>'[19]RD ESFERA'!E16</f>
        <v>0</v>
      </c>
      <c r="BV16" s="64">
        <f>'[20]RD ESFERA'!B16</f>
        <v>0</v>
      </c>
      <c r="BW16" s="82">
        <f>'[20]RD ESFERA'!C16</f>
        <v>0</v>
      </c>
      <c r="BX16" s="82">
        <f>'[20]RD ESFERA'!D16</f>
        <v>0</v>
      </c>
      <c r="BY16" s="83">
        <f>'[20]RD ESFERA'!E16</f>
        <v>0</v>
      </c>
      <c r="BZ16" s="64">
        <f>'[21]RD ESFERA'!B16</f>
        <v>0</v>
      </c>
      <c r="CA16" s="82">
        <f>'[21]RD ESFERA'!C16</f>
        <v>0</v>
      </c>
      <c r="CB16" s="82">
        <f>'[21]RD ESFERA'!D16</f>
        <v>0</v>
      </c>
      <c r="CC16" s="83">
        <f>'[21]RD ESFERA'!E16</f>
        <v>0</v>
      </c>
      <c r="CD16" s="64">
        <f>'[22]RD ESFERA'!B16</f>
        <v>0</v>
      </c>
      <c r="CE16" s="82">
        <f>'[22]RD ESFERA'!C16</f>
        <v>0</v>
      </c>
      <c r="CF16" s="82">
        <f>'[22]RD ESFERA'!D16</f>
        <v>0</v>
      </c>
      <c r="CG16" s="83">
        <f>'[22]RD ESFERA'!E16</f>
        <v>0</v>
      </c>
      <c r="CH16" s="64"/>
      <c r="CI16" s="82"/>
      <c r="CJ16" s="82"/>
      <c r="CK16" s="83"/>
      <c r="CL16" s="64">
        <f>'[24]RD ESFERA'!B16</f>
        <v>0</v>
      </c>
      <c r="CM16" s="82">
        <f>'[24]RD ESFERA'!C16</f>
        <v>0</v>
      </c>
      <c r="CN16" s="82">
        <f>'[24]RD ESFERA'!D16</f>
        <v>0</v>
      </c>
      <c r="CO16" s="83">
        <f>'[24]RD ESFERA'!E16</f>
        <v>0</v>
      </c>
      <c r="CP16" s="64">
        <f>'[25]RD ESFERA'!B16</f>
        <v>0</v>
      </c>
      <c r="CQ16" s="82">
        <f>'[25]RD ESFERA'!C16</f>
        <v>0</v>
      </c>
      <c r="CR16" s="82">
        <f>'[25]RD ESFERA'!D16</f>
        <v>0</v>
      </c>
      <c r="CS16" s="83">
        <f>'[25]RD ESFERA'!E16</f>
        <v>0</v>
      </c>
      <c r="CT16" s="64">
        <f>'[26]RD ESFERA'!B16</f>
        <v>0</v>
      </c>
      <c r="CU16" s="82">
        <f>'[26]RD ESFERA'!C16</f>
        <v>0</v>
      </c>
      <c r="CV16" s="82">
        <f>'[26]RD ESFERA'!D16</f>
        <v>0</v>
      </c>
      <c r="CW16" s="83">
        <f>'[26]RD ESFERA'!E16</f>
        <v>0</v>
      </c>
    </row>
    <row r="17" spans="1:103" s="9" customFormat="1" ht="11.4" x14ac:dyDescent="0.25">
      <c r="A17" s="73" t="s">
        <v>37</v>
      </c>
      <c r="B17" s="20">
        <f>'[2]RD ESFERA'!B17</f>
        <v>22.103164146326996</v>
      </c>
      <c r="C17" s="31">
        <f>'[2]RD ESFERA'!C17</f>
        <v>1.8382886715108111</v>
      </c>
      <c r="D17" s="21">
        <f>'[2]RD ESFERA'!D17</f>
        <v>6.015364307378686</v>
      </c>
      <c r="E17" s="100">
        <f>'[2]RD ESFERA'!E17</f>
        <v>127.43369802054495</v>
      </c>
      <c r="F17" s="20">
        <f>'[3]RD ESFERA'!B17</f>
        <v>25.205961243341836</v>
      </c>
      <c r="G17" s="31">
        <f>'[3]RD ESFERA'!C17</f>
        <v>1.9157032459190217</v>
      </c>
      <c r="H17" s="21">
        <f>'[3]RD ESFERA'!D17</f>
        <v>5.9779823148830875</v>
      </c>
      <c r="I17" s="100">
        <f>'[3]RD ESFERA'!E17</f>
        <v>145.3225806104939</v>
      </c>
      <c r="J17" s="20">
        <f>'[4]RD ESFERA'!B17</f>
        <v>30.317802320511671</v>
      </c>
      <c r="K17" s="31">
        <f>'[4]RD ESFERA'!C17</f>
        <v>2.0364096623970833</v>
      </c>
      <c r="L17" s="21">
        <f>'[4]RD ESFERA'!D17</f>
        <v>6.1195567301300606</v>
      </c>
      <c r="M17" s="100">
        <f>'[4]RD ESFERA'!E17</f>
        <v>170.06091988104919</v>
      </c>
      <c r="N17" s="20">
        <f>'[5]RD ESFERA'!B17</f>
        <v>32.544119284063832</v>
      </c>
      <c r="O17" s="31">
        <f>'[5]RD ESFERA'!C17</f>
        <v>1.8943577685068738</v>
      </c>
      <c r="P17" s="21">
        <f>'[5]RD ESFERA'!D17</f>
        <v>5.8112955884730404</v>
      </c>
      <c r="Q17" s="100">
        <f>'[5]RD ESFERA'!E17</f>
        <v>180.1809323743523</v>
      </c>
      <c r="R17" s="20">
        <f>'[6]RD ESFERA'!B17</f>
        <v>36.997222781859499</v>
      </c>
      <c r="S17" s="31">
        <f>'[6]RD ESFERA'!C17</f>
        <v>1.8897818354764984</v>
      </c>
      <c r="T17" s="21">
        <f>'[6]RD ESFERA'!D17</f>
        <v>5.6205175210120402</v>
      </c>
      <c r="U17" s="100">
        <f>'[6]RD ESFERA'!E17</f>
        <v>202.2684490114035</v>
      </c>
      <c r="V17" s="20">
        <f>'[7]RD ESFERA'!B17</f>
        <v>45.592487112613838</v>
      </c>
      <c r="W17" s="31">
        <f>'[7]RD ESFERA'!C17</f>
        <v>2.1004700167288464</v>
      </c>
      <c r="X17" s="21">
        <f>'[7]RD ESFERA'!D17</f>
        <v>6.0452713811689547</v>
      </c>
      <c r="Y17" s="100">
        <f>'[7]RD ESFERA'!E17</f>
        <v>246.24514522833803</v>
      </c>
      <c r="Z17" s="20">
        <f>'[8]RD ESFERA'!B17</f>
        <v>50.513967628603673</v>
      </c>
      <c r="AA17" s="31">
        <f>'[8]RD ESFERA'!C17</f>
        <v>2.0964937072196426</v>
      </c>
      <c r="AB17" s="21">
        <f>'[8]RD ESFERA'!D17</f>
        <v>6.0894261175630611</v>
      </c>
      <c r="AC17" s="100">
        <f>'[8]RD ESFERA'!E17</f>
        <v>269.64491785971614</v>
      </c>
      <c r="AD17" s="20">
        <f>'[9]RD ESFERA'!B17</f>
        <v>55.901993480889338</v>
      </c>
      <c r="AE17" s="31">
        <f>'[9]RD ESFERA'!C17</f>
        <v>2.0550216461014741</v>
      </c>
      <c r="AF17" s="21">
        <f>'[9]RD ESFERA'!D17</f>
        <v>5.9418405716510838</v>
      </c>
      <c r="AG17" s="100">
        <f>'[9]RD ESFERA'!E17</f>
        <v>295.05531829139363</v>
      </c>
      <c r="AH17" s="20">
        <f>'[10]RD ESFERA'!B17</f>
        <v>68.404124083195157</v>
      </c>
      <c r="AI17" s="31">
        <f>'[10]RD ESFERA'!C17</f>
        <v>2.19962885376325</v>
      </c>
      <c r="AJ17" s="21">
        <f>'[10]RD ESFERA'!D17</f>
        <v>6.3285241202686686</v>
      </c>
      <c r="AK17" s="100">
        <f>'[10]RD ESFERA'!E17</f>
        <v>357.14119467353078</v>
      </c>
      <c r="AL17" s="20">
        <f>'[11]RD ESFERA'!B17</f>
        <v>65.483329126114995</v>
      </c>
      <c r="AM17" s="31">
        <f>'[11]RD ESFERA'!C17</f>
        <v>1.9646733544406472</v>
      </c>
      <c r="AN17" s="21">
        <f>'[11]RD ESFERA'!D17</f>
        <v>5.9240876520374961</v>
      </c>
      <c r="AO17" s="100">
        <f>'[11]RD ESFERA'!E17</f>
        <v>338.33825700926388</v>
      </c>
      <c r="AP17" s="20">
        <f>'[12]RD ESFERA'!B17</f>
        <v>73.775986697102155</v>
      </c>
      <c r="AQ17" s="31">
        <f>'[12]RD ESFERA'!C17</f>
        <v>1.8985818715225322</v>
      </c>
      <c r="AR17" s="21">
        <f>'[12]RD ESFERA'!D17</f>
        <v>5.7130364539146088</v>
      </c>
      <c r="AS17" s="100">
        <f>'[12]RD ESFERA'!E17</f>
        <v>377.37502841068925</v>
      </c>
      <c r="AT17" s="20">
        <f>'[13]RD ESFERA'!B17</f>
        <v>88.797392151494819</v>
      </c>
      <c r="AU17" s="31">
        <f>'[13]RD ESFERA'!C17</f>
        <v>2.0290137412934892</v>
      </c>
      <c r="AV17" s="21">
        <f>'[13]RD ESFERA'!D17</f>
        <v>5.9531481362751668</v>
      </c>
      <c r="AW17" s="100">
        <f>'[13]RD ESFERA'!E17</f>
        <v>449.84160881039656</v>
      </c>
      <c r="AX17" s="20">
        <f>'[14]RD ESFERA'!B17</f>
        <v>90.299918685317181</v>
      </c>
      <c r="AY17" s="31">
        <f>'[14]RD ESFERA'!C17</f>
        <v>1.8754812012502635</v>
      </c>
      <c r="AZ17" s="21">
        <f>'[14]RD ESFERA'!D17</f>
        <v>5.5124415237126696</v>
      </c>
      <c r="BA17" s="100">
        <f>'[14]RD ESFERA'!E17</f>
        <v>453.21623603164062</v>
      </c>
      <c r="BB17" s="20">
        <f>'[15]RD ESFERA'!B17</f>
        <v>96.288320717266345</v>
      </c>
      <c r="BC17" s="31">
        <f>'[15]RD ESFERA'!C17</f>
        <v>1.8059865252424516</v>
      </c>
      <c r="BD17" s="21">
        <f>'[15]RD ESFERA'!D17</f>
        <v>5.3724944442504219</v>
      </c>
      <c r="BE17" s="84">
        <f>'[15]RD ESFERA'!E17</f>
        <v>478.96841663922589</v>
      </c>
      <c r="BF17" s="20">
        <f>'[16]RD ESFERA'!B17</f>
        <v>106.45935800795067</v>
      </c>
      <c r="BG17" s="31">
        <f>'[16]RD ESFERA'!C17</f>
        <v>1.8421911029203848</v>
      </c>
      <c r="BH17" s="21">
        <f>'[16]RD ESFERA'!D17</f>
        <v>5.6037692014614713</v>
      </c>
      <c r="BI17" s="84">
        <f>'[16]RD ESFERA'!E17</f>
        <v>525.02891453138909</v>
      </c>
      <c r="BJ17" s="20">
        <f>'[17]RD ESFERA'!B17</f>
        <v>107.39653264538669</v>
      </c>
      <c r="BK17" s="31">
        <f>'[17]RD ESFERA'!C17</f>
        <v>1.791199931641779</v>
      </c>
      <c r="BL17" s="21">
        <f>'[17]RD ESFERA'!D17</f>
        <v>5.4542834968760747</v>
      </c>
      <c r="BM17" s="84">
        <f>'[17]RD ESFERA'!E17</f>
        <v>525.29318527810926</v>
      </c>
      <c r="BN17" s="20">
        <f>'[18]RD ESFERA'!B17</f>
        <v>115.70615867906668</v>
      </c>
      <c r="BO17" s="31">
        <f>'[18]RD ESFERA'!C17</f>
        <v>1.8462162747040611</v>
      </c>
      <c r="BP17" s="21">
        <f>'[18]RD ESFERA'!D17</f>
        <v>5.5463796295747674</v>
      </c>
      <c r="BQ17" s="84">
        <f>'[18]RD ESFERA'!E17</f>
        <v>561.45843687201614</v>
      </c>
      <c r="BR17" s="20">
        <f>'[19]RD ESFERA'!B17</f>
        <v>117.37093437285002</v>
      </c>
      <c r="BS17" s="31">
        <f>'[19]RD ESFERA'!C17</f>
        <v>1.7908720107515403</v>
      </c>
      <c r="BT17" s="21">
        <f>'[19]RD ESFERA'!D17</f>
        <v>5.3267993472366779</v>
      </c>
      <c r="BU17" s="84">
        <f>'[19]RD ESFERA'!E17</f>
        <v>565.20470623941981</v>
      </c>
      <c r="BV17" s="20">
        <f>'[20]RD ESFERA'!B17</f>
        <v>131.24408988596667</v>
      </c>
      <c r="BW17" s="31">
        <f>'[20]RD ESFERA'!C17</f>
        <v>1.9050767171703837</v>
      </c>
      <c r="BX17" s="21">
        <f>'[20]RD ESFERA'!D17</f>
        <v>5.5311916639200085</v>
      </c>
      <c r="BY17" s="84">
        <f>'[20]RD ESFERA'!E17</f>
        <v>629.48345444404958</v>
      </c>
      <c r="BZ17" s="20">
        <f>'[21]RD ESFERA'!B17</f>
        <v>137.18621680677109</v>
      </c>
      <c r="CA17" s="31">
        <f>'[21]RD ESFERA'!C17</f>
        <v>1.8565947309199293</v>
      </c>
      <c r="CB17" s="21">
        <f>'[21]RD ESFERA'!D17</f>
        <v>5.4942081100932008</v>
      </c>
      <c r="CC17" s="84">
        <f>'[21]RD ESFERA'!E17</f>
        <v>652.81034326199369</v>
      </c>
      <c r="CD17" s="20">
        <f>'[22]RD ESFERA'!B17</f>
        <v>168.81341944838809</v>
      </c>
      <c r="CE17" s="31">
        <f>'[22]RD ESFERA'!C17</f>
        <v>2.2184278543053999</v>
      </c>
      <c r="CF17" s="21">
        <f>'[22]RD ESFERA'!D17</f>
        <v>6.8859665919513429</v>
      </c>
      <c r="CG17" s="84">
        <f>'[22]RD ESFERA'!E17</f>
        <v>797.20841434754959</v>
      </c>
      <c r="CH17" s="20">
        <f>'[23]RD ESFERA'!B17</f>
        <v>177.5630716086647</v>
      </c>
      <c r="CI17" s="31">
        <f>'[23]RD ESFERA'!C17</f>
        <v>1.9953760982741089</v>
      </c>
      <c r="CJ17" s="21">
        <f>'[23]RD ESFERA'!D17</f>
        <v>5.8008842334847692</v>
      </c>
      <c r="CK17" s="84">
        <f>'[23]RD ESFERA'!E17</f>
        <v>832.38813461958819</v>
      </c>
      <c r="CL17" s="20">
        <f>'[24]RD ESFERA'!B17</f>
        <v>222.37399876108253</v>
      </c>
      <c r="CM17" s="31">
        <f>'[24]RD ESFERA'!C17</f>
        <v>2.206162169905884</v>
      </c>
      <c r="CN17" s="21">
        <f>'[24]RD ESFERA'!D17</f>
        <v>6.320142428467646</v>
      </c>
      <c r="CO17" s="84">
        <f>'[24]RD ESFERA'!E17</f>
        <v>1095.0028113992373</v>
      </c>
      <c r="CP17" s="20">
        <f>'[25]RD ESFERA'!B17</f>
        <v>233.59932777745007</v>
      </c>
      <c r="CQ17" s="31">
        <f>'[25]RD ESFERA'!C17</f>
        <v>2.134624734244396</v>
      </c>
      <c r="CR17" s="21">
        <f>'[25]RD ESFERA'!D17</f>
        <v>6.1733641227969338</v>
      </c>
      <c r="CS17" s="84">
        <f>'[25]RD ESFERA'!E17</f>
        <v>1123.98015421336</v>
      </c>
      <c r="CT17" s="20">
        <f>'[26]RD ESFERA'!B17</f>
        <v>252.50395722165669</v>
      </c>
      <c r="CU17" s="31">
        <f>'[26]RD ESFERA'!C17</f>
        <v>2.149937961184536</v>
      </c>
      <c r="CV17" s="21">
        <f>'[26]RD ESFERA'!D17</f>
        <v>5.980357210593402</v>
      </c>
      <c r="CW17" s="84">
        <f>'[26]RD ESFERA'!E17</f>
        <v>1187.7857889968386</v>
      </c>
    </row>
    <row r="18" spans="1:103" x14ac:dyDescent="0.25">
      <c r="A18" s="75" t="s">
        <v>38</v>
      </c>
      <c r="B18" s="101">
        <f>'[2]RD ESFERA'!B18</f>
        <v>12.182458536419999</v>
      </c>
      <c r="C18" s="91">
        <f>'[2]RD ESFERA'!C18</f>
        <v>1.0131977200365017</v>
      </c>
      <c r="D18" s="40">
        <f>'[2]RD ESFERA'!D18</f>
        <v>3.3154495786649307</v>
      </c>
      <c r="E18" s="102">
        <f>'[2]RD ESFERA'!E18</f>
        <v>70.236810078431063</v>
      </c>
      <c r="F18" s="101">
        <f>'[3]RD ESFERA'!B18</f>
        <v>14.336497892789998</v>
      </c>
      <c r="G18" s="91">
        <f>'[3]RD ESFERA'!C18</f>
        <v>1.0896023874345906</v>
      </c>
      <c r="H18" s="40">
        <f>'[3]RD ESFERA'!D18</f>
        <v>3.4001215043165973</v>
      </c>
      <c r="I18" s="102">
        <f>'[3]RD ESFERA'!E18</f>
        <v>82.655719834826201</v>
      </c>
      <c r="J18" s="101">
        <f>'[4]RD ESFERA'!B18</f>
        <v>17.74261952622</v>
      </c>
      <c r="K18" s="91">
        <f>'[4]RD ESFERA'!C18</f>
        <v>1.1917500304758168</v>
      </c>
      <c r="L18" s="40">
        <f>'[4]RD ESFERA'!D18</f>
        <v>3.5812941051587477</v>
      </c>
      <c r="M18" s="102">
        <f>'[4]RD ESFERA'!E18</f>
        <v>99.523249272162801</v>
      </c>
      <c r="N18" s="101">
        <f>'[5]RD ESFERA'!B18</f>
        <v>18.457708494360002</v>
      </c>
      <c r="O18" s="91">
        <f>'[5]RD ESFERA'!C18</f>
        <v>1.0744031254902646</v>
      </c>
      <c r="P18" s="40">
        <f>'[5]RD ESFERA'!D18</f>
        <v>3.2959318705275318</v>
      </c>
      <c r="Q18" s="102">
        <f>'[5]RD ESFERA'!E18</f>
        <v>102.19133899365731</v>
      </c>
      <c r="R18" s="101">
        <f>'[6]RD ESFERA'!B18</f>
        <v>20.345552423420003</v>
      </c>
      <c r="S18" s="91">
        <f>'[6]RD ESFERA'!C18</f>
        <v>1.0392308533322165</v>
      </c>
      <c r="T18" s="40">
        <f>'[6]RD ESFERA'!D18</f>
        <v>3.0908410218988251</v>
      </c>
      <c r="U18" s="102">
        <f>'[6]RD ESFERA'!E18</f>
        <v>111.23168236787667</v>
      </c>
      <c r="V18" s="101">
        <f>'[7]RD ESFERA'!B18</f>
        <v>25.463501920090007</v>
      </c>
      <c r="W18" s="91">
        <f>'[7]RD ESFERA'!C18</f>
        <v>1.1731170131595863</v>
      </c>
      <c r="X18" s="40">
        <f>'[7]RD ESFERA'!D18</f>
        <v>3.376297043011562</v>
      </c>
      <c r="Y18" s="102">
        <f>'[7]RD ESFERA'!E18</f>
        <v>137.52844219371104</v>
      </c>
      <c r="Z18" s="101">
        <f>'[8]RD ESFERA'!B18</f>
        <v>28.180910502020001</v>
      </c>
      <c r="AA18" s="91">
        <f>'[8]RD ESFERA'!C18</f>
        <v>1.1695993069796013</v>
      </c>
      <c r="AB18" s="40">
        <f>'[8]RD ESFERA'!D18</f>
        <v>3.3971905293484741</v>
      </c>
      <c r="AC18" s="102">
        <f>'[8]RD ESFERA'!E18</f>
        <v>150.43045823283009</v>
      </c>
      <c r="AD18" s="101">
        <f>'[9]RD ESFERA'!B18</f>
        <v>32.009695627330004</v>
      </c>
      <c r="AE18" s="91">
        <f>'[9]RD ESFERA'!C18</f>
        <v>1.1767132673322398</v>
      </c>
      <c r="AF18" s="40">
        <f>'[9]RD ESFERA'!D18</f>
        <v>3.4023206744799235</v>
      </c>
      <c r="AG18" s="102">
        <f>'[9]RD ESFERA'!E18</f>
        <v>168.9498056086538</v>
      </c>
      <c r="AH18" s="101">
        <f>'[10]RD ESFERA'!B18</f>
        <v>38.350492390729997</v>
      </c>
      <c r="AI18" s="91">
        <f>'[10]RD ESFERA'!C18</f>
        <v>1.2332129202631164</v>
      </c>
      <c r="AJ18" s="40">
        <f>'[10]RD ESFERA'!D18</f>
        <v>3.5480611640276729</v>
      </c>
      <c r="AK18" s="102">
        <f>'[10]RD ESFERA'!E18</f>
        <v>200.22975006719355</v>
      </c>
      <c r="AL18" s="101">
        <f>'[11]RD ESFERA'!B18</f>
        <v>36.206411388019994</v>
      </c>
      <c r="AM18" s="91">
        <f>'[11]RD ESFERA'!C18</f>
        <v>1.0862882608940367</v>
      </c>
      <c r="AN18" s="40">
        <f>'[11]RD ESFERA'!D18</f>
        <v>3.2754894641240777</v>
      </c>
      <c r="AO18" s="102">
        <f>'[11]RD ESFERA'!E18</f>
        <v>187.07072907045736</v>
      </c>
      <c r="AP18" s="101">
        <f>'[12]RD ESFERA'!B18</f>
        <v>39.024096594699998</v>
      </c>
      <c r="AQ18" s="91">
        <f>'[12]RD ESFERA'!C18</f>
        <v>1.0042623035518383</v>
      </c>
      <c r="AR18" s="40">
        <f>'[12]RD ESFERA'!D18</f>
        <v>3.0219329677276021</v>
      </c>
      <c r="AS18" s="102">
        <f>'[12]RD ESFERA'!E18</f>
        <v>199.61399664621283</v>
      </c>
      <c r="AT18" s="101">
        <f>'[13]RD ESFERA'!B18</f>
        <v>48.07019249576998</v>
      </c>
      <c r="AU18" s="91">
        <f>'[13]RD ESFERA'!C18</f>
        <v>1.0984002880865973</v>
      </c>
      <c r="AV18" s="40">
        <f>'[13]RD ESFERA'!D18</f>
        <v>3.222718257067239</v>
      </c>
      <c r="AW18" s="102">
        <f>'[13]RD ESFERA'!E18</f>
        <v>243.52035802166972</v>
      </c>
      <c r="AX18" s="101">
        <f>'[14]RD ESFERA'!B18</f>
        <v>49.564485811460017</v>
      </c>
      <c r="AY18" s="91">
        <f>'[14]RD ESFERA'!C18</f>
        <v>1.0294279634179069</v>
      </c>
      <c r="AZ18" s="40">
        <f>'[14]RD ESFERA'!D18</f>
        <v>3.0257095871890924</v>
      </c>
      <c r="BA18" s="102">
        <f>'[14]RD ESFERA'!E18</f>
        <v>248.76467251975643</v>
      </c>
      <c r="BB18" s="101">
        <f>'[15]RD ESFERA'!B18</f>
        <v>53.304168348970009</v>
      </c>
      <c r="BC18" s="91">
        <f>'[15]RD ESFERA'!C18</f>
        <v>0.99977452156596369</v>
      </c>
      <c r="BD18" s="40">
        <f>'[15]RD ESFERA'!D18</f>
        <v>2.9741545618094651</v>
      </c>
      <c r="BE18" s="86">
        <f>'[15]RD ESFERA'!E18</f>
        <v>265.15171231767783</v>
      </c>
      <c r="BF18" s="101">
        <f>'[16]RD ESFERA'!B18</f>
        <v>58.086157910519994</v>
      </c>
      <c r="BG18" s="91">
        <f>'[16]RD ESFERA'!C18</f>
        <v>1.0051329005534393</v>
      </c>
      <c r="BH18" s="40">
        <f>'[16]RD ESFERA'!D18</f>
        <v>3.057518181782481</v>
      </c>
      <c r="BI18" s="86">
        <f>'[16]RD ESFERA'!E18</f>
        <v>286.46530476711672</v>
      </c>
      <c r="BJ18" s="101">
        <f>'[17]RD ESFERA'!B18</f>
        <v>61.105697847029994</v>
      </c>
      <c r="BK18" s="91">
        <f>'[17]RD ESFERA'!C18</f>
        <v>1.0191439063300614</v>
      </c>
      <c r="BL18" s="40">
        <f>'[17]RD ESFERA'!D18</f>
        <v>3.1033385447613737</v>
      </c>
      <c r="BM18" s="86">
        <f>'[17]RD ESFERA'!E18</f>
        <v>298.87749511144858</v>
      </c>
      <c r="BN18" s="101">
        <f>'[18]RD ESFERA'!B18</f>
        <v>69.910784809969996</v>
      </c>
      <c r="BO18" s="91">
        <f>'[18]RD ESFERA'!C18</f>
        <v>1.1155018035945847</v>
      </c>
      <c r="BP18" s="40">
        <f>'[18]RD ESFERA'!D18</f>
        <v>3.3511764385256866</v>
      </c>
      <c r="BQ18" s="86">
        <f>'[18]RD ESFERA'!E18</f>
        <v>339.2386404320502</v>
      </c>
      <c r="BR18" s="101">
        <f>'[19]RD ESFERA'!B18</f>
        <v>66.657570164069995</v>
      </c>
      <c r="BS18" s="91">
        <f>'[19]RD ESFERA'!C18</f>
        <v>1.0170761385635991</v>
      </c>
      <c r="BT18" s="40">
        <f>'[19]RD ESFERA'!D18</f>
        <v>3.0252080988841943</v>
      </c>
      <c r="BU18" s="86">
        <f>'[19]RD ESFERA'!E18</f>
        <v>320.99235270237085</v>
      </c>
      <c r="BV18" s="101">
        <f>'[20]RD ESFERA'!B18</f>
        <v>71.480906494440006</v>
      </c>
      <c r="BW18" s="91">
        <f>'[20]RD ESFERA'!C18</f>
        <v>1.0375828031807752</v>
      </c>
      <c r="BX18" s="40">
        <f>'[20]RD ESFERA'!D18</f>
        <v>3.0125135118466604</v>
      </c>
      <c r="BY18" s="86">
        <f>'[20]RD ESFERA'!E18</f>
        <v>342.84246998099235</v>
      </c>
      <c r="BZ18" s="101">
        <f>'[21]RD ESFERA'!B18</f>
        <v>77.94996489687</v>
      </c>
      <c r="CA18" s="91">
        <f>'[21]RD ESFERA'!C18</f>
        <v>1.0549273642173891</v>
      </c>
      <c r="CB18" s="40">
        <f>'[21]RD ESFERA'!D18</f>
        <v>3.121839345720081</v>
      </c>
      <c r="CC18" s="86">
        <f>'[21]RD ESFERA'!E18</f>
        <v>370.93043693493308</v>
      </c>
      <c r="CD18" s="101">
        <f>'[22]RD ESFERA'!B18</f>
        <v>74.422235744120002</v>
      </c>
      <c r="CE18" s="91">
        <f>'[22]RD ESFERA'!C18</f>
        <v>0.9780049553756921</v>
      </c>
      <c r="CF18" s="40">
        <f>'[22]RD ESFERA'!D18</f>
        <v>3.0357126270344659</v>
      </c>
      <c r="CG18" s="86">
        <f>'[22]RD ESFERA'!E18</f>
        <v>351.45329526310911</v>
      </c>
      <c r="CH18" s="101">
        <f>'[23]RD ESFERA'!B18</f>
        <v>100.42431180107998</v>
      </c>
      <c r="CI18" s="91">
        <f>'[23]RD ESFERA'!C18</f>
        <v>1.1285244709842202</v>
      </c>
      <c r="CJ18" s="40">
        <f>'[23]RD ESFERA'!D18</f>
        <v>3.2808049652877043</v>
      </c>
      <c r="CK18" s="86">
        <f>'[23]RD ESFERA'!E18</f>
        <v>470.77359505690004</v>
      </c>
      <c r="CL18" s="101">
        <f>'[24]RD ESFERA'!B18</f>
        <v>125.34089239819002</v>
      </c>
      <c r="CM18" s="91">
        <f>'[24]RD ESFERA'!C18</f>
        <v>1.2435012037905784</v>
      </c>
      <c r="CN18" s="40">
        <f>'[24]RD ESFERA'!D18</f>
        <v>3.5623422544058503</v>
      </c>
      <c r="CO18" s="86">
        <f>'[24]RD ESFERA'!E18</f>
        <v>617.19729070828362</v>
      </c>
      <c r="CP18" s="101">
        <f>'[25]RD ESFERA'!B18</f>
        <v>129.25830846370005</v>
      </c>
      <c r="CQ18" s="91">
        <f>'[25]RD ESFERA'!C18</f>
        <v>1.1811591453553874</v>
      </c>
      <c r="CR18" s="40">
        <f>'[25]RD ESFERA'!D18</f>
        <v>3.415928511589895</v>
      </c>
      <c r="CS18" s="86">
        <f>'[25]RD ESFERA'!E18</f>
        <v>621.93575153948814</v>
      </c>
      <c r="CT18" s="101">
        <f>'[26]RD ESFERA'!B18</f>
        <v>149.83112801600001</v>
      </c>
      <c r="CU18" s="91">
        <f>'[26]RD ESFERA'!C18</f>
        <v>1.2757329961602284</v>
      </c>
      <c r="CV18" s="40">
        <f>'[26]RD ESFERA'!D18</f>
        <v>3.5486321745652916</v>
      </c>
      <c r="CW18" s="86">
        <f>'[26]RD ESFERA'!E18</f>
        <v>704.80988323895872</v>
      </c>
    </row>
    <row r="19" spans="1:103" x14ac:dyDescent="0.25">
      <c r="A19" s="75" t="s">
        <v>51</v>
      </c>
      <c r="B19" s="101">
        <f>'[2]RD ESFERA'!B19</f>
        <v>1.4995355621599999</v>
      </c>
      <c r="C19" s="91">
        <f>'[2]RD ESFERA'!C19</f>
        <v>0.12471423630559246</v>
      </c>
      <c r="D19" s="40">
        <f>'[2]RD ESFERA'!D19</f>
        <v>0.40809780167882626</v>
      </c>
      <c r="E19" s="102">
        <f>'[2]RD ESFERA'!E19</f>
        <v>8.6454301625914596</v>
      </c>
      <c r="F19" s="101">
        <f>'[3]RD ESFERA'!B19</f>
        <v>1.6133132208999998</v>
      </c>
      <c r="G19" s="91">
        <f>'[3]RD ESFERA'!C19</f>
        <v>0.1226150173018533</v>
      </c>
      <c r="H19" s="40">
        <f>'[3]RD ESFERA'!D19</f>
        <v>0.38262210315247691</v>
      </c>
      <c r="I19" s="102">
        <f>'[3]RD ESFERA'!E19</f>
        <v>9.3014044705851493</v>
      </c>
      <c r="J19" s="101">
        <f>'[4]RD ESFERA'!B19</f>
        <v>1.5964021986300001</v>
      </c>
      <c r="K19" s="91">
        <f>'[4]RD ESFERA'!C19</f>
        <v>0.10722838113376863</v>
      </c>
      <c r="L19" s="40">
        <f>'[4]RD ESFERA'!D19</f>
        <v>0.32222895694557618</v>
      </c>
      <c r="M19" s="102">
        <f>'[4]RD ESFERA'!E19</f>
        <v>8.954660483931983</v>
      </c>
      <c r="N19" s="101">
        <f>'[5]RD ESFERA'!B19</f>
        <v>1.5332463194900003</v>
      </c>
      <c r="O19" s="91">
        <f>'[5]RD ESFERA'!C19</f>
        <v>8.9248599754940497E-2</v>
      </c>
      <c r="P19" s="40">
        <f>'[5]RD ESFERA'!D19</f>
        <v>0.27378671687876566</v>
      </c>
      <c r="Q19" s="102">
        <f>'[5]RD ESFERA'!E19</f>
        <v>8.4888378448309041</v>
      </c>
      <c r="R19" s="101">
        <f>'[6]RD ESFERA'!B19</f>
        <v>1.83051951995</v>
      </c>
      <c r="S19" s="91">
        <f>'[6]RD ESFERA'!C19</f>
        <v>9.3501140847329411E-2</v>
      </c>
      <c r="T19" s="40">
        <f>'[6]RD ESFERA'!D19</f>
        <v>0.278087549843827</v>
      </c>
      <c r="U19" s="102">
        <f>'[6]RD ESFERA'!E19</f>
        <v>10.007679397139229</v>
      </c>
      <c r="V19" s="101">
        <f>'[7]RD ESFERA'!B19</f>
        <v>2.0775161679599998</v>
      </c>
      <c r="W19" s="91">
        <f>'[7]RD ESFERA'!C19</f>
        <v>9.571226963975149E-2</v>
      </c>
      <c r="X19" s="40">
        <f>'[7]RD ESFERA'!D19</f>
        <v>0.27546531960546872</v>
      </c>
      <c r="Y19" s="102">
        <f>'[7]RD ESFERA'!E19</f>
        <v>11.220670397513688</v>
      </c>
      <c r="Z19" s="101">
        <f>'[8]RD ESFERA'!B19</f>
        <v>2.33975871094</v>
      </c>
      <c r="AA19" s="91">
        <f>'[8]RD ESFERA'!C19</f>
        <v>9.7107585172549762E-2</v>
      </c>
      <c r="AB19" s="40">
        <f>'[8]RD ESFERA'!D19</f>
        <v>0.28205639889442913</v>
      </c>
      <c r="AC19" s="102">
        <f>'[8]RD ESFERA'!E19</f>
        <v>12.48969493074863</v>
      </c>
      <c r="AD19" s="101">
        <f>'[9]RD ESFERA'!B19</f>
        <v>2.6665395407000001</v>
      </c>
      <c r="AE19" s="91">
        <f>'[9]RD ESFERA'!C19</f>
        <v>9.8025063778759636E-2</v>
      </c>
      <c r="AF19" s="40">
        <f>'[9]RD ESFERA'!D19</f>
        <v>0.28342733133943765</v>
      </c>
      <c r="AG19" s="102">
        <f>'[9]RD ESFERA'!E19</f>
        <v>14.07421495955762</v>
      </c>
      <c r="AH19" s="101">
        <f>'[10]RD ESFERA'!B19</f>
        <v>2.9510368648100003</v>
      </c>
      <c r="AI19" s="91">
        <f>'[10]RD ESFERA'!C19</f>
        <v>9.4894656182722845E-2</v>
      </c>
      <c r="AJ19" s="40">
        <f>'[10]RD ESFERA'!D19</f>
        <v>0.27302020498118146</v>
      </c>
      <c r="AK19" s="102">
        <f>'[10]RD ESFERA'!E19</f>
        <v>15.407504233838949</v>
      </c>
      <c r="AL19" s="101">
        <f>'[11]RD ESFERA'!B19</f>
        <v>2.2632126717799999</v>
      </c>
      <c r="AM19" s="91">
        <f>'[11]RD ESFERA'!C19</f>
        <v>6.7902375933194897E-2</v>
      </c>
      <c r="AN19" s="40">
        <f>'[11]RD ESFERA'!D19</f>
        <v>0.20474631363052889</v>
      </c>
      <c r="AO19" s="102">
        <f>'[11]RD ESFERA'!E19</f>
        <v>11.693532397178441</v>
      </c>
      <c r="AP19" s="101">
        <f>'[12]RD ESFERA'!B19</f>
        <v>2.9484068514999993</v>
      </c>
      <c r="AQ19" s="91">
        <f>'[12]RD ESFERA'!C19</f>
        <v>7.5875526017879724E-2</v>
      </c>
      <c r="AR19" s="40">
        <f>'[12]RD ESFERA'!D19</f>
        <v>0.2283175946225971</v>
      </c>
      <c r="AS19" s="102">
        <f>'[12]RD ESFERA'!E19</f>
        <v>15.081534916222095</v>
      </c>
      <c r="AT19" s="101">
        <f>'[13]RD ESFERA'!B19</f>
        <v>3.52816145234</v>
      </c>
      <c r="AU19" s="91">
        <f>'[13]RD ESFERA'!C19</f>
        <v>8.0618224193866078E-2</v>
      </c>
      <c r="AV19" s="40">
        <f>'[13]RD ESFERA'!D19</f>
        <v>0.23653473672562325</v>
      </c>
      <c r="AW19" s="102">
        <f>'[13]RD ESFERA'!E19</f>
        <v>17.873428322711543</v>
      </c>
      <c r="AX19" s="101">
        <f>'[14]RD ESFERA'!B19</f>
        <v>3.3935289805300002</v>
      </c>
      <c r="AY19" s="91">
        <f>'[14]RD ESFERA'!C19</f>
        <v>7.0481788926758548E-2</v>
      </c>
      <c r="AZ19" s="40">
        <f>'[14]RD ESFERA'!D19</f>
        <v>0.20716109534257648</v>
      </c>
      <c r="BA19" s="102">
        <f>'[14]RD ESFERA'!E19</f>
        <v>17.032157435045146</v>
      </c>
      <c r="BB19" s="101">
        <f>'[15]RD ESFERA'!B19</f>
        <v>3.5738400646499997</v>
      </c>
      <c r="BC19" s="91">
        <f>'[15]RD ESFERA'!C19</f>
        <v>6.7031047504519728E-2</v>
      </c>
      <c r="BD19" s="40">
        <f>'[15]RD ESFERA'!D19</f>
        <v>0.19940565739380145</v>
      </c>
      <c r="BE19" s="86">
        <f>'[15]RD ESFERA'!E19</f>
        <v>17.777405445812168</v>
      </c>
      <c r="BF19" s="101">
        <f>'[16]RD ESFERA'!B19</f>
        <v>3.8881014029800003</v>
      </c>
      <c r="BG19" s="91">
        <f>'[16]RD ESFERA'!C19</f>
        <v>6.7280377656298643E-2</v>
      </c>
      <c r="BH19" s="40">
        <f>'[16]RD ESFERA'!D19</f>
        <v>0.20466047609033369</v>
      </c>
      <c r="BI19" s="86">
        <f>'[16]RD ESFERA'!E19</f>
        <v>19.175070161911986</v>
      </c>
      <c r="BJ19" s="101">
        <f>'[17]RD ESFERA'!B19</f>
        <v>3.9417077312999997</v>
      </c>
      <c r="BK19" s="91">
        <f>'[17]RD ESFERA'!C19</f>
        <v>6.5741290197600416E-2</v>
      </c>
      <c r="BL19" s="40">
        <f>'[17]RD ESFERA'!D19</f>
        <v>0.20018515401541639</v>
      </c>
      <c r="BM19" s="86">
        <f>'[17]RD ESFERA'!E19</f>
        <v>19.279507062362025</v>
      </c>
      <c r="BN19" s="101">
        <f>'[18]RD ESFERA'!B19</f>
        <v>3.4075951514900003</v>
      </c>
      <c r="BO19" s="91">
        <f>'[18]RD ESFERA'!C19</f>
        <v>5.4371847601761877E-2</v>
      </c>
      <c r="BP19" s="40">
        <f>'[18]RD ESFERA'!D19</f>
        <v>0.16334321828524412</v>
      </c>
      <c r="BQ19" s="86">
        <f>'[18]RD ESFERA'!E19</f>
        <v>16.5351876606234</v>
      </c>
      <c r="BR19" s="101">
        <f>'[19]RD ESFERA'!B19</f>
        <v>3.7813824400199998</v>
      </c>
      <c r="BS19" s="91">
        <f>'[19]RD ESFERA'!C19</f>
        <v>5.7697180396185557E-2</v>
      </c>
      <c r="BT19" s="40">
        <f>'[19]RD ESFERA'!D19</f>
        <v>0.17161544824346336</v>
      </c>
      <c r="BU19" s="86">
        <f>'[19]RD ESFERA'!E19</f>
        <v>18.209407317155939</v>
      </c>
      <c r="BV19" s="101">
        <f>'[20]RD ESFERA'!B19</f>
        <v>4.4534328588599985</v>
      </c>
      <c r="BW19" s="91">
        <f>'[20]RD ESFERA'!C19</f>
        <v>6.4643910885947578E-2</v>
      </c>
      <c r="BX19" s="40">
        <f>'[20]RD ESFERA'!D19</f>
        <v>0.18768685680365826</v>
      </c>
      <c r="BY19" s="86">
        <f>'[20]RD ESFERA'!E19</f>
        <v>21.35991268304404</v>
      </c>
      <c r="BZ19" s="101">
        <f>'[21]RD ESFERA'!B19</f>
        <v>4.28148546167</v>
      </c>
      <c r="CA19" s="91">
        <f>'[21]RD ESFERA'!C19</f>
        <v>5.7943017408542352E-2</v>
      </c>
      <c r="CB19" s="40">
        <f>'[21]RD ESFERA'!D19</f>
        <v>0.17147037577314694</v>
      </c>
      <c r="CC19" s="86">
        <f>'[21]RD ESFERA'!E19</f>
        <v>20.373752254140999</v>
      </c>
      <c r="CD19" s="101">
        <f>'[22]RD ESFERA'!B19</f>
        <v>4.3779975203999983</v>
      </c>
      <c r="CE19" s="91">
        <f>'[22]RD ESFERA'!C19</f>
        <v>5.7532580508534138E-2</v>
      </c>
      <c r="CF19" s="40">
        <f>'[22]RD ESFERA'!D19</f>
        <v>0.17858026194616047</v>
      </c>
      <c r="CG19" s="86">
        <f>'[22]RD ESFERA'!E19</f>
        <v>20.674757212193374</v>
      </c>
      <c r="CH19" s="101">
        <f>'[23]RD ESFERA'!B19</f>
        <v>5.6970766560999992</v>
      </c>
      <c r="CI19" s="91">
        <f>'[23]RD ESFERA'!C19</f>
        <v>6.4021254456957707E-2</v>
      </c>
      <c r="CJ19" s="40">
        <f>'[23]RD ESFERA'!D19</f>
        <v>0.1861202436515631</v>
      </c>
      <c r="CK19" s="86">
        <f>'[23]RD ESFERA'!E19</f>
        <v>26.707011585197602</v>
      </c>
      <c r="CL19" s="101">
        <f>'[24]RD ESFERA'!B19</f>
        <v>4.9027154875600001</v>
      </c>
      <c r="CM19" s="91">
        <f>'[24]RD ESFERA'!C19</f>
        <v>4.8639613887986086E-2</v>
      </c>
      <c r="CN19" s="40">
        <f>'[24]RD ESFERA'!D19</f>
        <v>0.13934120149057733</v>
      </c>
      <c r="CO19" s="86">
        <f>'[24]RD ESFERA'!E19</f>
        <v>24.141703941460609</v>
      </c>
      <c r="CP19" s="101">
        <f>'[25]RD ESFERA'!B19</f>
        <v>4.6830612922799997</v>
      </c>
      <c r="CQ19" s="91">
        <f>'[25]RD ESFERA'!C19</f>
        <v>4.2793695348332286E-2</v>
      </c>
      <c r="CR19" s="40">
        <f>'[25]RD ESFERA'!D19</f>
        <v>0.12375995616803813</v>
      </c>
      <c r="CS19" s="86">
        <f>'[25]RD ESFERA'!E19</f>
        <v>22.53288998546342</v>
      </c>
      <c r="CT19" s="101">
        <f>'[26]RD ESFERA'!B19</f>
        <v>6.7654935690000002</v>
      </c>
      <c r="CU19" s="91">
        <f>'[26]RD ESFERA'!C19</f>
        <v>5.7604607904716915E-2</v>
      </c>
      <c r="CV19" s="40">
        <f>'[26]RD ESFERA'!D19</f>
        <v>0.16023538281847677</v>
      </c>
      <c r="CW19" s="86">
        <f>'[26]RD ESFERA'!E19</f>
        <v>31.825073972022793</v>
      </c>
    </row>
    <row r="20" spans="1:103" x14ac:dyDescent="0.25">
      <c r="A20" s="75" t="s">
        <v>40</v>
      </c>
      <c r="B20" s="101">
        <f>'[2]RD ESFERA'!B20</f>
        <v>4.5957626999999996E-4</v>
      </c>
      <c r="C20" s="91">
        <f>'[2]RD ESFERA'!C20</f>
        <v>3.8222303614235452E-5</v>
      </c>
      <c r="D20" s="40">
        <f>'[2]RD ESFERA'!D20</f>
        <v>1.2507343621820881E-4</v>
      </c>
      <c r="E20" s="102">
        <f>'[2]RD ESFERA'!E20</f>
        <v>2.6496434275596953E-3</v>
      </c>
      <c r="F20" s="101">
        <f>'[3]RD ESFERA'!B20</f>
        <v>3.3530299E-4</v>
      </c>
      <c r="G20" s="91">
        <f>'[3]RD ESFERA'!C20</f>
        <v>2.5483694912806711E-5</v>
      </c>
      <c r="H20" s="40">
        <f>'[3]RD ESFERA'!D20</f>
        <v>7.9522273520788404E-5</v>
      </c>
      <c r="I20" s="102">
        <f>'[3]RD ESFERA'!E20</f>
        <v>1.9331576099318928E-3</v>
      </c>
      <c r="J20" s="101">
        <f>'[4]RD ESFERA'!B20</f>
        <v>8.1384050000000009E-4</v>
      </c>
      <c r="K20" s="91">
        <f>'[4]RD ESFERA'!C20</f>
        <v>5.4664669962862386E-5</v>
      </c>
      <c r="L20" s="40">
        <f>'[4]RD ESFERA'!D20</f>
        <v>1.6427124421409454E-4</v>
      </c>
      <c r="M20" s="102">
        <f>'[4]RD ESFERA'!E20</f>
        <v>4.5650559563420639E-3</v>
      </c>
      <c r="N20" s="101">
        <f>'[5]RD ESFERA'!B20</f>
        <v>1.5838313400000001E-3</v>
      </c>
      <c r="O20" s="91">
        <f>'[5]RD ESFERA'!C20</f>
        <v>9.2193098751418843E-5</v>
      </c>
      <c r="P20" s="40">
        <f>'[5]RD ESFERA'!D20</f>
        <v>2.8281951644438575E-4</v>
      </c>
      <c r="Q20" s="102">
        <f>'[5]RD ESFERA'!E20</f>
        <v>8.7689024574299206E-3</v>
      </c>
      <c r="R20" s="101">
        <f>'[6]RD ESFERA'!B20</f>
        <v>2.2409092100000002E-3</v>
      </c>
      <c r="S20" s="91">
        <f>'[6]RD ESFERA'!C20</f>
        <v>1.1446344351247939E-4</v>
      </c>
      <c r="T20" s="40">
        <f>'[6]RD ESFERA'!D20</f>
        <v>3.4043283605540996E-4</v>
      </c>
      <c r="U20" s="102">
        <f>'[6]RD ESFERA'!E20</f>
        <v>1.22513312135503E-2</v>
      </c>
      <c r="V20" s="101">
        <f>'[7]RD ESFERA'!B20</f>
        <v>9.0932405999999996E-4</v>
      </c>
      <c r="W20" s="91">
        <f>'[7]RD ESFERA'!C20</f>
        <v>4.1893040816185501E-5</v>
      </c>
      <c r="X20" s="40">
        <f>'[7]RD ESFERA'!D20</f>
        <v>1.2057053835533146E-4</v>
      </c>
      <c r="Y20" s="102">
        <f>'[7]RD ESFERA'!E20</f>
        <v>4.9112616879453388E-3</v>
      </c>
      <c r="Z20" s="101">
        <f>'[8]RD ESFERA'!B20</f>
        <v>1.04709193E-3</v>
      </c>
      <c r="AA20" s="91">
        <f>'[8]RD ESFERA'!C20</f>
        <v>4.3457715661250497E-5</v>
      </c>
      <c r="AB20" s="40">
        <f>'[8]RD ESFERA'!D20</f>
        <v>1.2622625474426164E-4</v>
      </c>
      <c r="AC20" s="102">
        <f>'[8]RD ESFERA'!E20</f>
        <v>5.5894048856408602E-3</v>
      </c>
      <c r="AD20" s="101">
        <f>'[9]RD ESFERA'!B20</f>
        <v>1.1869131799999999E-3</v>
      </c>
      <c r="AE20" s="91">
        <f>'[9]RD ESFERA'!C20</f>
        <v>4.3632295112641679E-5</v>
      </c>
      <c r="AF20" s="40">
        <f>'[9]RD ESFERA'!D20</f>
        <v>1.26157377381584E-4</v>
      </c>
      <c r="AG20" s="102">
        <f>'[9]RD ESFERA'!E20</f>
        <v>6.2646253613276122E-3</v>
      </c>
      <c r="AH20" s="101">
        <f>'[10]RD ESFERA'!B20</f>
        <v>1.3266359799999998E-3</v>
      </c>
      <c r="AI20" s="91">
        <f>'[10]RD ESFERA'!C20</f>
        <v>4.2659807711292319E-5</v>
      </c>
      <c r="AJ20" s="40">
        <f>'[10]RD ESFERA'!D20</f>
        <v>1.227359886669292E-4</v>
      </c>
      <c r="AK20" s="102">
        <f>'[10]RD ESFERA'!E20</f>
        <v>6.9264297313104215E-3</v>
      </c>
      <c r="AL20" s="101">
        <f>'[11]RD ESFERA'!B20</f>
        <v>1.5336054999999999E-3</v>
      </c>
      <c r="AM20" s="91">
        <f>'[11]RD ESFERA'!C20</f>
        <v>4.6012227879721772E-5</v>
      </c>
      <c r="AN20" s="40">
        <f>'[11]RD ESFERA'!D20</f>
        <v>1.3874086010730281E-4</v>
      </c>
      <c r="AO20" s="102">
        <f>'[11]RD ESFERA'!E20</f>
        <v>7.9238092921407443E-3</v>
      </c>
      <c r="AP20" s="101">
        <f>'[12]RD ESFERA'!B20</f>
        <v>1.27825432E-3</v>
      </c>
      <c r="AQ20" s="91">
        <f>'[12]RD ESFERA'!C20</f>
        <v>3.2895127368627739E-5</v>
      </c>
      <c r="AR20" s="40">
        <f>'[12]RD ESFERA'!D20</f>
        <v>9.8984965901115763E-5</v>
      </c>
      <c r="AS20" s="102">
        <f>'[12]RD ESFERA'!E20</f>
        <v>6.5384589474427688E-3</v>
      </c>
      <c r="AT20" s="101">
        <f>'[13]RD ESFERA'!B20</f>
        <v>2.0788012800000001E-3</v>
      </c>
      <c r="AU20" s="91">
        <f>'[13]RD ESFERA'!C20</f>
        <v>4.7500453114010623E-5</v>
      </c>
      <c r="AV20" s="40">
        <f>'[13]RD ESFERA'!D20</f>
        <v>1.3936684024013987E-4</v>
      </c>
      <c r="AW20" s="102">
        <f>'[13]RD ESFERA'!E20</f>
        <v>1.0531067293022634E-2</v>
      </c>
      <c r="AX20" s="101">
        <f>'[14]RD ESFERA'!B20</f>
        <v>3.2401432699999998E-3</v>
      </c>
      <c r="AY20" s="91">
        <f>'[14]RD ESFERA'!C20</f>
        <v>6.7296049439639761E-5</v>
      </c>
      <c r="AZ20" s="40">
        <f>'[14]RD ESFERA'!D20</f>
        <v>1.9779752367850555E-4</v>
      </c>
      <c r="BA20" s="102">
        <f>'[14]RD ESFERA'!E20</f>
        <v>1.6262312950138108E-2</v>
      </c>
      <c r="BB20" s="101">
        <f>'[15]RD ESFERA'!B20</f>
        <v>3.43706998E-3</v>
      </c>
      <c r="BC20" s="91">
        <f>'[15]RD ESFERA'!C20</f>
        <v>6.4465783845394815E-5</v>
      </c>
      <c r="BD20" s="40">
        <f>'[15]RD ESFERA'!D20</f>
        <v>1.9177444610620013E-4</v>
      </c>
      <c r="BE20" s="86">
        <f>'[15]RD ESFERA'!E20</f>
        <v>1.7097067992625319E-2</v>
      </c>
      <c r="BF20" s="101">
        <f>'[16]RD ESFERA'!B20</f>
        <v>2.9357842100000003E-3</v>
      </c>
      <c r="BG20" s="91">
        <f>'[16]RD ESFERA'!C20</f>
        <v>5.080131660527435E-5</v>
      </c>
      <c r="BH20" s="40">
        <f>'[16]RD ESFERA'!D20</f>
        <v>1.5453274795162918E-4</v>
      </c>
      <c r="BI20" s="86">
        <f>'[16]RD ESFERA'!E20</f>
        <v>1.4478497953740977E-2</v>
      </c>
      <c r="BJ20" s="101">
        <f>'[17]RD ESFERA'!B20</f>
        <v>5.1951533299999996E-3</v>
      </c>
      <c r="BK20" s="91">
        <f>'[17]RD ESFERA'!C20</f>
        <v>8.6646729278408316E-5</v>
      </c>
      <c r="BL20" s="40">
        <f>'[17]RD ESFERA'!D20</f>
        <v>2.6384314626918246E-4</v>
      </c>
      <c r="BM20" s="86">
        <f>'[17]RD ESFERA'!E20</f>
        <v>2.5410304909328021E-2</v>
      </c>
      <c r="BN20" s="101">
        <f>'[18]RD ESFERA'!B20</f>
        <v>9.0168847599999997E-3</v>
      </c>
      <c r="BO20" s="91">
        <f>'[18]RD ESFERA'!C20</f>
        <v>1.4387409953878962E-4</v>
      </c>
      <c r="BP20" s="40">
        <f>'[18]RD ESFERA'!D20</f>
        <v>4.3222475385949408E-4</v>
      </c>
      <c r="BQ20" s="86">
        <f>'[18]RD ESFERA'!E20</f>
        <v>4.3753989248288994E-2</v>
      </c>
      <c r="BR20" s="101">
        <f>'[19]RD ESFERA'!B20</f>
        <v>5.3314022400000015E-3</v>
      </c>
      <c r="BS20" s="91">
        <f>'[19]RD ESFERA'!C20</f>
        <v>8.1347729748351203E-5</v>
      </c>
      <c r="BT20" s="40">
        <f>'[19]RD ESFERA'!D20</f>
        <v>2.4196203364687055E-4</v>
      </c>
      <c r="BU20" s="86">
        <f>'[19]RD ESFERA'!E20</f>
        <v>2.5673593321929141E-2</v>
      </c>
      <c r="BV20" s="101">
        <f>'[20]RD ESFERA'!B20</f>
        <v>4.6462816600000003E-3</v>
      </c>
      <c r="BW20" s="91">
        <f>'[20]RD ESFERA'!C20</f>
        <v>6.7443212258719876E-5</v>
      </c>
      <c r="BX20" s="40">
        <f>'[20]RD ESFERA'!D20</f>
        <v>1.9581433654152186E-4</v>
      </c>
      <c r="BY20" s="86">
        <f>'[20]RD ESFERA'!E20</f>
        <v>2.2284869605923217E-2</v>
      </c>
      <c r="BZ20" s="101">
        <f>'[21]RD ESFERA'!B20</f>
        <v>7.6850099200000003E-3</v>
      </c>
      <c r="CA20" s="91">
        <f>'[21]RD ESFERA'!C20</f>
        <v>1.0400424515413247E-4</v>
      </c>
      <c r="CB20" s="40">
        <f>'[21]RD ESFERA'!D20</f>
        <v>3.0777905252743075E-4</v>
      </c>
      <c r="CC20" s="86">
        <f>'[21]RD ESFERA'!E20</f>
        <v>3.6569664800315496E-2</v>
      </c>
      <c r="CD20" s="101">
        <f>'[22]RD ESFERA'!B20</f>
        <v>1.8525921970000001E-2</v>
      </c>
      <c r="CE20" s="91">
        <f>'[22]RD ESFERA'!C20</f>
        <v>2.4345470555142411E-4</v>
      </c>
      <c r="CF20" s="40">
        <f>'[22]RD ESFERA'!D20</f>
        <v>7.5567973320698892E-4</v>
      </c>
      <c r="CG20" s="86">
        <f>'[22]RD ESFERA'!E20</f>
        <v>8.7487244357048979E-2</v>
      </c>
      <c r="CH20" s="101">
        <f>'[23]RD ESFERA'!B20</f>
        <v>2.3266581969999998E-2</v>
      </c>
      <c r="CI20" s="91">
        <f>'[23]RD ESFERA'!C20</f>
        <v>2.614596668714525E-4</v>
      </c>
      <c r="CJ20" s="40">
        <f>'[23]RD ESFERA'!D20</f>
        <v>7.6010595724718209E-4</v>
      </c>
      <c r="CK20" s="86">
        <f>'[23]RD ESFERA'!E20</f>
        <v>0.10907012696685621</v>
      </c>
      <c r="CL20" s="101">
        <f>'[24]RD ESFERA'!B20</f>
        <v>2.233744E-2</v>
      </c>
      <c r="CM20" s="91">
        <f>'[24]RD ESFERA'!C20</f>
        <v>2.2160871043870858E-4</v>
      </c>
      <c r="CN20" s="40">
        <f>'[24]RD ESFERA'!D20</f>
        <v>6.3485750615578434E-4</v>
      </c>
      <c r="CO20" s="86">
        <f>'[24]RD ESFERA'!E20</f>
        <v>0.10999289366442973</v>
      </c>
      <c r="CP20" s="101">
        <f>'[25]RD ESFERA'!B20</f>
        <v>1.3154239869999997E-2</v>
      </c>
      <c r="CQ20" s="91">
        <f>'[25]RD ESFERA'!C20</f>
        <v>1.2020311040208549E-4</v>
      </c>
      <c r="CR20" s="40">
        <f>'[25]RD ESFERA'!D20</f>
        <v>3.4762905034336307E-4</v>
      </c>
      <c r="CS20" s="86">
        <f>'[25]RD ESFERA'!E20</f>
        <v>6.3292581782289567E-2</v>
      </c>
      <c r="CT20" s="101">
        <f>'[26]RD ESFERA'!B20</f>
        <v>3.6919629999999999E-3</v>
      </c>
      <c r="CU20" s="91">
        <f>'[26]RD ESFERA'!C20</f>
        <v>3.1435116868370253E-5</v>
      </c>
      <c r="CV20" s="40">
        <f>'[26]RD ESFERA'!D20</f>
        <v>8.7441233758218354E-5</v>
      </c>
      <c r="CW20" s="86">
        <f>'[26]RD ESFERA'!E20</f>
        <v>1.7367098849277049E-2</v>
      </c>
    </row>
    <row r="21" spans="1:103" x14ac:dyDescent="0.25">
      <c r="A21" s="75" t="s">
        <v>41</v>
      </c>
      <c r="B21" s="101">
        <f>'[2]RD ESFERA'!B21</f>
        <v>2.4362237896999996</v>
      </c>
      <c r="C21" s="91">
        <f>'[2]RD ESFERA'!C21</f>
        <v>0.20261726168354319</v>
      </c>
      <c r="D21" s="40">
        <f>'[2]RD ESFERA'!D21</f>
        <v>0.66301700210571346</v>
      </c>
      <c r="E21" s="102">
        <f>'[2]RD ESFERA'!E21</f>
        <v>14.045817362248007</v>
      </c>
      <c r="F21" s="101">
        <f>'[3]RD ESFERA'!B21</f>
        <v>2.2893559663200005</v>
      </c>
      <c r="G21" s="91">
        <f>'[3]RD ESFERA'!C21</f>
        <v>0.17399561212535769</v>
      </c>
      <c r="H21" s="40">
        <f>'[3]RD ESFERA'!D21</f>
        <v>0.54295606293325305</v>
      </c>
      <c r="I21" s="102">
        <f>'[3]RD ESFERA'!E21</f>
        <v>13.19906484619923</v>
      </c>
      <c r="J21" s="101">
        <f>'[4]RD ESFERA'!B21</f>
        <v>2.5266022246599995</v>
      </c>
      <c r="K21" s="91">
        <f>'[4]RD ESFERA'!C21</f>
        <v>0.16970877799577774</v>
      </c>
      <c r="L21" s="40">
        <f>'[4]RD ESFERA'!D21</f>
        <v>0.50998701966662674</v>
      </c>
      <c r="M21" s="102">
        <f>'[4]RD ESFERA'!E21</f>
        <v>14.172409132982736</v>
      </c>
      <c r="N21" s="101">
        <f>'[5]RD ESFERA'!B21</f>
        <v>2.4247316003599995</v>
      </c>
      <c r="O21" s="91">
        <f>'[5]RD ESFERA'!C21</f>
        <v>0.14114098782618817</v>
      </c>
      <c r="P21" s="40">
        <f>'[5]RD ESFERA'!D21</f>
        <v>0.43297629072123095</v>
      </c>
      <c r="Q21" s="102">
        <f>'[5]RD ESFERA'!E21</f>
        <v>13.424557496762743</v>
      </c>
      <c r="R21" s="101">
        <f>'[6]RD ESFERA'!B21</f>
        <v>2.1733504447199992</v>
      </c>
      <c r="S21" s="91">
        <f>'[6]RD ESFERA'!C21</f>
        <v>0.11101260807528635</v>
      </c>
      <c r="T21" s="40">
        <f>'[6]RD ESFERA'!D21</f>
        <v>0.33016949206894269</v>
      </c>
      <c r="U21" s="102">
        <f>'[6]RD ESFERA'!E21</f>
        <v>11.881978985387612</v>
      </c>
      <c r="V21" s="101">
        <f>'[7]RD ESFERA'!B21</f>
        <v>2.1733504447200001</v>
      </c>
      <c r="W21" s="91">
        <f>'[7]RD ESFERA'!C21</f>
        <v>0.10012740550220332</v>
      </c>
      <c r="X21" s="40">
        <f>'[7]RD ESFERA'!D21</f>
        <v>0.28817233006535586</v>
      </c>
      <c r="Y21" s="102">
        <f>'[7]RD ESFERA'!E21</f>
        <v>11.738271583435614</v>
      </c>
      <c r="Z21" s="101">
        <f>'[8]RD ESFERA'!B21</f>
        <v>1.2464804028699998</v>
      </c>
      <c r="AA21" s="91">
        <f>'[8]RD ESFERA'!C21</f>
        <v>5.1732984825167569E-2</v>
      </c>
      <c r="AB21" s="40">
        <f>'[8]RD ESFERA'!D21</f>
        <v>0.15026240615415543</v>
      </c>
      <c r="AC21" s="102">
        <f>'[8]RD ESFERA'!E21</f>
        <v>6.6537459167096875</v>
      </c>
      <c r="AD21" s="101">
        <f>'[9]RD ESFERA'!B21</f>
        <v>1.2221373735299996</v>
      </c>
      <c r="AE21" s="91">
        <f>'[9]RD ESFERA'!C21</f>
        <v>4.4927177024059795E-2</v>
      </c>
      <c r="AF21" s="40">
        <f>'[9]RD ESFERA'!D21</f>
        <v>0.12990136805504346</v>
      </c>
      <c r="AG21" s="102">
        <f>'[9]RD ESFERA'!E21</f>
        <v>6.4505415511877242</v>
      </c>
      <c r="AH21" s="101">
        <f>'[10]RD ESFERA'!B21</f>
        <v>1.1976477002100001</v>
      </c>
      <c r="AI21" s="91">
        <f>'[10]RD ESFERA'!C21</f>
        <v>3.8512011860879942E-2</v>
      </c>
      <c r="AJ21" s="40">
        <f>'[10]RD ESFERA'!D21</f>
        <v>0.11080241812825582</v>
      </c>
      <c r="AK21" s="102">
        <f>'[10]RD ESFERA'!E21</f>
        <v>6.2529757698642374</v>
      </c>
      <c r="AL21" s="101">
        <f>'[11]RD ESFERA'!B21</f>
        <v>1.1731580264400001</v>
      </c>
      <c r="AM21" s="91">
        <f>'[11]RD ESFERA'!C21</f>
        <v>3.5197848763245797E-2</v>
      </c>
      <c r="AN21" s="40">
        <f>'[11]RD ESFERA'!D21</f>
        <v>0.1061322182465253</v>
      </c>
      <c r="AO21" s="102">
        <f>'[11]RD ESFERA'!E21</f>
        <v>6.0614548337592478</v>
      </c>
      <c r="AP21" s="101">
        <f>'[12]RD ESFERA'!B21</f>
        <v>1.1731580264400001</v>
      </c>
      <c r="AQ21" s="91">
        <f>'[12]RD ESFERA'!C21</f>
        <v>3.0190535716923494E-2</v>
      </c>
      <c r="AR21" s="40">
        <f>'[12]RD ESFERA'!D21</f>
        <v>9.0846559582746955E-2</v>
      </c>
      <c r="AS21" s="102">
        <f>'[12]RD ESFERA'!E21</f>
        <v>6.0008759405099594</v>
      </c>
      <c r="AT21" s="101">
        <f>'[13]RD ESFERA'!B21</f>
        <v>1.1731580264400001</v>
      </c>
      <c r="AU21" s="91">
        <f>'[13]RD ESFERA'!C21</f>
        <v>2.6806572790949241E-2</v>
      </c>
      <c r="AV21" s="40">
        <f>'[13]RD ESFERA'!D21</f>
        <v>7.865077283736388E-2</v>
      </c>
      <c r="AW21" s="102">
        <f>'[13]RD ESFERA'!E21</f>
        <v>5.9431395586735762</v>
      </c>
      <c r="AX21" s="101">
        <f>'[14]RD ESFERA'!B21</f>
        <v>1.1731580264400001</v>
      </c>
      <c r="AY21" s="91">
        <f>'[14]RD ESFERA'!C21</f>
        <v>2.4365867175934006E-2</v>
      </c>
      <c r="AZ21" s="40">
        <f>'[14]RD ESFERA'!D21</f>
        <v>7.1616509881488918E-2</v>
      </c>
      <c r="BA21" s="102">
        <f>'[14]RD ESFERA'!E21</f>
        <v>5.8880924009059878</v>
      </c>
      <c r="BB21" s="101">
        <f>'[15]RD ESFERA'!B21</f>
        <v>1.1731580259600001</v>
      </c>
      <c r="BC21" s="91">
        <f>'[15]RD ESFERA'!C21</f>
        <v>2.20037858286573E-2</v>
      </c>
      <c r="BD21" s="40">
        <f>'[15]RD ESFERA'!D21</f>
        <v>6.545741923576491E-2</v>
      </c>
      <c r="BE21" s="86">
        <f>'[15]RD ESFERA'!E21</f>
        <v>5.8356573048105993</v>
      </c>
      <c r="BF21" s="101">
        <f>'[16]RD ESFERA'!B21</f>
        <v>1.1731580264400001</v>
      </c>
      <c r="BG21" s="91">
        <f>'[16]RD ESFERA'!C21</f>
        <v>2.0300528944256858E-2</v>
      </c>
      <c r="BH21" s="40">
        <f>'[16]RD ESFERA'!D21</f>
        <v>6.1752268095781888E-2</v>
      </c>
      <c r="BI21" s="86">
        <f>'[16]RD ESFERA'!E21</f>
        <v>5.7856997892996844</v>
      </c>
      <c r="BJ21" s="101">
        <f>'[17]RD ESFERA'!B21</f>
        <v>1.1731580259600001</v>
      </c>
      <c r="BK21" s="91">
        <f>'[17]RD ESFERA'!C21</f>
        <v>1.9566372620641793E-2</v>
      </c>
      <c r="BL21" s="40">
        <f>'[17]RD ESFERA'!D21</f>
        <v>5.9580475296622214E-2</v>
      </c>
      <c r="BM21" s="86">
        <f>'[17]RD ESFERA'!E21</f>
        <v>5.7380988111218958</v>
      </c>
      <c r="BN21" s="101">
        <f>'[18]RD ESFERA'!B21</f>
        <v>1.1731580264400001</v>
      </c>
      <c r="BO21" s="91">
        <f>'[18]RD ESFERA'!C21</f>
        <v>1.8718998763244545E-2</v>
      </c>
      <c r="BP21" s="40">
        <f>'[18]RD ESFERA'!D21</f>
        <v>5.6235379813850364E-2</v>
      </c>
      <c r="BQ21" s="86">
        <f>'[18]RD ESFERA'!E21</f>
        <v>5.6926915494259571</v>
      </c>
      <c r="BR21" s="101">
        <f>'[19]RD ESFERA'!B21</f>
        <v>1.1731580264400001</v>
      </c>
      <c r="BS21" s="91">
        <f>'[19]RD ESFERA'!C21</f>
        <v>1.7900307984818301E-2</v>
      </c>
      <c r="BT21" s="40">
        <f>'[19]RD ESFERA'!D21</f>
        <v>5.3242972315398124E-2</v>
      </c>
      <c r="BU21" s="86">
        <f>'[19]RD ESFERA'!E21</f>
        <v>5.6493921706379346</v>
      </c>
      <c r="BV21" s="101">
        <f>'[20]RD ESFERA'!B21</f>
        <v>1.1490932464800001</v>
      </c>
      <c r="BW21" s="91">
        <f>'[20]RD ESFERA'!C21</f>
        <v>1.6679690427422813E-2</v>
      </c>
      <c r="BX21" s="40">
        <f>'[20]RD ESFERA'!D21</f>
        <v>4.8427742472208352E-2</v>
      </c>
      <c r="BY21" s="86">
        <f>'[20]RD ESFERA'!E21</f>
        <v>5.5113734028026586</v>
      </c>
      <c r="BZ21" s="101">
        <f>'[21]RD ESFERA'!B21</f>
        <v>0</v>
      </c>
      <c r="CA21" s="91">
        <f>'[21]RD ESFERA'!C21</f>
        <v>0</v>
      </c>
      <c r="CB21" s="40">
        <f>'[21]RD ESFERA'!D21</f>
        <v>0</v>
      </c>
      <c r="CC21" s="86">
        <f>'[21]RD ESFERA'!E21</f>
        <v>0</v>
      </c>
      <c r="CD21" s="101">
        <f>'[22]RD ESFERA'!B21</f>
        <v>2.4888257999999999</v>
      </c>
      <c r="CE21" s="91">
        <f>'[22]RD ESFERA'!C21</f>
        <v>3.2706407448383927E-2</v>
      </c>
      <c r="CF21" s="40">
        <f>'[22]RD ESFERA'!D21</f>
        <v>0.10152019530192756</v>
      </c>
      <c r="CG21" s="86">
        <f>'[22]RD ESFERA'!E21</f>
        <v>11.753288785266749</v>
      </c>
      <c r="CH21" s="101">
        <f>'[23]RD ESFERA'!B21</f>
        <v>3.5111741999999997</v>
      </c>
      <c r="CI21" s="91">
        <f>'[23]RD ESFERA'!C21</f>
        <v>3.9457039192235019E-2</v>
      </c>
      <c r="CJ21" s="40">
        <f>'[23]RD ESFERA'!D21</f>
        <v>0.11470805766802578</v>
      </c>
      <c r="CK21" s="86">
        <f>'[23]RD ESFERA'!E21</f>
        <v>16.459839966633044</v>
      </c>
      <c r="CL21" s="101">
        <f>'[24]RD ESFERA'!B21</f>
        <v>2.9999999999999996</v>
      </c>
      <c r="CM21" s="91">
        <f>'[24]RD ESFERA'!C21</f>
        <v>2.9762861425307714E-2</v>
      </c>
      <c r="CN21" s="40">
        <f>'[24]RD ESFERA'!D21</f>
        <v>8.5263688160655493E-2</v>
      </c>
      <c r="CO21" s="86">
        <f>'[24]RD ESFERA'!E21</f>
        <v>14.772448453953951</v>
      </c>
      <c r="CP21" s="101">
        <f>'[25]RD ESFERA'!B21</f>
        <v>3</v>
      </c>
      <c r="CQ21" s="91">
        <f>'[25]RD ESFERA'!C21</f>
        <v>2.7413923934036986E-2</v>
      </c>
      <c r="CR21" s="40">
        <f>'[25]RD ESFERA'!D21</f>
        <v>7.9281445475882881E-2</v>
      </c>
      <c r="CS21" s="86">
        <f>'[25]RD ESFERA'!E21</f>
        <v>14.434718176297689</v>
      </c>
      <c r="CT21" s="101">
        <f>'[26]RD ESFERA'!B21</f>
        <v>3</v>
      </c>
      <c r="CU21" s="91">
        <f>'[26]RD ESFERA'!C21</f>
        <v>2.5543417039962418E-2</v>
      </c>
      <c r="CV21" s="40">
        <f>'[26]RD ESFERA'!D21</f>
        <v>7.1052635488127888E-2</v>
      </c>
      <c r="CW21" s="86">
        <f>'[26]RD ESFERA'!E21</f>
        <v>14.112085236994831</v>
      </c>
    </row>
    <row r="22" spans="1:103" x14ac:dyDescent="0.25">
      <c r="A22" s="75" t="s">
        <v>119</v>
      </c>
      <c r="B22" s="101">
        <f>'[2]RD ESFERA'!B22</f>
        <v>2.8244539292999997</v>
      </c>
      <c r="C22" s="91">
        <f>'[2]RD ESFERA'!C22</f>
        <v>0.23490580927976309</v>
      </c>
      <c r="D22" s="40">
        <f>'[2]RD ESFERA'!D22</f>
        <v>0.7686736270729837</v>
      </c>
      <c r="E22" s="102">
        <f>'[2]RD ESFERA'!E22</f>
        <v>16.28412143693777</v>
      </c>
      <c r="F22" s="101">
        <f>'[3]RD ESFERA'!B22</f>
        <v>3.0724365903699997</v>
      </c>
      <c r="G22" s="91">
        <f>'[3]RD ESFERA'!C22</f>
        <v>0.23351129886415017</v>
      </c>
      <c r="H22" s="40">
        <f>'[3]RD ESFERA'!D22</f>
        <v>0.7286757058583988</v>
      </c>
      <c r="I22" s="102">
        <f>'[3]RD ESFERA'!E22</f>
        <v>17.713841966356945</v>
      </c>
      <c r="J22" s="101">
        <f>'[4]RD ESFERA'!B22</f>
        <v>3.5418165469100007</v>
      </c>
      <c r="K22" s="91">
        <f>'[4]RD ESFERA'!C22</f>
        <v>0.23789948104799416</v>
      </c>
      <c r="L22" s="40">
        <f>'[4]RD ESFERA'!D22</f>
        <v>0.71490496103225853</v>
      </c>
      <c r="M22" s="102">
        <f>'[4]RD ESFERA'!E22</f>
        <v>19.867026430538143</v>
      </c>
      <c r="N22" s="101">
        <f>'[5]RD ESFERA'!B22</f>
        <v>3.5056670477099998</v>
      </c>
      <c r="O22" s="91">
        <f>'[5]RD ESFERA'!C22</f>
        <v>0.20406106392560899</v>
      </c>
      <c r="P22" s="40">
        <f>'[5]RD ESFERA'!D22</f>
        <v>0.62599535329838818</v>
      </c>
      <c r="Q22" s="102">
        <f>'[5]RD ESFERA'!E22</f>
        <v>19.409170416842056</v>
      </c>
      <c r="R22" s="101">
        <f>'[6]RD ESFERA'!B22</f>
        <v>3.6202345192699998</v>
      </c>
      <c r="S22" s="91">
        <f>'[6]RD ESFERA'!C22</f>
        <v>0.18491802682108194</v>
      </c>
      <c r="T22" s="40">
        <f>'[6]RD ESFERA'!D22</f>
        <v>0.54997618782635982</v>
      </c>
      <c r="U22" s="102">
        <f>'[6]RD ESFERA'!E22</f>
        <v>19.79227537125648</v>
      </c>
      <c r="V22" s="101">
        <f>'[7]RD ESFERA'!B22</f>
        <v>4.2623164093199994</v>
      </c>
      <c r="W22" s="91">
        <f>'[7]RD ESFERA'!C22</f>
        <v>0.19636717333437756</v>
      </c>
      <c r="X22" s="40">
        <f>'[7]RD ESFERA'!D22</f>
        <v>0.56515581927137792</v>
      </c>
      <c r="Y22" s="102">
        <f>'[7]RD ESFERA'!E22</f>
        <v>23.020782363323868</v>
      </c>
      <c r="Z22" s="101">
        <f>'[8]RD ESFERA'!B22</f>
        <v>4.3868471945799987</v>
      </c>
      <c r="AA22" s="91">
        <f>'[8]RD ESFERA'!C22</f>
        <v>0.18206840542779468</v>
      </c>
      <c r="AB22" s="40">
        <f>'[8]RD ESFERA'!D22</f>
        <v>0.52883159123115808</v>
      </c>
      <c r="AC22" s="102">
        <f>'[8]RD ESFERA'!E22</f>
        <v>23.417108316311204</v>
      </c>
      <c r="AD22" s="101">
        <f>'[9]RD ESFERA'!B22</f>
        <v>6.5246134446700008</v>
      </c>
      <c r="AE22" s="91">
        <f>'[9]RD ESFERA'!C22</f>
        <v>0.23985230268801219</v>
      </c>
      <c r="AF22" s="40">
        <f>'[9]RD ESFERA'!D22</f>
        <v>0.69350322709213663</v>
      </c>
      <c r="AG22" s="102">
        <f>'[9]RD ESFERA'!E22</f>
        <v>34.437446265731758</v>
      </c>
      <c r="AH22" s="101">
        <f>'[10]RD ESFERA'!B22</f>
        <v>7.704293186180001</v>
      </c>
      <c r="AI22" s="91">
        <f>'[10]RD ESFERA'!C22</f>
        <v>0.24774216200125865</v>
      </c>
      <c r="AJ22" s="40">
        <f>'[10]RD ESFERA'!D22</f>
        <v>0.71277581449712279</v>
      </c>
      <c r="AK22" s="102">
        <f>'[10]RD ESFERA'!E22</f>
        <v>40.224482215151042</v>
      </c>
      <c r="AL22" s="101">
        <f>'[11]RD ESFERA'!B22</f>
        <v>10.68170115489</v>
      </c>
      <c r="AM22" s="91">
        <f>'[11]RD ESFERA'!C22</f>
        <v>0.32047933297180137</v>
      </c>
      <c r="AN22" s="40">
        <f>'[11]RD ESFERA'!D22</f>
        <v>0.96634265176970768</v>
      </c>
      <c r="AO22" s="102">
        <f>'[11]RD ESFERA'!E22</f>
        <v>55.190049114317787</v>
      </c>
      <c r="AP22" s="101">
        <f>'[12]RD ESFERA'!B22</f>
        <v>11.27740696831</v>
      </c>
      <c r="AQ22" s="91">
        <f>'[12]RD ESFERA'!C22</f>
        <v>0.29021747300678591</v>
      </c>
      <c r="AR22" s="40">
        <f>'[12]RD ESFERA'!D22</f>
        <v>0.87329549898268344</v>
      </c>
      <c r="AS22" s="102">
        <f>'[12]RD ESFERA'!E22</f>
        <v>57.685596162037569</v>
      </c>
      <c r="AT22" s="101">
        <f>'[13]RD ESFERA'!B22</f>
        <v>14.507745195920002</v>
      </c>
      <c r="AU22" s="91">
        <f>'[13]RD ESFERA'!C22</f>
        <v>0.33150088808335293</v>
      </c>
      <c r="AV22" s="40">
        <f>'[13]RD ESFERA'!D22</f>
        <v>0.97262717048377001</v>
      </c>
      <c r="AW22" s="102">
        <f>'[13]RD ESFERA'!E22</f>
        <v>73.4952601762201</v>
      </c>
      <c r="AX22" s="101">
        <f>'[14]RD ESFERA'!B22</f>
        <v>12.16088671068</v>
      </c>
      <c r="AY22" s="91">
        <f>'[14]RD ESFERA'!C22</f>
        <v>0.2525751379233856</v>
      </c>
      <c r="AZ22" s="40">
        <f>'[14]RD ESFERA'!D22</f>
        <v>0.74237250536990951</v>
      </c>
      <c r="BA22" s="102">
        <f>'[14]RD ESFERA'!E22</f>
        <v>61.035617551644187</v>
      </c>
      <c r="BB22" s="101">
        <f>'[15]RD ESFERA'!B22</f>
        <v>15.250968122279998</v>
      </c>
      <c r="BC22" s="91">
        <f>'[15]RD ESFERA'!C22</f>
        <v>0.28604759871776281</v>
      </c>
      <c r="BD22" s="40">
        <f>'[15]RD ESFERA'!D22</f>
        <v>0.85094163960943292</v>
      </c>
      <c r="BE22" s="86">
        <f>'[15]RD ESFERA'!E22</f>
        <v>75.863116100994375</v>
      </c>
      <c r="BF22" s="101">
        <f>'[16]RD ESFERA'!B22</f>
        <v>16.455501477029998</v>
      </c>
      <c r="BG22" s="91">
        <f>'[16]RD ESFERA'!C22</f>
        <v>0.28474883732451184</v>
      </c>
      <c r="BH22" s="40">
        <f>'[16]RD ESFERA'!D22</f>
        <v>0.86617873803726819</v>
      </c>
      <c r="BI22" s="86">
        <f>'[16]RD ESFERA'!E22</f>
        <v>81.154106508039433</v>
      </c>
      <c r="BJ22" s="101">
        <f>'[17]RD ESFERA'!B22</f>
        <v>17.361863613640001</v>
      </c>
      <c r="BK22" s="91">
        <f>'[17]RD ESFERA'!C22</f>
        <v>0.28956771836024192</v>
      </c>
      <c r="BL22" s="40">
        <f>'[17]RD ESFERA'!D22</f>
        <v>0.88174658762558888</v>
      </c>
      <c r="BM22" s="86">
        <f>'[17]RD ESFERA'!E22</f>
        <v>84.919581808908802</v>
      </c>
      <c r="BN22" s="101">
        <f>'[18]RD ESFERA'!B22</f>
        <v>18.924297512229998</v>
      </c>
      <c r="BO22" s="91">
        <f>'[18]RD ESFERA'!C22</f>
        <v>0.30195753150295862</v>
      </c>
      <c r="BP22" s="40">
        <f>'[18]RD ESFERA'!D22</f>
        <v>0.90713700484150883</v>
      </c>
      <c r="BQ22" s="86">
        <f>'[18]RD ESFERA'!E22</f>
        <v>91.829221723527226</v>
      </c>
      <c r="BR22" s="101">
        <f>'[19]RD ESFERA'!B22</f>
        <v>18.213932134800004</v>
      </c>
      <c r="BS22" s="91">
        <f>'[19]RD ESFERA'!C22</f>
        <v>0.27791225689932558</v>
      </c>
      <c r="BT22" s="40">
        <f>'[19]RD ESFERA'!D22</f>
        <v>0.82662681629557444</v>
      </c>
      <c r="BU22" s="86">
        <f>'[19]RD ESFERA'!E22</f>
        <v>87.709961727080611</v>
      </c>
      <c r="BV22" s="101">
        <f>'[20]RD ESFERA'!B22</f>
        <v>19.145073852950002</v>
      </c>
      <c r="BW22" s="91">
        <f>'[20]RD ESFERA'!C22</f>
        <v>0.27790077616030173</v>
      </c>
      <c r="BX22" s="40">
        <f>'[20]RD ESFERA'!D22</f>
        <v>0.80685593532309507</v>
      </c>
      <c r="BY22" s="86">
        <f>'[20]RD ESFERA'!E22</f>
        <v>91.825142259834664</v>
      </c>
      <c r="BZ22" s="101">
        <f>'[21]RD ESFERA'!B22</f>
        <v>20.414180363060002</v>
      </c>
      <c r="CA22" s="91">
        <f>'[21]RD ESFERA'!C22</f>
        <v>0.27627308763452701</v>
      </c>
      <c r="CB22" s="40">
        <f>'[21]RD ESFERA'!D22</f>
        <v>0.81757306180116029</v>
      </c>
      <c r="CC22" s="86">
        <f>'[21]RD ESFERA'!E22</f>
        <v>97.14232523076393</v>
      </c>
      <c r="CD22" s="101">
        <f>'[22]RD ESFERA'!B22</f>
        <v>18.977377288929993</v>
      </c>
      <c r="CE22" s="91">
        <f>'[22]RD ESFERA'!C22</f>
        <v>0.24938741550873186</v>
      </c>
      <c r="CF22" s="40">
        <f>'[22]RD ESFERA'!D22</f>
        <v>0.77409477541197835</v>
      </c>
      <c r="CG22" s="86">
        <f>'[22]RD ESFERA'!E22</f>
        <v>89.619207444633844</v>
      </c>
      <c r="CH22" s="101">
        <f>'[23]RD ESFERA'!B22</f>
        <v>25.905652179649998</v>
      </c>
      <c r="CI22" s="91">
        <f>'[23]RD ESFERA'!C22</f>
        <v>0.29111638304726051</v>
      </c>
      <c r="CJ22" s="40">
        <f>'[23]RD ESFERA'!D22</f>
        <v>0.84632287516555271</v>
      </c>
      <c r="CK22" s="86">
        <f>'[23]RD ESFERA'!E22</f>
        <v>121.4416787148577</v>
      </c>
      <c r="CL22" s="101">
        <f>'[24]RD ESFERA'!B22</f>
        <v>32.161421110519996</v>
      </c>
      <c r="CM22" s="91">
        <f>'[24]RD ESFERA'!C22</f>
        <v>0.31907197325112435</v>
      </c>
      <c r="CN22" s="40">
        <f>'[24]RD ESFERA'!D22</f>
        <v>0.91406712679030011</v>
      </c>
      <c r="CO22" s="86">
        <f>'[24]RD ESFERA'!E22</f>
        <v>158.36764518702105</v>
      </c>
      <c r="CP22" s="101">
        <f>'[25]RD ESFERA'!B22</f>
        <v>32.414140759039995</v>
      </c>
      <c r="CQ22" s="91">
        <f>'[25]RD ESFERA'!C22</f>
        <v>0.29619959638516341</v>
      </c>
      <c r="CR22" s="40">
        <f>'[25]RD ESFERA'!D22</f>
        <v>0.85661331107847394</v>
      </c>
      <c r="CS22" s="86">
        <f>'[25]RD ESFERA'!E22</f>
        <v>155.96299559452879</v>
      </c>
      <c r="CT22" s="101">
        <f>'[26]RD ESFERA'!B22</f>
        <v>36.667704139649992</v>
      </c>
      <c r="CU22" s="91">
        <f>'[26]RD ESFERA'!C22</f>
        <v>0.31220615291234538</v>
      </c>
      <c r="CV22" s="40">
        <f>'[26]RD ESFERA'!D22</f>
        <v>0.86844567214035617</v>
      </c>
      <c r="CW22" s="86">
        <f>'[26]RD ESFERA'!E22</f>
        <v>172.48592208788298</v>
      </c>
    </row>
    <row r="23" spans="1:103" x14ac:dyDescent="0.25">
      <c r="A23" s="75" t="s">
        <v>42</v>
      </c>
      <c r="B23" s="101">
        <f>'[2]RD ESFERA'!B23</f>
        <v>1.8192173424400009</v>
      </c>
      <c r="C23" s="91">
        <f>'[2]RD ESFERA'!C23</f>
        <v>0.15130171451851565</v>
      </c>
      <c r="D23" s="40">
        <f>'[2]RD ESFERA'!D23</f>
        <v>0.49509902729905708</v>
      </c>
      <c r="E23" s="102">
        <f>'[2]RD ESFERA'!E23</f>
        <v>10.48852516840951</v>
      </c>
      <c r="F23" s="101">
        <f>'[3]RD ESFERA'!B23</f>
        <v>2.0455909090933342</v>
      </c>
      <c r="G23" s="91">
        <f>'[3]RD ESFERA'!C23</f>
        <v>0.15546898237843171</v>
      </c>
      <c r="H23" s="40">
        <f>'[3]RD ESFERA'!D23</f>
        <v>0.48514342143074346</v>
      </c>
      <c r="I23" s="102">
        <f>'[3]RD ESFERA'!E23</f>
        <v>11.793660512008193</v>
      </c>
      <c r="J23" s="101">
        <f>'[4]RD ESFERA'!B23</f>
        <v>2.4051170188466675</v>
      </c>
      <c r="K23" s="91">
        <f>'[4]RD ESFERA'!C23</f>
        <v>0.16154876546118871</v>
      </c>
      <c r="L23" s="40">
        <f>'[4]RD ESFERA'!D23</f>
        <v>0.48546559819330193</v>
      </c>
      <c r="M23" s="102">
        <f>'[4]RD ESFERA'!E23</f>
        <v>13.490965087858916</v>
      </c>
      <c r="N23" s="101">
        <f>'[5]RD ESFERA'!B23</f>
        <v>2.6557540128933343</v>
      </c>
      <c r="O23" s="91">
        <f>'[5]RD ESFERA'!C23</f>
        <v>0.15458855105755898</v>
      </c>
      <c r="P23" s="40">
        <f>'[5]RD ESFERA'!D23</f>
        <v>0.47422919773877559</v>
      </c>
      <c r="Q23" s="102">
        <f>'[5]RD ESFERA'!E23</f>
        <v>14.703616036534376</v>
      </c>
      <c r="R23" s="101">
        <f>'[6]RD ESFERA'!B23</f>
        <v>3.2015911804000017</v>
      </c>
      <c r="S23" s="91">
        <f>'[6]RD ESFERA'!C23</f>
        <v>0.16353413587325466</v>
      </c>
      <c r="T23" s="40">
        <f>'[6]RD ESFERA'!D23</f>
        <v>0.48637702972069985</v>
      </c>
      <c r="U23" s="102">
        <f>'[6]RD ESFERA'!E23</f>
        <v>17.503499823387262</v>
      </c>
      <c r="V23" s="101">
        <f>'[7]RD ESFERA'!B23</f>
        <v>3.8410998716133355</v>
      </c>
      <c r="W23" s="91">
        <f>'[7]RD ESFERA'!C23</f>
        <v>0.17696150446139339</v>
      </c>
      <c r="X23" s="40">
        <f>'[7]RD ESFERA'!D23</f>
        <v>0.50930520786727496</v>
      </c>
      <c r="Y23" s="102">
        <f>'[7]RD ESFERA'!E23</f>
        <v>20.745790712967977</v>
      </c>
      <c r="Z23" s="101">
        <f>'[8]RD ESFERA'!B23</f>
        <v>4.6173049785066684</v>
      </c>
      <c r="AA23" s="91">
        <f>'[8]RD ESFERA'!C23</f>
        <v>0.1916331519021631</v>
      </c>
      <c r="AB23" s="40">
        <f>'[8]RD ESFERA'!D23</f>
        <v>0.55661312798860962</v>
      </c>
      <c r="AC23" s="102">
        <f>'[8]RD ESFERA'!E23</f>
        <v>24.647298165461976</v>
      </c>
      <c r="AD23" s="101">
        <f>'[9]RD ESFERA'!B23</f>
        <v>4.7257003652333358</v>
      </c>
      <c r="AE23" s="91">
        <f>'[9]RD ESFERA'!C23</f>
        <v>0.17372218661332878</v>
      </c>
      <c r="AF23" s="40">
        <f>'[9]RD ESFERA'!D23</f>
        <v>0.50229618679357102</v>
      </c>
      <c r="AG23" s="102">
        <f>'[9]RD ESFERA'!E23</f>
        <v>24.942635111757642</v>
      </c>
      <c r="AH23" s="101">
        <f>'[10]RD ESFERA'!B23</f>
        <v>5.8509081862266701</v>
      </c>
      <c r="AI23" s="91">
        <f>'[10]RD ESFERA'!C23</f>
        <v>0.18814401382424129</v>
      </c>
      <c r="AJ23" s="40">
        <f>'[10]RD ESFERA'!D23</f>
        <v>0.54130674251422006</v>
      </c>
      <c r="AK23" s="102">
        <f>'[10]RD ESFERA'!E23</f>
        <v>30.547870725055979</v>
      </c>
      <c r="AL23" s="101">
        <f>'[11]RD ESFERA'!B23</f>
        <v>6.3926219096800034</v>
      </c>
      <c r="AM23" s="91">
        <f>'[11]RD ESFERA'!C23</f>
        <v>0.19179559284124797</v>
      </c>
      <c r="AN23" s="40">
        <f>'[11]RD ESFERA'!D23</f>
        <v>0.5783220405050663</v>
      </c>
      <c r="AO23" s="102">
        <f>'[11]RD ESFERA'!E23</f>
        <v>33.029300487684033</v>
      </c>
      <c r="AP23" s="101">
        <f>'[12]RD ESFERA'!B23</f>
        <v>7.3661327180266696</v>
      </c>
      <c r="AQ23" s="91">
        <f>'[12]RD ESFERA'!C23</f>
        <v>0.18956311759126568</v>
      </c>
      <c r="AR23" s="40">
        <f>'[12]RD ESFERA'!D23</f>
        <v>0.57041574943940987</v>
      </c>
      <c r="AS23" s="102">
        <f>'[12]RD ESFERA'!E23</f>
        <v>37.678852810943283</v>
      </c>
      <c r="AT23" s="101">
        <f>'[13]RD ESFERA'!B23</f>
        <v>8.7435879884133385</v>
      </c>
      <c r="AU23" s="91">
        <f>'[13]RD ESFERA'!C23</f>
        <v>0.19979032882443395</v>
      </c>
      <c r="AV23" s="40">
        <f>'[13]RD ESFERA'!D23</f>
        <v>0.58618697324777846</v>
      </c>
      <c r="AW23" s="102">
        <f>'[13]RD ESFERA'!E23</f>
        <v>44.294427935144071</v>
      </c>
      <c r="AX23" s="101">
        <f>'[14]RD ESFERA'!B23</f>
        <v>9.8496726400266716</v>
      </c>
      <c r="AY23" s="91">
        <f>'[14]RD ESFERA'!C23</f>
        <v>0.20457245304078855</v>
      </c>
      <c r="AZ23" s="40">
        <f>'[14]RD ESFERA'!D23</f>
        <v>0.60128231837143553</v>
      </c>
      <c r="BA23" s="102">
        <f>'[14]RD ESFERA'!E23</f>
        <v>49.435609965644133</v>
      </c>
      <c r="BB23" s="101">
        <f>'[15]RD ESFERA'!B23</f>
        <v>11.04035312435334</v>
      </c>
      <c r="BC23" s="91">
        <f>'[15]RD ESFERA'!C23</f>
        <v>0.20707318216761811</v>
      </c>
      <c r="BD23" s="40">
        <f>'[15]RD ESFERA'!D23</f>
        <v>0.61600654556347356</v>
      </c>
      <c r="BE23" s="86">
        <f>'[15]RD ESFERA'!E23</f>
        <v>54.918191694677816</v>
      </c>
      <c r="BF23" s="101">
        <f>'[16]RD ESFERA'!B23</f>
        <v>12.183346895346672</v>
      </c>
      <c r="BG23" s="91">
        <f>'[16]RD ESFERA'!C23</f>
        <v>0.21082273718693803</v>
      </c>
      <c r="BH23" s="40">
        <f>'[16]RD ESFERA'!D23</f>
        <v>0.64130260956266638</v>
      </c>
      <c r="BI23" s="86">
        <f>'[16]RD ESFERA'!E23</f>
        <v>60.084989384827182</v>
      </c>
      <c r="BJ23" s="101">
        <f>'[17]RD ESFERA'!B23</f>
        <v>12.692424158286673</v>
      </c>
      <c r="BK23" s="91">
        <f>'[17]RD ESFERA'!C23</f>
        <v>0.21168904362824553</v>
      </c>
      <c r="BL23" s="40">
        <f>'[17]RD ESFERA'!D23</f>
        <v>0.64460255761216123</v>
      </c>
      <c r="BM23" s="86">
        <f>'[17]RD ESFERA'!E23</f>
        <v>62.080625424117251</v>
      </c>
      <c r="BN23" s="101">
        <f>'[18]RD ESFERA'!B23</f>
        <v>12.979889139706675</v>
      </c>
      <c r="BO23" s="91">
        <f>'[18]RD ESFERA'!C23</f>
        <v>0.20710809906021385</v>
      </c>
      <c r="BP23" s="40">
        <f>'[18]RD ESFERA'!D23</f>
        <v>0.62219153708394948</v>
      </c>
      <c r="BQ23" s="86">
        <f>'[18]RD ESFERA'!E23</f>
        <v>62.984272836898157</v>
      </c>
      <c r="BR23" s="101">
        <f>'[19]RD ESFERA'!B23</f>
        <v>13.384648002300006</v>
      </c>
      <c r="BS23" s="91">
        <f>'[19]RD ESFERA'!C23</f>
        <v>0.20422595772250518</v>
      </c>
      <c r="BT23" s="40">
        <f>'[19]RD ESFERA'!D23</f>
        <v>0.60745306853531122</v>
      </c>
      <c r="BU23" s="86">
        <f>'[19]RD ESFERA'!E23</f>
        <v>64.454339421259192</v>
      </c>
      <c r="BV23" s="101">
        <f>'[20]RD ESFERA'!B23</f>
        <v>14.599091191200007</v>
      </c>
      <c r="BW23" s="91">
        <f>'[20]RD ESFERA'!C23</f>
        <v>0.21191345640300888</v>
      </c>
      <c r="BX23" s="40">
        <f>'[20]RD ESFERA'!D23</f>
        <v>0.61526863089785333</v>
      </c>
      <c r="BY23" s="86">
        <f>'[20]RD ESFERA'!E23</f>
        <v>70.021334772217486</v>
      </c>
      <c r="BZ23" s="101">
        <f>'[21]RD ESFERA'!B23</f>
        <v>14.597633681153336</v>
      </c>
      <c r="CA23" s="91">
        <f>'[21]RD ESFERA'!C23</f>
        <v>0.1975554863102757</v>
      </c>
      <c r="CB23" s="40">
        <f>'[21]RD ESFERA'!D23</f>
        <v>0.58462460169835218</v>
      </c>
      <c r="CC23" s="86">
        <f>'[21]RD ESFERA'!E23</f>
        <v>69.46387527858559</v>
      </c>
      <c r="CD23" s="101">
        <f>'[22]RD ESFERA'!B23</f>
        <v>13.989633937833341</v>
      </c>
      <c r="CE23" s="91">
        <f>'[22]RD ESFERA'!C23</f>
        <v>0.1838419818793734</v>
      </c>
      <c r="CF23" s="40">
        <f>'[22]RD ESFERA'!D23</f>
        <v>0.5706427382628847</v>
      </c>
      <c r="CG23" s="86">
        <f>'[22]RD ESFERA'!E23</f>
        <v>66.064972354241803</v>
      </c>
      <c r="CH23" s="101">
        <f>'[23]RD ESFERA'!B23</f>
        <v>15.779468183780006</v>
      </c>
      <c r="CI23" s="91">
        <f>'[23]RD ESFERA'!C23</f>
        <v>0.17732275845500153</v>
      </c>
      <c r="CJ23" s="40">
        <f>'[23]RD ESFERA'!D23</f>
        <v>0.51550622193447848</v>
      </c>
      <c r="CK23" s="86">
        <f>'[23]RD ESFERA'!E23</f>
        <v>73.97169900131891</v>
      </c>
      <c r="CL23" s="101">
        <f>'[24]RD ESFERA'!B23</f>
        <v>17.787630684240007</v>
      </c>
      <c r="CM23" s="91">
        <f>'[24]RD ESFERA'!C23</f>
        <v>0.1764702623798623</v>
      </c>
      <c r="CN23" s="40">
        <f>'[24]RD ESFERA'!D23</f>
        <v>0.50554633192598253</v>
      </c>
      <c r="CO23" s="86">
        <f>'[24]RD ESFERA'!E23</f>
        <v>87.588952466968394</v>
      </c>
      <c r="CP23" s="101">
        <f>'[25]RD ESFERA'!B23</f>
        <v>17.715101598300009</v>
      </c>
      <c r="CQ23" s="91">
        <f>'[25]RD ESFERA'!C23</f>
        <v>0.16188014923317781</v>
      </c>
      <c r="CR23" s="40">
        <f>'[25]RD ESFERA'!D23</f>
        <v>0.46815962048844917</v>
      </c>
      <c r="CS23" s="86">
        <f>'[25]RD ESFERA'!E23</f>
        <v>85.23749967864714</v>
      </c>
      <c r="CT23" s="101">
        <f>'[26]RD ESFERA'!B23</f>
        <v>21.413814335006677</v>
      </c>
      <c r="CU23" s="91">
        <f>'[26]RD ESFERA'!C23</f>
        <v>0.18232732999180035</v>
      </c>
      <c r="CV23" s="40">
        <f>'[26]RD ESFERA'!D23</f>
        <v>0.50716931478522564</v>
      </c>
      <c r="CW23" s="86">
        <f>'[26]RD ESFERA'!E23</f>
        <v>100.73119104826533</v>
      </c>
    </row>
    <row r="24" spans="1:103" x14ac:dyDescent="0.25">
      <c r="A24" s="75" t="s">
        <v>109</v>
      </c>
      <c r="B24" s="101">
        <f>'[2]RD ESFERA'!B24</f>
        <v>0</v>
      </c>
      <c r="C24" s="91">
        <f>'[2]RD ESFERA'!C24</f>
        <v>0</v>
      </c>
      <c r="D24" s="40">
        <f>'[2]RD ESFERA'!D24</f>
        <v>0</v>
      </c>
      <c r="E24" s="102">
        <f>'[2]RD ESFERA'!E24</f>
        <v>0</v>
      </c>
      <c r="F24" s="101">
        <f>'[3]RD ESFERA'!B24</f>
        <v>0</v>
      </c>
      <c r="G24" s="91">
        <f>'[3]RD ESFERA'!C24</f>
        <v>0</v>
      </c>
      <c r="H24" s="40">
        <f>'[3]RD ESFERA'!D24</f>
        <v>0</v>
      </c>
      <c r="I24" s="102">
        <f>'[3]RD ESFERA'!E24</f>
        <v>0</v>
      </c>
      <c r="J24" s="101">
        <f>'[4]RD ESFERA'!B24</f>
        <v>0</v>
      </c>
      <c r="K24" s="91">
        <f>'[4]RD ESFERA'!C24</f>
        <v>0</v>
      </c>
      <c r="L24" s="40">
        <f>'[4]RD ESFERA'!D24</f>
        <v>0</v>
      </c>
      <c r="M24" s="102">
        <f>'[4]RD ESFERA'!E24</f>
        <v>0</v>
      </c>
      <c r="N24" s="101">
        <f>'[5]RD ESFERA'!B24</f>
        <v>0</v>
      </c>
      <c r="O24" s="91">
        <f>'[5]RD ESFERA'!C24</f>
        <v>0</v>
      </c>
      <c r="P24" s="40">
        <f>'[5]RD ESFERA'!D24</f>
        <v>0</v>
      </c>
      <c r="Q24" s="102">
        <f>'[5]RD ESFERA'!E24</f>
        <v>0</v>
      </c>
      <c r="R24" s="101">
        <f>'[6]RD ESFERA'!B24</f>
        <v>0.67163473124999995</v>
      </c>
      <c r="S24" s="91">
        <f>'[6]RD ESFERA'!C24</f>
        <v>3.4306443018034469E-2</v>
      </c>
      <c r="T24" s="40">
        <f>'[6]RD ESFERA'!D24</f>
        <v>0.10203292276742908</v>
      </c>
      <c r="U24" s="102">
        <f>'[6]RD ESFERA'!E24</f>
        <v>3.6719111646060809</v>
      </c>
      <c r="V24" s="101">
        <f>'[7]RD ESFERA'!B24</f>
        <v>1.0187690062500001</v>
      </c>
      <c r="W24" s="91">
        <f>'[7]RD ESFERA'!C24</f>
        <v>4.6935227427168255E-2</v>
      </c>
      <c r="X24" s="40">
        <f>'[7]RD ESFERA'!D24</f>
        <v>0.1350822362968033</v>
      </c>
      <c r="Y24" s="102">
        <f>'[7]RD ESFERA'!E24</f>
        <v>5.5023741363027074</v>
      </c>
      <c r="Z24" s="101">
        <f>'[8]RD ESFERA'!B24</f>
        <v>1.79702323602</v>
      </c>
      <c r="AA24" s="91">
        <f>'[8]RD ESFERA'!C24</f>
        <v>7.4582300359833167E-2</v>
      </c>
      <c r="AB24" s="40">
        <f>'[8]RD ESFERA'!D24</f>
        <v>0.21662998851611617</v>
      </c>
      <c r="AC24" s="102">
        <f>'[8]RD ESFERA'!E24</f>
        <v>9.5925583678410522</v>
      </c>
      <c r="AD24" s="101">
        <f>'[9]RD ESFERA'!B24</f>
        <v>1.4548003885299998</v>
      </c>
      <c r="AE24" s="91">
        <f>'[9]RD ESFERA'!C24</f>
        <v>5.3480137344440584E-2</v>
      </c>
      <c r="AF24" s="40">
        <f>'[9]RD ESFERA'!D24</f>
        <v>0.15463119352222054</v>
      </c>
      <c r="AG24" s="102">
        <f>'[9]RD ESFERA'!E24</f>
        <v>7.678556075731084</v>
      </c>
      <c r="AH24" s="101">
        <f>'[10]RD ESFERA'!B24</f>
        <v>2.4399710806199999</v>
      </c>
      <c r="AI24" s="91">
        <f>'[10]RD ESFERA'!C24</f>
        <v>7.8460631770565531E-2</v>
      </c>
      <c r="AJ24" s="40">
        <f>'[10]RD ESFERA'!D24</f>
        <v>0.22573808295069109</v>
      </c>
      <c r="AK24" s="102">
        <f>'[10]RD ESFERA'!E24</f>
        <v>12.739205397055482</v>
      </c>
      <c r="AL24" s="101">
        <f>'[11]RD ESFERA'!B24</f>
        <v>1.4624999999999999</v>
      </c>
      <c r="AM24" s="91">
        <f>'[11]RD ESFERA'!C24</f>
        <v>4.3878874504618755E-2</v>
      </c>
      <c r="AN24" s="40">
        <f>'[11]RD ESFERA'!D24</f>
        <v>0.13230815089469253</v>
      </c>
      <c r="AO24" s="102">
        <f>'[11]RD ESFERA'!E24</f>
        <v>7.5564224891967573</v>
      </c>
      <c r="AP24" s="101">
        <f>'[12]RD ESFERA'!B24</f>
        <v>1.4625000000699999</v>
      </c>
      <c r="AQ24" s="91">
        <f>'[12]RD ESFERA'!C24</f>
        <v>3.7636582193534635E-2</v>
      </c>
      <c r="AR24" s="40">
        <f>'[12]RD ESFERA'!D24</f>
        <v>0.11325251193933829</v>
      </c>
      <c r="AS24" s="102">
        <f>'[12]RD ESFERA'!E24</f>
        <v>7.4809027135482244</v>
      </c>
      <c r="AT24" s="101">
        <f>'[13]RD ESFERA'!B24</f>
        <v>1.4624999999999999</v>
      </c>
      <c r="AU24" s="91">
        <f>'[13]RD ESFERA'!C24</f>
        <v>3.3418015154984188E-2</v>
      </c>
      <c r="AV24" s="40">
        <f>'[13]RD ESFERA'!D24</f>
        <v>9.8048815830633185E-2</v>
      </c>
      <c r="AW24" s="102">
        <f>'[13]RD ESFERA'!E24</f>
        <v>7.4089265117470013</v>
      </c>
      <c r="AX24" s="101">
        <f>'[14]RD ESFERA'!B24</f>
        <v>1.4624999999999999</v>
      </c>
      <c r="AY24" s="91">
        <f>'[14]RD ESFERA'!C24</f>
        <v>3.0375345811629238E-2</v>
      </c>
      <c r="AZ24" s="40">
        <f>'[14]RD ESFERA'!D24</f>
        <v>8.9279656568956103E-2</v>
      </c>
      <c r="BA24" s="102">
        <f>'[14]RD ESFERA'!E24</f>
        <v>7.3403027914802621</v>
      </c>
      <c r="BB24" s="101">
        <f>'[15]RD ESFERA'!B24</f>
        <v>0</v>
      </c>
      <c r="BC24" s="91">
        <f>'[15]RD ESFERA'!C24</f>
        <v>0</v>
      </c>
      <c r="BD24" s="40">
        <f>'[15]RD ESFERA'!D24</f>
        <v>0</v>
      </c>
      <c r="BE24" s="86">
        <f>'[15]RD ESFERA'!E24</f>
        <v>0</v>
      </c>
      <c r="BF24" s="101">
        <f>'[16]RD ESFERA'!B24</f>
        <v>1.4624999999999999</v>
      </c>
      <c r="BG24" s="91">
        <f>'[16]RD ESFERA'!C24</f>
        <v>2.530735238718847E-2</v>
      </c>
      <c r="BH24" s="40">
        <f>'[16]RD ESFERA'!D24</f>
        <v>7.6982546302085883E-2</v>
      </c>
      <c r="BI24" s="86">
        <f>'[16]RD ESFERA'!E24</f>
        <v>7.2126565655675954</v>
      </c>
      <c r="BJ24" s="101">
        <f>'[17]RD ESFERA'!B24</f>
        <v>1.4625000001599999</v>
      </c>
      <c r="BK24" s="91">
        <f>'[17]RD ESFERA'!C24</f>
        <v>2.4392127341414896E-2</v>
      </c>
      <c r="BL24" s="40">
        <f>'[17]RD ESFERA'!D24</f>
        <v>7.4275113158381853E-2</v>
      </c>
      <c r="BM24" s="86">
        <f>'[17]RD ESFERA'!E24</f>
        <v>7.1533155180153027</v>
      </c>
      <c r="BN24" s="101">
        <f>'[18]RD ESFERA'!B24</f>
        <v>1.4624999999999999</v>
      </c>
      <c r="BO24" s="91">
        <f>'[18]RD ESFERA'!C24</f>
        <v>2.3335761316248628E-2</v>
      </c>
      <c r="BP24" s="40">
        <f>'[18]RD ESFERA'!D24</f>
        <v>7.0104999602934925E-2</v>
      </c>
      <c r="BQ24" s="86">
        <f>'[18]RD ESFERA'!E24</f>
        <v>7.0967092270593302</v>
      </c>
      <c r="BR24" s="101">
        <f>'[19]RD ESFERA'!B24</f>
        <v>1.43281192202</v>
      </c>
      <c r="BS24" s="91">
        <f>'[19]RD ESFERA'!C24</f>
        <v>2.1862165292690163E-2</v>
      </c>
      <c r="BT24" s="40">
        <f>'[19]RD ESFERA'!D24</f>
        <v>6.5027186259620964E-2</v>
      </c>
      <c r="BU24" s="86">
        <f>'[19]RD ESFERA'!E24</f>
        <v>6.8997665035968323</v>
      </c>
      <c r="BV24" s="101">
        <f>'[20]RD ESFERA'!B24</f>
        <v>0</v>
      </c>
      <c r="BW24" s="91">
        <f>'[20]RD ESFERA'!C24</f>
        <v>0</v>
      </c>
      <c r="BX24" s="40">
        <f>'[20]RD ESFERA'!D24</f>
        <v>0</v>
      </c>
      <c r="BY24" s="86">
        <f>'[20]RD ESFERA'!E24</f>
        <v>0</v>
      </c>
      <c r="BZ24" s="101">
        <f>'[21]RD ESFERA'!B24</f>
        <v>0</v>
      </c>
      <c r="CA24" s="91">
        <f>'[21]RD ESFERA'!C24</f>
        <v>0</v>
      </c>
      <c r="CB24" s="40">
        <f>'[21]RD ESFERA'!D24</f>
        <v>0</v>
      </c>
      <c r="CC24" s="86">
        <f>'[21]RD ESFERA'!E24</f>
        <v>0</v>
      </c>
      <c r="CD24" s="101">
        <f>'[22]RD ESFERA'!B24</f>
        <v>0</v>
      </c>
      <c r="CE24" s="91">
        <f>'[22]RD ESFERA'!C24</f>
        <v>0</v>
      </c>
      <c r="CF24" s="40">
        <f>'[22]RD ESFERA'!D24</f>
        <v>0</v>
      </c>
      <c r="CG24" s="86">
        <f>'[22]RD ESFERA'!E24</f>
        <v>0</v>
      </c>
      <c r="CH24" s="101">
        <f>'[23]RD ESFERA'!B24</f>
        <v>0</v>
      </c>
      <c r="CI24" s="91">
        <f>'[23]RD ESFERA'!C24</f>
        <v>0</v>
      </c>
      <c r="CJ24" s="40">
        <f>'[23]RD ESFERA'!D24</f>
        <v>0</v>
      </c>
      <c r="CK24" s="86">
        <f>'[23]RD ESFERA'!E24</f>
        <v>0</v>
      </c>
      <c r="CL24" s="101">
        <f>'[24]RD ESFERA'!B24</f>
        <v>0</v>
      </c>
      <c r="CM24" s="91">
        <f>'[24]RD ESFERA'!C24</f>
        <v>0</v>
      </c>
      <c r="CN24" s="40">
        <f>'[24]RD ESFERA'!D24</f>
        <v>0</v>
      </c>
      <c r="CO24" s="86">
        <f>'[24]RD ESFERA'!E24</f>
        <v>0</v>
      </c>
      <c r="CP24" s="101">
        <f>'[25]RD ESFERA'!B24</f>
        <v>0</v>
      </c>
      <c r="CQ24" s="91">
        <f>'[25]RD ESFERA'!C24</f>
        <v>0</v>
      </c>
      <c r="CR24" s="40">
        <f>'[25]RD ESFERA'!D24</f>
        <v>0</v>
      </c>
      <c r="CS24" s="86">
        <f>'[25]RD ESFERA'!E24</f>
        <v>0</v>
      </c>
      <c r="CT24" s="101">
        <f>'[26]RD ESFERA'!B24</f>
        <v>0</v>
      </c>
      <c r="CU24" s="91">
        <f>'[26]RD ESFERA'!C24</f>
        <v>0</v>
      </c>
      <c r="CV24" s="40">
        <f>'[26]RD ESFERA'!D24</f>
        <v>0</v>
      </c>
      <c r="CW24" s="86">
        <f>'[26]RD ESFERA'!E24</f>
        <v>0</v>
      </c>
    </row>
    <row r="25" spans="1:103" s="9" customFormat="1" x14ac:dyDescent="0.25">
      <c r="A25" s="75" t="s">
        <v>110</v>
      </c>
      <c r="B25" s="101">
        <f>'[2]RD ESFERA'!B25</f>
        <v>0</v>
      </c>
      <c r="C25" s="91">
        <f>'[2]RD ESFERA'!C25</f>
        <v>0</v>
      </c>
      <c r="D25" s="40">
        <f>'[2]RD ESFERA'!D25</f>
        <v>0</v>
      </c>
      <c r="E25" s="102">
        <f>'[2]RD ESFERA'!E25</f>
        <v>0</v>
      </c>
      <c r="F25" s="101">
        <f>'[3]RD ESFERA'!B25</f>
        <v>0</v>
      </c>
      <c r="G25" s="91">
        <f>'[3]RD ESFERA'!C25</f>
        <v>0</v>
      </c>
      <c r="H25" s="40">
        <f>'[3]RD ESFERA'!D25</f>
        <v>0</v>
      </c>
      <c r="I25" s="102">
        <f>'[3]RD ESFERA'!E25</f>
        <v>0</v>
      </c>
      <c r="J25" s="101">
        <f>'[4]RD ESFERA'!B25</f>
        <v>0</v>
      </c>
      <c r="K25" s="91">
        <f>'[4]RD ESFERA'!C25</f>
        <v>0</v>
      </c>
      <c r="L25" s="40">
        <f>'[4]RD ESFERA'!D25</f>
        <v>0</v>
      </c>
      <c r="M25" s="102">
        <f>'[4]RD ESFERA'!E25</f>
        <v>0</v>
      </c>
      <c r="N25" s="101">
        <f>'[5]RD ESFERA'!B25</f>
        <v>0</v>
      </c>
      <c r="O25" s="91">
        <f>'[5]RD ESFERA'!C25</f>
        <v>0</v>
      </c>
      <c r="P25" s="40">
        <f>'[5]RD ESFERA'!D25</f>
        <v>0</v>
      </c>
      <c r="Q25" s="102">
        <f>'[5]RD ESFERA'!E25</f>
        <v>0</v>
      </c>
      <c r="R25" s="101">
        <f>'[6]RD ESFERA'!B25</f>
        <v>0.83586204267000008</v>
      </c>
      <c r="S25" s="91">
        <f>'[6]RD ESFERA'!C25</f>
        <v>4.2695012934229129E-2</v>
      </c>
      <c r="T25" s="40">
        <f>'[6]RD ESFERA'!D25</f>
        <v>0.12698188952385811</v>
      </c>
      <c r="U25" s="102">
        <f>'[6]RD ESFERA'!E25</f>
        <v>4.5697624374460419</v>
      </c>
      <c r="V25" s="101">
        <f>'[7]RD ESFERA'!B25</f>
        <v>1.33810223997</v>
      </c>
      <c r="W25" s="91">
        <f>'[7]RD ESFERA'!C25</f>
        <v>6.1647078551173989E-2</v>
      </c>
      <c r="X25" s="40">
        <f>'[7]RD ESFERA'!D25</f>
        <v>0.17742377502653764</v>
      </c>
      <c r="Y25" s="102">
        <f>'[7]RD ESFERA'!E25</f>
        <v>7.2270937884548019</v>
      </c>
      <c r="Z25" s="101">
        <f>'[8]RD ESFERA'!B25</f>
        <v>1.34201662904</v>
      </c>
      <c r="AA25" s="91">
        <f>'[8]RD ESFERA'!C25</f>
        <v>5.5698048477453369E-2</v>
      </c>
      <c r="AB25" s="40">
        <f>'[8]RD ESFERA'!D25</f>
        <v>0.16177923641168576</v>
      </c>
      <c r="AC25" s="102">
        <f>'[8]RD ESFERA'!E25</f>
        <v>7.1637208616128429</v>
      </c>
      <c r="AD25" s="101">
        <f>'[9]RD ESFERA'!B25</f>
        <v>1.3941737915299999</v>
      </c>
      <c r="AE25" s="91">
        <f>'[9]RD ESFERA'!C25</f>
        <v>5.1251433833052175E-2</v>
      </c>
      <c r="AF25" s="40">
        <f>'[9]RD ESFERA'!D25</f>
        <v>0.14818717334789733</v>
      </c>
      <c r="AG25" s="102">
        <f>'[9]RD ESFERA'!E25</f>
        <v>7.3585639115719603</v>
      </c>
      <c r="AH25" s="101">
        <f>'[10]RD ESFERA'!B25</f>
        <v>1.1897751857600001</v>
      </c>
      <c r="AI25" s="91">
        <f>'[10]RD ESFERA'!C25</f>
        <v>3.8258860312373487E-2</v>
      </c>
      <c r="AJ25" s="40">
        <f>'[10]RD ESFERA'!D25</f>
        <v>0.11007407903683794</v>
      </c>
      <c r="AK25" s="102">
        <f>'[10]RD ESFERA'!E25</f>
        <v>6.2118729964066297</v>
      </c>
      <c r="AL25" s="101">
        <f>'[11]RD ESFERA'!B25</f>
        <v>0.72523307343999976</v>
      </c>
      <c r="AM25" s="91">
        <f>'[11]RD ESFERA'!C25</f>
        <v>2.1758913515263389E-2</v>
      </c>
      <c r="AN25" s="40">
        <f>'[11]RD ESFERA'!D25</f>
        <v>6.560974148001443E-2</v>
      </c>
      <c r="AO25" s="102">
        <f>'[11]RD ESFERA'!E25</f>
        <v>3.7471230810607166</v>
      </c>
      <c r="AP25" s="101">
        <f>'[12]RD ESFERA'!B25</f>
        <v>1.3381483517799999</v>
      </c>
      <c r="AQ25" s="91">
        <f>'[12]RD ESFERA'!C25</f>
        <v>3.4436465248889103E-2</v>
      </c>
      <c r="AR25" s="40">
        <f>'[12]RD ESFERA'!D25</f>
        <v>0.10362301687474645</v>
      </c>
      <c r="AS25" s="102">
        <f>'[12]RD ESFERA'!E25</f>
        <v>6.8448257336628711</v>
      </c>
      <c r="AT25" s="101">
        <f>'[13]RD ESFERA'!B25</f>
        <v>1.5897450392999999</v>
      </c>
      <c r="AU25" s="91">
        <f>'[13]RD ESFERA'!C25</f>
        <v>3.6325554745906548E-2</v>
      </c>
      <c r="AV25" s="40">
        <f>'[13]RD ESFERA'!D25</f>
        <v>0.1065795682570861</v>
      </c>
      <c r="AW25" s="102">
        <f>'[13]RD ESFERA'!E25</f>
        <v>8.053541311855076</v>
      </c>
      <c r="AX25" s="101">
        <f>'[14]RD ESFERA'!B25</f>
        <v>0.84236048269000008</v>
      </c>
      <c r="AY25" s="91">
        <f>'[14]RD ESFERA'!C25</f>
        <v>1.7495378434023712E-2</v>
      </c>
      <c r="AZ25" s="40">
        <f>'[14]RD ESFERA'!D25</f>
        <v>5.1422669813212515E-2</v>
      </c>
      <c r="BA25" s="102">
        <f>'[14]RD ESFERA'!E25</f>
        <v>4.2278160701005598</v>
      </c>
      <c r="BB25" s="101">
        <f>'[15]RD ESFERA'!B25</f>
        <v>4.3190335169999997E-2</v>
      </c>
      <c r="BC25" s="91">
        <f>'[15]RD ESFERA'!C25</f>
        <v>8.1007917426207689E-4</v>
      </c>
      <c r="BD25" s="40">
        <f>'[15]RD ESFERA'!D25</f>
        <v>2.409844039418681E-3</v>
      </c>
      <c r="BE25" s="86">
        <f>'[15]RD ESFERA'!E25</f>
        <v>0.21484232247891752</v>
      </c>
      <c r="BF25" s="101">
        <f>'[16]RD ESFERA'!B25</f>
        <v>8.7468743300000013E-2</v>
      </c>
      <c r="BG25" s="91">
        <f>'[16]RD ESFERA'!C25</f>
        <v>1.5135742287573546E-3</v>
      </c>
      <c r="BH25" s="40">
        <f>'[16]RD ESFERA'!D25</f>
        <v>4.6041480896256521E-3</v>
      </c>
      <c r="BI25" s="86">
        <f>'[16]RD ESFERA'!E25</f>
        <v>0.43137231155192596</v>
      </c>
      <c r="BJ25" s="101">
        <f>'[17]RD ESFERA'!B25</f>
        <v>0.33756119959000003</v>
      </c>
      <c r="BK25" s="91">
        <f>'[17]RD ESFERA'!C25</f>
        <v>5.6299731726627382E-3</v>
      </c>
      <c r="BL25" s="40">
        <f>'[17]RD ESFERA'!D25</f>
        <v>1.7143518833971562E-2</v>
      </c>
      <c r="BM25" s="86">
        <f>'[17]RD ESFERA'!E25</f>
        <v>1.6510644560976671</v>
      </c>
      <c r="BN25" s="101">
        <f>'[18]RD ESFERA'!B25</f>
        <v>0.93391278678</v>
      </c>
      <c r="BO25" s="91">
        <f>'[18]RD ESFERA'!C25</f>
        <v>1.4901583509395336E-2</v>
      </c>
      <c r="BP25" s="40">
        <f>'[18]RD ESFERA'!D25</f>
        <v>4.4767149091547186E-2</v>
      </c>
      <c r="BQ25" s="86">
        <f>'[18]RD ESFERA'!E25</f>
        <v>4.5317658059557733</v>
      </c>
      <c r="BR25" s="101">
        <f>'[19]RD ESFERA'!B25</f>
        <v>1.2801290139200001</v>
      </c>
      <c r="BS25" s="91">
        <f>'[19]RD ESFERA'!C25</f>
        <v>1.9532495276024693E-2</v>
      </c>
      <c r="BT25" s="40">
        <f>'[19]RD ESFERA'!D25</f>
        <v>5.8097777206629654E-2</v>
      </c>
      <c r="BU25" s="86">
        <f>'[19]RD ESFERA'!E25</f>
        <v>6.1645154920789169</v>
      </c>
      <c r="BV25" s="101">
        <f>'[20]RD ESFERA'!B25</f>
        <v>1.0224420964300003</v>
      </c>
      <c r="BW25" s="91">
        <f>'[20]RD ESFERA'!C25</f>
        <v>1.4841282637992087E-2</v>
      </c>
      <c r="BX25" s="40">
        <f>'[20]RD ESFERA'!D25</f>
        <v>4.3090117090439854E-2</v>
      </c>
      <c r="BY25" s="86">
        <f>'[20]RD ESFERA'!E25</f>
        <v>4.9039189756200283</v>
      </c>
      <c r="BZ25" s="101">
        <f>'[21]RD ESFERA'!B25</f>
        <v>0.61856222400999983</v>
      </c>
      <c r="CA25" s="91">
        <f>'[21]RD ESFERA'!C25</f>
        <v>8.3712445213110966E-3</v>
      </c>
      <c r="CB25" s="40">
        <f>'[21]RD ESFERA'!D25</f>
        <v>2.4772966751753795E-2</v>
      </c>
      <c r="CC25" s="86">
        <f>'[21]RD ESFERA'!E25</f>
        <v>2.9434722174286225</v>
      </c>
      <c r="CD25" s="101">
        <f>'[22]RD ESFERA'!B25</f>
        <v>0.51996989944999994</v>
      </c>
      <c r="CE25" s="91">
        <f>'[22]RD ESFERA'!C25</f>
        <v>6.8330806408013452E-3</v>
      </c>
      <c r="CF25" s="40">
        <f>'[22]RD ESFERA'!D25</f>
        <v>2.1209779223313914E-2</v>
      </c>
      <c r="CG25" s="86">
        <f>'[22]RD ESFERA'!E25</f>
        <v>2.4555179345545048</v>
      </c>
      <c r="CH25" s="101">
        <f>'[23]RD ESFERA'!B25</f>
        <v>0.33445490334000005</v>
      </c>
      <c r="CI25" s="91">
        <f>'[23]RD ESFERA'!C25</f>
        <v>3.7584578484091045E-3</v>
      </c>
      <c r="CJ25" s="40">
        <f>'[23]RD ESFERA'!D25</f>
        <v>1.0926450855009906E-2</v>
      </c>
      <c r="CK25" s="86">
        <f>'[23]RD ESFERA'!E25</f>
        <v>1.5678727033913966</v>
      </c>
      <c r="CL25" s="101">
        <f>'[24]RD ESFERA'!B25</f>
        <v>0.52039610679000003</v>
      </c>
      <c r="CM25" s="91">
        <f>'[24]RD ESFERA'!C25</f>
        <v>5.1628257375534699E-3</v>
      </c>
      <c r="CN25" s="40">
        <f>'[24]RD ESFERA'!D25</f>
        <v>1.4790297123120584E-2</v>
      </c>
      <c r="CO25" s="86">
        <f>'[24]RD ESFERA'!E25</f>
        <v>2.5625082210645309</v>
      </c>
      <c r="CP25" s="101">
        <f>'[25]RD ESFERA'!B25</f>
        <v>0.10492028399999999</v>
      </c>
      <c r="CQ25" s="91">
        <f>'[25]RD ESFERA'!C25</f>
        <v>9.5875889490451907E-4</v>
      </c>
      <c r="CR25" s="40">
        <f>'[25]RD ESFERA'!D25</f>
        <v>2.772743925086715E-3</v>
      </c>
      <c r="CS25" s="86">
        <f>'[25]RD ESFERA'!E25</f>
        <v>0.50483157683903845</v>
      </c>
      <c r="CT25" s="101">
        <f>'[26]RD ESFERA'!B25</f>
        <v>0.73765312999999999</v>
      </c>
      <c r="CU25" s="91">
        <f>'[26]RD ESFERA'!C25</f>
        <v>6.2807271768078711E-3</v>
      </c>
      <c r="CV25" s="40">
        <f>'[26]RD ESFERA'!D25</f>
        <v>1.7470732987522206E-2</v>
      </c>
      <c r="CW25" s="86">
        <f>'[26]RD ESFERA'!E25</f>
        <v>3.469941281965343</v>
      </c>
    </row>
    <row r="26" spans="1:103" s="9" customFormat="1" x14ac:dyDescent="0.25">
      <c r="A26" s="37" t="s">
        <v>124</v>
      </c>
      <c r="B26" s="101"/>
      <c r="C26" s="91"/>
      <c r="D26" s="40"/>
      <c r="E26" s="102"/>
      <c r="F26" s="101"/>
      <c r="G26" s="91"/>
      <c r="H26" s="40"/>
      <c r="I26" s="102"/>
      <c r="J26" s="101"/>
      <c r="K26" s="91"/>
      <c r="L26" s="40"/>
      <c r="M26" s="102"/>
      <c r="N26" s="101"/>
      <c r="O26" s="91"/>
      <c r="P26" s="40"/>
      <c r="Q26" s="102"/>
      <c r="R26" s="101"/>
      <c r="S26" s="91"/>
      <c r="T26" s="40"/>
      <c r="U26" s="102"/>
      <c r="V26" s="101"/>
      <c r="W26" s="91"/>
      <c r="X26" s="40"/>
      <c r="Y26" s="102"/>
      <c r="Z26" s="101"/>
      <c r="AA26" s="91"/>
      <c r="AB26" s="40"/>
      <c r="AC26" s="102"/>
      <c r="AD26" s="101"/>
      <c r="AE26" s="91"/>
      <c r="AF26" s="40"/>
      <c r="AG26" s="102"/>
      <c r="AH26" s="101"/>
      <c r="AI26" s="91"/>
      <c r="AJ26" s="40"/>
      <c r="AK26" s="102"/>
      <c r="AL26" s="101"/>
      <c r="AM26" s="91"/>
      <c r="AN26" s="40"/>
      <c r="AO26" s="102"/>
      <c r="AP26" s="101">
        <f>'[12]RD ESFERA'!B26</f>
        <v>0.8</v>
      </c>
      <c r="AQ26" s="91">
        <f>'[12]RD ESFERA'!C26</f>
        <v>2.0587532139067749E-2</v>
      </c>
      <c r="AR26" s="40">
        <f>'[12]RD ESFERA'!D26</f>
        <v>6.1950091998040427E-2</v>
      </c>
      <c r="AS26" s="102">
        <f>'[12]RD ESFERA'!E26</f>
        <v>4.0921177234544492</v>
      </c>
      <c r="AT26" s="101"/>
      <c r="AU26" s="91"/>
      <c r="AV26" s="40"/>
      <c r="AW26" s="102"/>
      <c r="AX26" s="101"/>
      <c r="AY26" s="91"/>
      <c r="AZ26" s="40"/>
      <c r="BA26" s="102"/>
      <c r="BB26" s="101"/>
      <c r="BC26" s="91"/>
      <c r="BD26" s="40"/>
      <c r="BE26" s="86"/>
      <c r="BG26" s="91"/>
      <c r="BH26" s="40"/>
      <c r="BI26" s="86"/>
      <c r="BK26" s="91"/>
      <c r="BL26" s="40"/>
      <c r="BM26" s="86"/>
      <c r="BO26" s="91"/>
      <c r="BP26" s="40"/>
      <c r="BQ26" s="86"/>
      <c r="BS26" s="91"/>
      <c r="BT26" s="40"/>
      <c r="BU26" s="86"/>
      <c r="BW26" s="91"/>
      <c r="BX26" s="40"/>
      <c r="BY26" s="86"/>
      <c r="CA26" s="91"/>
      <c r="CB26" s="40"/>
      <c r="CC26" s="86"/>
      <c r="CD26" s="101">
        <f>'[22]RD ESFERA'!B26</f>
        <v>37.513934034800002</v>
      </c>
      <c r="CE26" s="91">
        <f>'[22]RD ESFERA'!C26</f>
        <v>0.49298187584441067</v>
      </c>
      <c r="CF26" s="40">
        <f>'[22]RD ESFERA'!D26</f>
        <v>1.5302083053609148</v>
      </c>
      <c r="CG26" s="86">
        <f>'[22]RD ESFERA'!E26</f>
        <v>177.15667371434816</v>
      </c>
      <c r="CH26" s="101"/>
      <c r="CI26" s="91"/>
      <c r="CJ26" s="40"/>
      <c r="CK26" s="86"/>
      <c r="CL26" s="101"/>
      <c r="CM26" s="91"/>
      <c r="CN26" s="40"/>
      <c r="CO26" s="86"/>
      <c r="CP26" s="101">
        <f>'[25]RD ESFERA'!B26</f>
        <v>4.0186115429899996</v>
      </c>
      <c r="CQ26" s="91">
        <f>'[25]RD ESFERA'!C26</f>
        <v>3.6721970386656949E-2</v>
      </c>
      <c r="CR26" s="40">
        <f>'[25]RD ESFERA'!D26</f>
        <v>0.10620044397810506</v>
      </c>
      <c r="CS26" s="86">
        <f>'[25]RD ESFERA'!E26</f>
        <v>19.33584169435915</v>
      </c>
      <c r="CT26" s="101">
        <f>'[26]RD ESFERA'!B26</f>
        <v>0</v>
      </c>
      <c r="CU26" s="91">
        <f>'[26]RD ESFERA'!C26</f>
        <v>0</v>
      </c>
      <c r="CV26" s="40">
        <f>'[26]RD ESFERA'!D26</f>
        <v>0</v>
      </c>
      <c r="CW26" s="86">
        <f>'[26]RD ESFERA'!E26</f>
        <v>0</v>
      </c>
    </row>
    <row r="27" spans="1:103" s="9" customFormat="1" x14ac:dyDescent="0.25">
      <c r="A27" s="75" t="s">
        <v>130</v>
      </c>
      <c r="B27" s="101"/>
      <c r="C27" s="91"/>
      <c r="D27" s="40"/>
      <c r="E27" s="102"/>
      <c r="F27" s="101"/>
      <c r="G27" s="91"/>
      <c r="H27" s="40"/>
      <c r="I27" s="102"/>
      <c r="J27" s="101"/>
      <c r="K27" s="91"/>
      <c r="L27" s="40"/>
      <c r="M27" s="102"/>
      <c r="N27" s="101"/>
      <c r="O27" s="91"/>
      <c r="P27" s="40"/>
      <c r="Q27" s="102"/>
      <c r="R27" s="101"/>
      <c r="S27" s="91"/>
      <c r="T27" s="40"/>
      <c r="U27" s="102"/>
      <c r="V27" s="101"/>
      <c r="W27" s="91"/>
      <c r="X27" s="40"/>
      <c r="Y27" s="102"/>
      <c r="Z27" s="101"/>
      <c r="AA27" s="91"/>
      <c r="AB27" s="40"/>
      <c r="AC27" s="102"/>
      <c r="AD27" s="101"/>
      <c r="AE27" s="91"/>
      <c r="AF27" s="40"/>
      <c r="AG27" s="102"/>
      <c r="AH27" s="101"/>
      <c r="AI27" s="91"/>
      <c r="AJ27" s="40"/>
      <c r="AK27" s="102"/>
      <c r="AL27" s="101"/>
      <c r="AM27" s="91"/>
      <c r="AN27" s="40"/>
      <c r="AO27" s="102"/>
      <c r="AP27" s="101"/>
      <c r="AQ27" s="91"/>
      <c r="AR27" s="40"/>
      <c r="AS27" s="102"/>
      <c r="AT27" s="101"/>
      <c r="AU27" s="91"/>
      <c r="AV27" s="40"/>
      <c r="AW27" s="102"/>
      <c r="AX27" s="101"/>
      <c r="AY27" s="91"/>
      <c r="AZ27" s="40"/>
      <c r="BA27" s="102"/>
      <c r="BB27" s="101"/>
      <c r="BC27" s="91"/>
      <c r="BD27" s="40"/>
      <c r="BE27" s="86"/>
      <c r="BG27" s="91"/>
      <c r="BH27" s="40"/>
      <c r="BI27" s="86"/>
      <c r="BK27" s="91"/>
      <c r="BL27" s="40"/>
      <c r="BM27" s="86"/>
      <c r="BO27" s="91"/>
      <c r="BP27" s="40"/>
      <c r="BQ27" s="86"/>
      <c r="BS27" s="91"/>
      <c r="BT27" s="40"/>
      <c r="BU27" s="86"/>
      <c r="BW27" s="91"/>
      <c r="BX27" s="40"/>
      <c r="BY27" s="86"/>
      <c r="CA27" s="91"/>
      <c r="CB27" s="40"/>
      <c r="CC27" s="86"/>
      <c r="CD27" s="101"/>
      <c r="CE27" s="91"/>
      <c r="CF27" s="40"/>
      <c r="CG27" s="86"/>
      <c r="CH27" s="101"/>
      <c r="CI27" s="91"/>
      <c r="CJ27" s="40"/>
      <c r="CK27" s="86"/>
      <c r="CL27" s="101"/>
      <c r="CM27" s="91"/>
      <c r="CN27" s="40"/>
      <c r="CO27" s="86"/>
      <c r="CP27" s="101">
        <f>'[25]RD ESFERA'!B27</f>
        <v>9.5260826180000002</v>
      </c>
      <c r="CQ27" s="91">
        <f>'[25]RD ESFERA'!C27</f>
        <v>8.7049101426401293E-2</v>
      </c>
      <c r="CR27" s="40">
        <f>'[25]RD ESFERA'!D27</f>
        <v>0.25174719989257416</v>
      </c>
      <c r="CS27" s="86">
        <f>'[25]RD ESFERA'!E27</f>
        <v>45.835439304986025</v>
      </c>
      <c r="CT27" s="101">
        <f>'[26]RD ESFERA'!B27</f>
        <v>0.67447999999999997</v>
      </c>
      <c r="CU27" s="91">
        <f>'[26]RD ESFERA'!C27</f>
        <v>5.7428413083712836E-3</v>
      </c>
      <c r="CV27" s="40">
        <f>'[26]RD ESFERA'!D27</f>
        <v>1.5974527194677499E-2</v>
      </c>
      <c r="CW27" s="86">
        <f>'[26]RD ESFERA'!E27</f>
        <v>3.1727730835494246</v>
      </c>
    </row>
    <row r="28" spans="1:103" x14ac:dyDescent="0.25">
      <c r="A28" s="85" t="s">
        <v>115</v>
      </c>
      <c r="B28" s="101">
        <f>'[2]RD ESFERA'!B26</f>
        <v>1.3408154100369998</v>
      </c>
      <c r="C28" s="91">
        <f>'[2]RD ESFERA'!C26</f>
        <v>0.11151370738328113</v>
      </c>
      <c r="D28" s="40">
        <f>'[2]RD ESFERA'!D26</f>
        <v>0.36490219712095706</v>
      </c>
      <c r="E28" s="102">
        <f>'[2]RD ESFERA'!E26</f>
        <v>7.7303441684995926</v>
      </c>
      <c r="F28" s="101">
        <f>'[3]RD ESFERA'!B26</f>
        <v>1.8484313608784999</v>
      </c>
      <c r="G28" s="91">
        <f>'[3]RD ESFERA'!C26</f>
        <v>0.14048446411972593</v>
      </c>
      <c r="H28" s="40">
        <f>'[3]RD ESFERA'!D26</f>
        <v>0.43838399491809854</v>
      </c>
      <c r="I28" s="102">
        <f>'[3]RD ESFERA'!E26</f>
        <v>10.656955822908222</v>
      </c>
      <c r="J28" s="101">
        <f>'[4]RD ESFERA'!B26</f>
        <v>2.504430964745</v>
      </c>
      <c r="K28" s="91">
        <f>'[4]RD ESFERA'!C26</f>
        <v>0.16821956161257454</v>
      </c>
      <c r="L28" s="40">
        <f>'[4]RD ESFERA'!D26</f>
        <v>0.50551181788933619</v>
      </c>
      <c r="M28" s="102">
        <f>'[4]RD ESFERA'!E26</f>
        <v>14.048044417618268</v>
      </c>
      <c r="N28" s="101">
        <f>'[5]RD ESFERA'!B26</f>
        <v>3.9654279779105002</v>
      </c>
      <c r="O28" s="91">
        <f>'[5]RD ESFERA'!C26</f>
        <v>0.23082324735356094</v>
      </c>
      <c r="P28" s="40">
        <f>'[5]RD ESFERA'!D26</f>
        <v>0.7080933397919037</v>
      </c>
      <c r="Q28" s="102">
        <f>'[5]RD ESFERA'!E26</f>
        <v>21.954642683267487</v>
      </c>
      <c r="R28" s="101">
        <f>'[6]RD ESFERA'!B26</f>
        <v>4.3162370109694992</v>
      </c>
      <c r="S28" s="91">
        <f>'[6]RD ESFERA'!C26</f>
        <v>0.22046915113155346</v>
      </c>
      <c r="T28" s="40">
        <f>'[6]RD ESFERA'!D26</f>
        <v>0.65571099452604409</v>
      </c>
      <c r="U28" s="102">
        <f>'[6]RD ESFERA'!E26</f>
        <v>23.597408133090621</v>
      </c>
      <c r="V28" s="101">
        <f>'[7]RD ESFERA'!B26</f>
        <v>5.4169217286305003</v>
      </c>
      <c r="W28" s="91">
        <f>'[7]RD ESFERA'!C26</f>
        <v>0.24956045161237639</v>
      </c>
      <c r="X28" s="40">
        <f>'[7]RD ESFERA'!D26</f>
        <v>0.71824907948621974</v>
      </c>
      <c r="Y28" s="102">
        <f>'[7]RD ESFERA'!E26</f>
        <v>29.256808790940397</v>
      </c>
      <c r="Z28" s="101">
        <f>'[8]RD ESFERA'!B26</f>
        <v>6.6025788826970002</v>
      </c>
      <c r="AA28" s="91">
        <f>'[8]RD ESFERA'!C26</f>
        <v>0.27402846635941819</v>
      </c>
      <c r="AB28" s="40">
        <f>'[8]RD ESFERA'!D26</f>
        <v>0.79593661276368932</v>
      </c>
      <c r="AC28" s="102">
        <f>'[8]RD ESFERA'!E26</f>
        <v>35.244743663315013</v>
      </c>
      <c r="AD28" s="101">
        <f>'[9]RD ESFERA'!B26</f>
        <v>5.9031460361859995</v>
      </c>
      <c r="AE28" s="91">
        <f>'[9]RD ESFERA'!C26</f>
        <v>0.21700644519246851</v>
      </c>
      <c r="AF28" s="40">
        <f>'[9]RD ESFERA'!D26</f>
        <v>0.62744725964347192</v>
      </c>
      <c r="AG28" s="102">
        <f>'[9]RD ESFERA'!E26</f>
        <v>31.157290181840754</v>
      </c>
      <c r="AH28" s="101">
        <f>'[10]RD ESFERA'!B26</f>
        <v>8.7186728526785</v>
      </c>
      <c r="AI28" s="91">
        <f>'[10]RD ESFERA'!C26</f>
        <v>0.28036093774038101</v>
      </c>
      <c r="AJ28" s="40">
        <f>'[10]RD ESFERA'!D26</f>
        <v>0.80662287814401956</v>
      </c>
      <c r="AK28" s="102">
        <f>'[10]RD ESFERA'!E26</f>
        <v>45.520606839233636</v>
      </c>
      <c r="AL28" s="101">
        <f>'[11]RD ESFERA'!B26</f>
        <v>6.5769572963649994</v>
      </c>
      <c r="AM28" s="91">
        <f>'[11]RD ESFERA'!C26</f>
        <v>0.19732614278935826</v>
      </c>
      <c r="AN28" s="40">
        <f>'[11]RD ESFERA'!D26</f>
        <v>0.59499833052677564</v>
      </c>
      <c r="AO28" s="102">
        <f>'[11]RD ESFERA'!E26</f>
        <v>33.981721726317389</v>
      </c>
      <c r="AP28" s="101">
        <f>'[12]RD ESFERA'!B27</f>
        <v>8.3848589319554989</v>
      </c>
      <c r="AQ28" s="91">
        <f>'[12]RD ESFERA'!C27</f>
        <v>0.21577944092897888</v>
      </c>
      <c r="AR28" s="40">
        <f>'[12]RD ESFERA'!D27</f>
        <v>0.64930347778154274</v>
      </c>
      <c r="AS28" s="102">
        <f>'[12]RD ESFERA'!E27</f>
        <v>42.889787305150548</v>
      </c>
      <c r="AT28" s="101">
        <f>'[13]RD ESFERA'!B26</f>
        <v>9.7202231520314992</v>
      </c>
      <c r="AU28" s="91">
        <f>'[13]RD ESFERA'!C26</f>
        <v>0.22210636896028502</v>
      </c>
      <c r="AV28" s="40">
        <f>'[13]RD ESFERA'!D26</f>
        <v>0.65166247498543139</v>
      </c>
      <c r="AW28" s="102">
        <f>'[13]RD ESFERA'!E26</f>
        <v>49.241995905082518</v>
      </c>
      <c r="AX28" s="101">
        <f>'[14]RD ESFERA'!B26</f>
        <v>11.850085890220502</v>
      </c>
      <c r="AY28" s="91">
        <f>'[14]RD ESFERA'!C26</f>
        <v>0.2461199704703973</v>
      </c>
      <c r="AZ28" s="40">
        <f>'[14]RD ESFERA'!D26</f>
        <v>0.72339938365232059</v>
      </c>
      <c r="BA28" s="102">
        <f>'[14]RD ESFERA'!E26</f>
        <v>59.475704984113783</v>
      </c>
      <c r="BB28" s="101">
        <f>'[15]RD ESFERA'!B26</f>
        <v>11.899205625902999</v>
      </c>
      <c r="BC28" s="91">
        <f>'[15]RD ESFERA'!C26</f>
        <v>0.22318184449982267</v>
      </c>
      <c r="BD28" s="40">
        <f>'[15]RD ESFERA'!D26</f>
        <v>0.66392700215295819</v>
      </c>
      <c r="BE28" s="86">
        <f>'[15]RD ESFERA'!E26</f>
        <v>59.19039438478157</v>
      </c>
      <c r="BF28" s="101">
        <f>'[16]RD ESFERA'!B26</f>
        <v>13.120187768124001</v>
      </c>
      <c r="BG28" s="91">
        <f>'[16]RD ESFERA'!C26</f>
        <v>0.22703399332238902</v>
      </c>
      <c r="BH28" s="40">
        <f>'[16]RD ESFERA'!D26</f>
        <v>0.6906157007532765</v>
      </c>
      <c r="BI28" s="86">
        <f>'[16]RD ESFERA'!E26</f>
        <v>64.70523654512084</v>
      </c>
      <c r="BJ28" s="101">
        <f>'[17]RD ESFERA'!B26</f>
        <v>9.3164249160899999</v>
      </c>
      <c r="BK28" s="91">
        <f>'[17]RD ESFERA'!C26</f>
        <v>0.15538285326163187</v>
      </c>
      <c r="BL28" s="40">
        <f>'[17]RD ESFERA'!D26</f>
        <v>0.47314770242629012</v>
      </c>
      <c r="BM28" s="86">
        <f>'[17]RD ESFERA'!E26</f>
        <v>45.568086781128294</v>
      </c>
      <c r="BN28" s="101">
        <f>'[18]RD ESFERA'!B26</f>
        <v>6.9050043676900001</v>
      </c>
      <c r="BO28" s="91">
        <f>'[18]RD ESFERA'!C26</f>
        <v>0.11017677525611497</v>
      </c>
      <c r="BP28" s="40">
        <f>'[18]RD ESFERA'!D26</f>
        <v>0.33099167757618564</v>
      </c>
      <c r="BQ28" s="86">
        <f>'[18]RD ESFERA'!E26</f>
        <v>33.506193647227768</v>
      </c>
      <c r="BR28" s="101">
        <f>'[19]RD ESFERA'!B26</f>
        <v>11.441971267040001</v>
      </c>
      <c r="BS28" s="91">
        <f>'[19]RD ESFERA'!C26</f>
        <v>0.17458416088664311</v>
      </c>
      <c r="BT28" s="40">
        <f>'[19]RD ESFERA'!D26</f>
        <v>0.51928601746283898</v>
      </c>
      <c r="BU28" s="86">
        <f>'[19]RD ESFERA'!E26</f>
        <v>55.099297311917546</v>
      </c>
      <c r="BV28" s="101">
        <f>'[20]RD ESFERA'!B26</f>
        <v>19.389403863946647</v>
      </c>
      <c r="BW28" s="91">
        <f>'[20]RD ESFERA'!C26</f>
        <v>0.28144735426267659</v>
      </c>
      <c r="BX28" s="40">
        <f>'[20]RD ESFERA'!D26</f>
        <v>0.81715305514955228</v>
      </c>
      <c r="BY28" s="86">
        <f>'[20]RD ESFERA'!E26</f>
        <v>92.997017499932355</v>
      </c>
      <c r="BZ28" s="101">
        <f>'[21]RD ESFERA'!B26</f>
        <v>19.316705170087751</v>
      </c>
      <c r="CA28" s="91">
        <f>'[21]RD ESFERA'!C26</f>
        <v>0.26142052658273007</v>
      </c>
      <c r="CB28" s="40">
        <f>'[21]RD ESFERA'!D26</f>
        <v>0.77361997929617898</v>
      </c>
      <c r="CC28" s="86">
        <f>'[21]RD ESFERA'!E26</f>
        <v>91.919911681341105</v>
      </c>
      <c r="CD28" s="101">
        <f>'[22]RD ESFERA'!B27</f>
        <v>16.504919300884751</v>
      </c>
      <c r="CE28" s="91">
        <f>'[22]RD ESFERA'!C27</f>
        <v>0.21689610239392113</v>
      </c>
      <c r="CF28" s="40">
        <f>'[22]RD ESFERA'!D27</f>
        <v>0.67324222967648972</v>
      </c>
      <c r="CG28" s="86">
        <f>'[22]RD ESFERA'!E27</f>
        <v>77.943214394844929</v>
      </c>
      <c r="CH28" s="101">
        <f>'[23]RD ESFERA'!B26</f>
        <v>25.887667102744707</v>
      </c>
      <c r="CI28" s="91">
        <f>'[23]RD ESFERA'!C26</f>
        <v>0.29091427462315345</v>
      </c>
      <c r="CJ28" s="40">
        <f>'[23]RD ESFERA'!D26</f>
        <v>0.845735312965188</v>
      </c>
      <c r="CK28" s="86">
        <f>'[23]RD ESFERA'!E26</f>
        <v>121.35736746432258</v>
      </c>
      <c r="CL28" s="101">
        <f>'[24]RD ESFERA'!B26</f>
        <v>38.638605533782524</v>
      </c>
      <c r="CM28" s="91">
        <f>'[24]RD ESFERA'!C26</f>
        <v>0.3833318207230324</v>
      </c>
      <c r="CN28" s="40">
        <f>'[24]RD ESFERA'!D26</f>
        <v>1.0981566710650037</v>
      </c>
      <c r="CO28" s="86">
        <f>'[24]RD ESFERA'!E26</f>
        <v>190.26226952682077</v>
      </c>
      <c r="CP28" s="101">
        <f>'[25]RD ESFERA'!B28</f>
        <v>32.865946979269999</v>
      </c>
      <c r="CQ28" s="91">
        <f>'[25]RD ESFERA'!C28</f>
        <v>0.30032819016993345</v>
      </c>
      <c r="CR28" s="40">
        <f>'[25]RD ESFERA'!D28</f>
        <v>0.86855326115008391</v>
      </c>
      <c r="CS28" s="86">
        <f>'[25]RD ESFERA'!E28</f>
        <v>158.13689408096826</v>
      </c>
      <c r="CT28" s="101">
        <f>'[26]RD ESFERA'!B28</f>
        <v>33.409992068999998</v>
      </c>
      <c r="CU28" s="91">
        <f>'[26]RD ESFERA'!C28</f>
        <v>0.28446845357343459</v>
      </c>
      <c r="CV28" s="40">
        <f>'[26]RD ESFERA'!D28</f>
        <v>0.79128932937996677</v>
      </c>
      <c r="CW28" s="86">
        <f>'[26]RD ESFERA'!E28</f>
        <v>157.16155194834974</v>
      </c>
    </row>
    <row r="29" spans="1:103" x14ac:dyDescent="0.25">
      <c r="A29" s="75"/>
      <c r="B29" s="101">
        <f>'[2]RD ESFERA'!B27</f>
        <v>0</v>
      </c>
      <c r="C29" s="91">
        <f>'[2]RD ESFERA'!C27</f>
        <v>0</v>
      </c>
      <c r="D29" s="40">
        <f>'[2]RD ESFERA'!D27</f>
        <v>0</v>
      </c>
      <c r="E29" s="102">
        <f>'[2]RD ESFERA'!E27</f>
        <v>0</v>
      </c>
      <c r="F29" s="101">
        <f>'[3]RD ESFERA'!B27</f>
        <v>0</v>
      </c>
      <c r="G29" s="91">
        <f>'[3]RD ESFERA'!C27</f>
        <v>0</v>
      </c>
      <c r="H29" s="40">
        <f>'[3]RD ESFERA'!D27</f>
        <v>0</v>
      </c>
      <c r="I29" s="102">
        <f>'[3]RD ESFERA'!E27</f>
        <v>0</v>
      </c>
      <c r="J29" s="101">
        <f>'[4]RD ESFERA'!B27</f>
        <v>0</v>
      </c>
      <c r="K29" s="91">
        <f>'[4]RD ESFERA'!C27</f>
        <v>0</v>
      </c>
      <c r="L29" s="40">
        <f>'[4]RD ESFERA'!D27</f>
        <v>0</v>
      </c>
      <c r="M29" s="102">
        <f>'[4]RD ESFERA'!E27</f>
        <v>0</v>
      </c>
      <c r="N29" s="101">
        <f>'[5]RD ESFERA'!B27</f>
        <v>0</v>
      </c>
      <c r="O29" s="91">
        <f>'[5]RD ESFERA'!C27</f>
        <v>0</v>
      </c>
      <c r="P29" s="40">
        <f>'[5]RD ESFERA'!D27</f>
        <v>0</v>
      </c>
      <c r="Q29" s="102">
        <f>'[5]RD ESFERA'!E27</f>
        <v>0</v>
      </c>
      <c r="R29" s="101">
        <f>'[6]RD ESFERA'!B27</f>
        <v>0</v>
      </c>
      <c r="S29" s="91">
        <f>'[6]RD ESFERA'!C27</f>
        <v>0</v>
      </c>
      <c r="T29" s="40">
        <f>'[6]RD ESFERA'!D27</f>
        <v>0</v>
      </c>
      <c r="U29" s="102">
        <f>'[6]RD ESFERA'!E27</f>
        <v>0</v>
      </c>
      <c r="V29" s="101">
        <f>'[7]RD ESFERA'!B27</f>
        <v>0</v>
      </c>
      <c r="W29" s="91">
        <f>'[7]RD ESFERA'!C27</f>
        <v>0</v>
      </c>
      <c r="X29" s="40">
        <f>'[7]RD ESFERA'!D27</f>
        <v>0</v>
      </c>
      <c r="Y29" s="102">
        <f>'[7]RD ESFERA'!E27</f>
        <v>0</v>
      </c>
      <c r="Z29" s="101">
        <f>'[8]RD ESFERA'!B27</f>
        <v>0</v>
      </c>
      <c r="AA29" s="91">
        <f>'[8]RD ESFERA'!C27</f>
        <v>0</v>
      </c>
      <c r="AB29" s="40">
        <f>'[8]RD ESFERA'!D27</f>
        <v>0</v>
      </c>
      <c r="AC29" s="102">
        <f>'[8]RD ESFERA'!E27</f>
        <v>0</v>
      </c>
      <c r="AD29" s="101">
        <f>'[9]RD ESFERA'!B27</f>
        <v>0</v>
      </c>
      <c r="AE29" s="91">
        <f>'[9]RD ESFERA'!C27</f>
        <v>0</v>
      </c>
      <c r="AF29" s="40">
        <f>'[9]RD ESFERA'!D27</f>
        <v>0</v>
      </c>
      <c r="AG29" s="102">
        <f>'[9]RD ESFERA'!E27</f>
        <v>0</v>
      </c>
      <c r="AH29" s="101">
        <f>'[10]RD ESFERA'!B27</f>
        <v>0</v>
      </c>
      <c r="AI29" s="91">
        <f>'[10]RD ESFERA'!C27</f>
        <v>0</v>
      </c>
      <c r="AJ29" s="40">
        <f>'[10]RD ESFERA'!D27</f>
        <v>0</v>
      </c>
      <c r="AK29" s="102">
        <f>'[10]RD ESFERA'!E27</f>
        <v>0</v>
      </c>
      <c r="AL29" s="101">
        <f>'[11]RD ESFERA'!B27</f>
        <v>0</v>
      </c>
      <c r="AM29" s="91">
        <f>'[11]RD ESFERA'!C27</f>
        <v>0</v>
      </c>
      <c r="AN29" s="40">
        <f>'[11]RD ESFERA'!D27</f>
        <v>0</v>
      </c>
      <c r="AO29" s="102">
        <f>'[11]RD ESFERA'!E27</f>
        <v>0</v>
      </c>
      <c r="AP29" s="101">
        <f>'[12]RD ESFERA'!B28</f>
        <v>0</v>
      </c>
      <c r="AQ29" s="91">
        <f>'[12]RD ESFERA'!C28</f>
        <v>0</v>
      </c>
      <c r="AR29" s="40">
        <f>'[12]RD ESFERA'!D28</f>
        <v>0</v>
      </c>
      <c r="AS29" s="102">
        <f>'[12]RD ESFERA'!E28</f>
        <v>0</v>
      </c>
      <c r="AT29" s="101">
        <f>'[13]RD ESFERA'!B27</f>
        <v>0</v>
      </c>
      <c r="AU29" s="91">
        <f>'[13]RD ESFERA'!C27</f>
        <v>0</v>
      </c>
      <c r="AV29" s="40">
        <f>'[13]RD ESFERA'!D27</f>
        <v>0</v>
      </c>
      <c r="AW29" s="102">
        <f>'[13]RD ESFERA'!E27</f>
        <v>0</v>
      </c>
      <c r="AX29" s="101">
        <f>'[14]RD ESFERA'!B27</f>
        <v>0</v>
      </c>
      <c r="AY29" s="91">
        <f>'[14]RD ESFERA'!C27</f>
        <v>0</v>
      </c>
      <c r="AZ29" s="40">
        <f>'[14]RD ESFERA'!D27</f>
        <v>0</v>
      </c>
      <c r="BA29" s="102">
        <f>'[14]RD ESFERA'!E27</f>
        <v>0</v>
      </c>
      <c r="BB29" s="101">
        <f>'[15]RD ESFERA'!B27</f>
        <v>0</v>
      </c>
      <c r="BC29" s="91">
        <f>'[15]RD ESFERA'!C27</f>
        <v>0</v>
      </c>
      <c r="BD29" s="40">
        <f>'[15]RD ESFERA'!D27</f>
        <v>0</v>
      </c>
      <c r="BE29" s="86">
        <f>'[15]RD ESFERA'!E27</f>
        <v>0</v>
      </c>
      <c r="BF29" s="101">
        <f>'[16]RD ESFERA'!B27</f>
        <v>0</v>
      </c>
      <c r="BG29" s="91">
        <f>'[16]RD ESFERA'!C27</f>
        <v>0</v>
      </c>
      <c r="BH29" s="40">
        <f>'[16]RD ESFERA'!D27</f>
        <v>0</v>
      </c>
      <c r="BI29" s="86">
        <f>'[16]RD ESFERA'!E27</f>
        <v>0</v>
      </c>
      <c r="BJ29" s="101">
        <f>'[17]RD ESFERA'!B27</f>
        <v>0</v>
      </c>
      <c r="BK29" s="91">
        <f>'[17]RD ESFERA'!C27</f>
        <v>0</v>
      </c>
      <c r="BL29" s="40">
        <f>'[17]RD ESFERA'!D27</f>
        <v>0</v>
      </c>
      <c r="BM29" s="86">
        <f>'[17]RD ESFERA'!E27</f>
        <v>0</v>
      </c>
      <c r="BN29" s="101">
        <f>'[18]RD ESFERA'!B27</f>
        <v>0</v>
      </c>
      <c r="BO29" s="91">
        <f>'[18]RD ESFERA'!C27</f>
        <v>0</v>
      </c>
      <c r="BP29" s="40">
        <f>'[18]RD ESFERA'!D27</f>
        <v>0</v>
      </c>
      <c r="BQ29" s="86">
        <f>'[18]RD ESFERA'!E27</f>
        <v>0</v>
      </c>
      <c r="BR29" s="101">
        <f>'[19]RD ESFERA'!B27</f>
        <v>0</v>
      </c>
      <c r="BS29" s="91">
        <f>'[19]RD ESFERA'!C27</f>
        <v>0</v>
      </c>
      <c r="BT29" s="40">
        <f>'[19]RD ESFERA'!D27</f>
        <v>0</v>
      </c>
      <c r="BU29" s="86">
        <f>'[19]RD ESFERA'!E27</f>
        <v>0</v>
      </c>
      <c r="BV29" s="101"/>
      <c r="BW29" s="91"/>
      <c r="BX29" s="40"/>
      <c r="BY29" s="86"/>
      <c r="BZ29" s="101">
        <f>'[21]RD ESFERA'!B27</f>
        <v>0</v>
      </c>
      <c r="CA29" s="91">
        <f>'[21]RD ESFERA'!C27</f>
        <v>0</v>
      </c>
      <c r="CB29" s="40">
        <f>'[21]RD ESFERA'!D27</f>
        <v>0</v>
      </c>
      <c r="CC29" s="86">
        <f>'[21]RD ESFERA'!E27</f>
        <v>0</v>
      </c>
      <c r="CD29" s="101">
        <f>'[22]RD ESFERA'!B28</f>
        <v>0</v>
      </c>
      <c r="CE29" s="91">
        <f>'[22]RD ESFERA'!C28</f>
        <v>0</v>
      </c>
      <c r="CF29" s="40">
        <f>'[22]RD ESFERA'!D28</f>
        <v>0</v>
      </c>
      <c r="CG29" s="86">
        <f>'[22]RD ESFERA'!E28</f>
        <v>0</v>
      </c>
      <c r="CH29" s="101"/>
      <c r="CI29" s="91"/>
      <c r="CJ29" s="40"/>
      <c r="CK29" s="86"/>
      <c r="CL29" s="101"/>
      <c r="CM29" s="91"/>
      <c r="CN29" s="40"/>
      <c r="CO29" s="86"/>
      <c r="CP29" s="101">
        <f>'[25]RD ESFERA'!B29</f>
        <v>0</v>
      </c>
      <c r="CQ29" s="91">
        <f>'[25]RD ESFERA'!C29</f>
        <v>0</v>
      </c>
      <c r="CR29" s="40">
        <f>'[25]RD ESFERA'!D29</f>
        <v>0</v>
      </c>
      <c r="CS29" s="86">
        <f>'[25]RD ESFERA'!E29</f>
        <v>0</v>
      </c>
      <c r="CT29" s="101">
        <f>'[26]RD ESFERA'!B29</f>
        <v>0</v>
      </c>
      <c r="CU29" s="91">
        <f>'[26]RD ESFERA'!C29</f>
        <v>0</v>
      </c>
      <c r="CV29" s="40">
        <f>'[26]RD ESFERA'!D29</f>
        <v>0</v>
      </c>
      <c r="CW29" s="86">
        <f>'[26]RD ESFERA'!E29</f>
        <v>0</v>
      </c>
    </row>
    <row r="30" spans="1:103" s="9" customFormat="1" x14ac:dyDescent="0.25">
      <c r="A30" s="73" t="s">
        <v>43</v>
      </c>
      <c r="B30" s="20">
        <f>'[2]RD ESFERA'!B28</f>
        <v>17.668406301677003</v>
      </c>
      <c r="C30" s="31">
        <f>'[2]RD ESFERA'!C28</f>
        <v>1.4694561798031247</v>
      </c>
      <c r="D30" s="21">
        <f>'[2]RD ESFERA'!D28</f>
        <v>4.8084473305164286</v>
      </c>
      <c r="E30" s="100">
        <f>'[2]RD ESFERA'!E28</f>
        <v>101.86552197895853</v>
      </c>
      <c r="F30" s="20">
        <f>'[3]RD ESFERA'!B28</f>
        <v>20.569945644178503</v>
      </c>
      <c r="G30" s="31">
        <f>'[3]RD ESFERA'!C28</f>
        <v>1.5633568289064834</v>
      </c>
      <c r="H30" s="21">
        <f>'[3]RD ESFERA'!D28</f>
        <v>4.8784797410369443</v>
      </c>
      <c r="I30" s="100">
        <f>'[3]RD ESFERA'!E28</f>
        <v>118.59407205980797</v>
      </c>
      <c r="J30" s="20">
        <f>'[4]RD ESFERA'!B28</f>
        <v>25.487572170534996</v>
      </c>
      <c r="K30" s="31">
        <f>'[4]RD ESFERA'!C28</f>
        <v>1.7119690170947894</v>
      </c>
      <c r="L30" s="21">
        <f>'[4]RD ESFERA'!D28</f>
        <v>5.144589378938889</v>
      </c>
      <c r="M30" s="100">
        <f>'[4]RD ESFERA'!E28</f>
        <v>142.96682599329841</v>
      </c>
      <c r="N30" s="20">
        <f>'[5]RD ESFERA'!B28</f>
        <v>27.222160074390501</v>
      </c>
      <c r="O30" s="31">
        <f>'[5]RD ESFERA'!C28</f>
        <v>1.5845723143508548</v>
      </c>
      <c r="P30" s="21">
        <f>'[5]RD ESFERA'!D28</f>
        <v>4.8609709597050834</v>
      </c>
      <c r="Q30" s="100">
        <f>'[5]RD ESFERA'!E28</f>
        <v>150.71583718811468</v>
      </c>
      <c r="R30" s="20">
        <f>'[6]RD ESFERA'!B28</f>
        <v>30.5146213952995</v>
      </c>
      <c r="S30" s="31">
        <f>'[6]RD ESFERA'!C28</f>
        <v>1.5586569178255818</v>
      </c>
      <c r="T30" s="21">
        <f>'[6]RD ESFERA'!D28</f>
        <v>4.6356983390500215</v>
      </c>
      <c r="U30" s="100">
        <f>'[6]RD ESFERA'!E28</f>
        <v>166.82725560751413</v>
      </c>
      <c r="V30" s="20">
        <f>'[7]RD ESFERA'!B28</f>
        <v>37.937271841640495</v>
      </c>
      <c r="W30" s="31">
        <f>'[7]RD ESFERA'!C28</f>
        <v>1.7477901967276335</v>
      </c>
      <c r="X30" s="21">
        <f>'[7]RD ESFERA'!D28</f>
        <v>5.0302389333887767</v>
      </c>
      <c r="Y30" s="100">
        <f>'[7]RD ESFERA'!E28</f>
        <v>204.89930700944663</v>
      </c>
      <c r="Z30" s="20">
        <f>'[8]RD ESFERA'!B28</f>
        <v>42.020443918457005</v>
      </c>
      <c r="AA30" s="31">
        <f>'[8]RD ESFERA'!C28</f>
        <v>1.7439848894335641</v>
      </c>
      <c r="AB30" s="21">
        <f>'[8]RD ESFERA'!D28</f>
        <v>5.0655373291990831</v>
      </c>
      <c r="AC30" s="100">
        <f>'[8]RD ESFERA'!E28</f>
        <v>224.30625984732916</v>
      </c>
      <c r="AD30" s="20">
        <f>'[9]RD ESFERA'!B28</f>
        <v>48.891640347310606</v>
      </c>
      <c r="AE30" s="31">
        <f>'[9]RD ESFERA'!C28</f>
        <v>1.7973129931668597</v>
      </c>
      <c r="AF30" s="21">
        <f>'[9]RD ESFERA'!D28</f>
        <v>5.1967079193613337</v>
      </c>
      <c r="AG30" s="100">
        <f>'[9]RD ESFERA'!E28</f>
        <v>258.05409800628416</v>
      </c>
      <c r="AH30" s="20">
        <f>'[10]RD ESFERA'!B28</f>
        <v>60.040809306678469</v>
      </c>
      <c r="AI30" s="31">
        <f>'[10]RD ESFERA'!C28</f>
        <v>1.9306949445568895</v>
      </c>
      <c r="AJ30" s="21">
        <f>'[10]RD ESFERA'!D28</f>
        <v>5.554777800175259</v>
      </c>
      <c r="AK30" s="100">
        <f>'[10]RD ESFERA'!E28</f>
        <v>313.47592930030231</v>
      </c>
      <c r="AL30" s="20">
        <f>'[11]RD ESFERA'!B28</f>
        <v>61.520866813824988</v>
      </c>
      <c r="AM30" s="31">
        <f>'[11]RD ESFERA'!C28</f>
        <v>1.8457889875823534</v>
      </c>
      <c r="AN30" s="21">
        <f>'[11]RD ESFERA'!D28</f>
        <v>5.5656151313339075</v>
      </c>
      <c r="AO30" s="100">
        <f>'[11]RD ESFERA'!E28</f>
        <v>317.86506772435257</v>
      </c>
      <c r="AP30" s="20">
        <f>'[12]RD ESFERA'!B29</f>
        <v>65.821088020225503</v>
      </c>
      <c r="AQ30" s="31">
        <f>'[12]RD ESFERA'!C29</f>
        <v>1.6938672063059994</v>
      </c>
      <c r="AR30" s="21">
        <f>'[12]RD ESFERA'!D29</f>
        <v>5.0970280728301072</v>
      </c>
      <c r="AS30" s="100">
        <f>'[12]RD ESFERA'!E29</f>
        <v>336.68455108077512</v>
      </c>
      <c r="AT30" s="20">
        <f>'[13]RD ESFERA'!B28</f>
        <v>82.133487171021471</v>
      </c>
      <c r="AU30" s="31">
        <f>'[13]RD ESFERA'!C28</f>
        <v>1.8767440130002699</v>
      </c>
      <c r="AV30" s="21">
        <f>'[13]RD ESFERA'!D28</f>
        <v>5.5063871160062625</v>
      </c>
      <c r="AW30" s="100">
        <f>'[13]RD ESFERA'!E28</f>
        <v>416.08271494264147</v>
      </c>
      <c r="AX30" s="20">
        <f>'[14]RD ESFERA'!B28</f>
        <v>81.715679402970466</v>
      </c>
      <c r="AY30" s="31">
        <f>'[14]RD ESFERA'!C28</f>
        <v>1.6971911248529619</v>
      </c>
      <c r="AZ30" s="21">
        <f>'[14]RD ESFERA'!D28</f>
        <v>4.9884087476212802</v>
      </c>
      <c r="BA30" s="100">
        <f>'[14]RD ESFERA'!E28</f>
        <v>410.13184931920011</v>
      </c>
      <c r="BB30" s="20">
        <f>'[15]RD ESFERA'!B28</f>
        <v>92.002261620862981</v>
      </c>
      <c r="BC30" s="31">
        <f>'[15]RD ESFERA'!C28</f>
        <v>1.7255970770016196</v>
      </c>
      <c r="BD30" s="21">
        <f>'[15]RD ESFERA'!D28</f>
        <v>5.1333498781013214</v>
      </c>
      <c r="BE30" s="84">
        <f>'[15]RD ESFERA'!E28</f>
        <v>457.64820953898567</v>
      </c>
      <c r="BF30" s="20">
        <f>'[16]RD ESFERA'!B28</f>
        <v>101.82956247236396</v>
      </c>
      <c r="BG30" s="31">
        <f>'[16]RD ESFERA'!C28</f>
        <v>1.7620763219974964</v>
      </c>
      <c r="BH30" s="21">
        <f>'[16]RD ESFERA'!D28</f>
        <v>5.3600676977435278</v>
      </c>
      <c r="BI30" s="84">
        <f>'[16]RD ESFERA'!E28</f>
        <v>502.19600843430533</v>
      </c>
      <c r="BJ30" s="20">
        <f>'[17]RD ESFERA'!B28</f>
        <v>105.83442504350997</v>
      </c>
      <c r="BK30" s="31">
        <f>'[17]RD ESFERA'!C28</f>
        <v>1.7651465111003775</v>
      </c>
      <c r="BL30" s="21">
        <f>'[17]RD ESFERA'!D28</f>
        <v>5.3749496719993122</v>
      </c>
      <c r="BM30" s="84">
        <f>'[17]RD ESFERA'!E28</f>
        <v>517.65267345035409</v>
      </c>
      <c r="BN30" s="20">
        <f>'[18]RD ESFERA'!B28</f>
        <v>119.79867309733299</v>
      </c>
      <c r="BO30" s="31">
        <f>'[18]RD ESFERA'!C28</f>
        <v>1.9115167462582279</v>
      </c>
      <c r="BP30" s="21">
        <f>'[18]RD ESFERA'!D28</f>
        <v>5.7425544819970344</v>
      </c>
      <c r="BQ30" s="84">
        <f>'[18]RD ESFERA'!E28</f>
        <v>581.31716154482558</v>
      </c>
      <c r="BR30" s="20">
        <f>'[19]RD ESFERA'!B28</f>
        <v>117.87147020057277</v>
      </c>
      <c r="BS30" s="31">
        <f>'[19]RD ESFERA'!C28</f>
        <v>1.7985092985437585</v>
      </c>
      <c r="BT30" s="21">
        <f>'[19]RD ESFERA'!D28</f>
        <v>5.3495158224409423</v>
      </c>
      <c r="BU30" s="84">
        <f>'[19]RD ESFERA'!E28</f>
        <v>567.61505772023565</v>
      </c>
      <c r="BV30" s="20">
        <f>'[20]RD ESFERA'!B28</f>
        <v>130.01233428590555</v>
      </c>
      <c r="BW30" s="31">
        <f>'[20]RD ESFERA'!C28</f>
        <v>1.8871971393778939</v>
      </c>
      <c r="BX30" s="21">
        <f>'[20]RD ESFERA'!D28</f>
        <v>5.4792801735590748</v>
      </c>
      <c r="BY30" s="84">
        <f>'[20]RD ESFERA'!E28</f>
        <v>623.57560921588754</v>
      </c>
      <c r="BZ30" s="20">
        <f>'[21]RD ESFERA'!B28</f>
        <v>140.87749275265452</v>
      </c>
      <c r="CA30" s="31">
        <f>'[21]RD ESFERA'!C28</f>
        <v>1.9065502120973969</v>
      </c>
      <c r="CB30" s="21">
        <f>'[21]RD ESFERA'!D28</f>
        <v>5.6420410244378711</v>
      </c>
      <c r="CC30" s="84">
        <f>'[21]RD ESFERA'!E28</f>
        <v>670.37554167183828</v>
      </c>
      <c r="CD30" s="20">
        <f>'[22]RD ESFERA'!B29</f>
        <v>164.0403221811795</v>
      </c>
      <c r="CE30" s="31">
        <f>'[22]RD ESFERA'!C29</f>
        <v>2.1557031493412797</v>
      </c>
      <c r="CF30" s="21">
        <f>'[22]RD ESFERA'!D29</f>
        <v>6.6912700540248595</v>
      </c>
      <c r="CG30" s="84">
        <f>'[22]RD ESFERA'!E29</f>
        <v>774.66782891096739</v>
      </c>
      <c r="CH30" s="20">
        <f>'[23]RD ESFERA'!B28</f>
        <v>186.31269442708998</v>
      </c>
      <c r="CI30" s="31">
        <f>'[23]RD ESFERA'!C28</f>
        <v>2.0937005307286087</v>
      </c>
      <c r="CJ30" s="21">
        <f>'[23]RD ESFERA'!D28</f>
        <v>6.0867294185027632</v>
      </c>
      <c r="CK30" s="84">
        <f>'[23]RD ESFERA'!E28</f>
        <v>873.40500907705041</v>
      </c>
      <c r="CL30" s="20">
        <f>'[24]RD ESFERA'!B28</f>
        <v>243.67208175423798</v>
      </c>
      <c r="CM30" s="31">
        <f>'[24]RD ESFERA'!C28</f>
        <v>2.4174594674892131</v>
      </c>
      <c r="CN30" s="21">
        <f>'[24]RD ESFERA'!D28</f>
        <v>6.9254601307170356</v>
      </c>
      <c r="CO30" s="84">
        <f>'[24]RD ESFERA'!E28</f>
        <v>1199.8777557940448</v>
      </c>
      <c r="CP30" s="20">
        <f>'[25]RD ESFERA'!B30</f>
        <v>266.99125985373001</v>
      </c>
      <c r="CQ30" s="31">
        <f>'[25]RD ESFERA'!C30</f>
        <v>2.4397593628942857</v>
      </c>
      <c r="CR30" s="21">
        <f>'[25]RD ESFERA'!D30</f>
        <v>7.0558176702102564</v>
      </c>
      <c r="CS30" s="84">
        <f>'[25]RD ESFERA'!E30</f>
        <v>1284.6478638410854</v>
      </c>
      <c r="CT30" s="20">
        <f>'[26]RD ESFERA'!B30</f>
        <v>306.13700640103002</v>
      </c>
      <c r="CU30" s="31">
        <f>'[26]RD ESFERA'!C30</f>
        <v>2.606595075289051</v>
      </c>
      <c r="CV30" s="21">
        <f>'[26]RD ESFERA'!D30</f>
        <v>7.2506137084130184</v>
      </c>
      <c r="CW30" s="84">
        <f>'[26]RD ESFERA'!E30</f>
        <v>1440.0771761765893</v>
      </c>
      <c r="CX30" s="13"/>
    </row>
    <row r="31" spans="1:103" x14ac:dyDescent="0.25">
      <c r="A31" s="75" t="s">
        <v>44</v>
      </c>
      <c r="B31" s="101">
        <f>'[2]RD ESFERA'!B29</f>
        <v>12.816400875720001</v>
      </c>
      <c r="C31" s="91">
        <f>'[2]RD ESFERA'!C29</f>
        <v>1.0659218012138074</v>
      </c>
      <c r="D31" s="40">
        <f>'[2]RD ESFERA'!D29</f>
        <v>3.4879766474373484</v>
      </c>
      <c r="E31" s="102">
        <f>'[2]RD ESFERA'!E29</f>
        <v>73.891744552698128</v>
      </c>
      <c r="F31" s="101">
        <f>'[3]RD ESFERA'!B29</f>
        <v>15.023859591200001</v>
      </c>
      <c r="G31" s="91">
        <f>'[3]RD ESFERA'!C29</f>
        <v>1.1418432452242249</v>
      </c>
      <c r="H31" s="40">
        <f>'[3]RD ESFERA'!D29</f>
        <v>3.5631399283058194</v>
      </c>
      <c r="I31" s="102">
        <f>'[3]RD ESFERA'!E29</f>
        <v>86.61863856113105</v>
      </c>
      <c r="J31" s="101">
        <f>'[4]RD ESFERA'!B29</f>
        <v>18.594706469169999</v>
      </c>
      <c r="K31" s="91">
        <f>'[4]RD ESFERA'!C29</f>
        <v>1.2489836671847618</v>
      </c>
      <c r="L31" s="40">
        <f>'[4]RD ESFERA'!D29</f>
        <v>3.7532852782411648</v>
      </c>
      <c r="M31" s="102">
        <f>'[4]RD ESFERA'!E29</f>
        <v>104.3028400817074</v>
      </c>
      <c r="N31" s="101">
        <f>'[5]RD ESFERA'!B29</f>
        <v>19.342890965630005</v>
      </c>
      <c r="O31" s="91">
        <f>'[5]RD ESFERA'!C29</f>
        <v>1.1259286338735124</v>
      </c>
      <c r="P31" s="40">
        <f>'[5]RD ESFERA'!D29</f>
        <v>3.4539959725357852</v>
      </c>
      <c r="Q31" s="102">
        <f>'[5]RD ESFERA'!E29</f>
        <v>107.09216305968029</v>
      </c>
      <c r="R31" s="101">
        <f>'[6]RD ESFERA'!B29</f>
        <v>21.32198525998</v>
      </c>
      <c r="S31" s="91">
        <f>'[6]RD ESFERA'!C29</f>
        <v>1.0891060844806106</v>
      </c>
      <c r="T31" s="40">
        <f>'[6]RD ESFERA'!D29</f>
        <v>3.2391780443379217</v>
      </c>
      <c r="U31" s="102">
        <f>'[6]RD ESFERA'!E29</f>
        <v>116.56996293502331</v>
      </c>
      <c r="V31" s="101">
        <f>'[7]RD ESFERA'!B29</f>
        <v>26.675875945320001</v>
      </c>
      <c r="W31" s="91">
        <f>'[7]RD ESFERA'!C29</f>
        <v>1.2289717263005135</v>
      </c>
      <c r="X31" s="40">
        <f>'[7]RD ESFERA'!D29</f>
        <v>3.5370500631285058</v>
      </c>
      <c r="Y31" s="102">
        <f>'[7]RD ESFERA'!E29</f>
        <v>144.0764775570029</v>
      </c>
      <c r="Z31" s="101">
        <f>'[8]RD ESFERA'!B29</f>
        <v>29.502772203999999</v>
      </c>
      <c r="AA31" s="91">
        <f>'[8]RD ESFERA'!C29</f>
        <v>1.2244608605283365</v>
      </c>
      <c r="AB31" s="40">
        <f>'[8]RD ESFERA'!D29</f>
        <v>3.556540102342328</v>
      </c>
      <c r="AC31" s="102">
        <f>'[8]RD ESFERA'!E29</f>
        <v>157.48659155169594</v>
      </c>
      <c r="AD31" s="101">
        <f>'[9]RD ESFERA'!B29</f>
        <v>33.934881729929998</v>
      </c>
      <c r="AE31" s="91">
        <f>'[9]RD ESFERA'!C29</f>
        <v>1.2474853251295923</v>
      </c>
      <c r="AF31" s="40">
        <f>'[9]RD ESFERA'!D29</f>
        <v>3.6069493143569269</v>
      </c>
      <c r="AG31" s="102">
        <f>'[9]RD ESFERA'!E29</f>
        <v>179.11109616203984</v>
      </c>
      <c r="AH31" s="101">
        <f>'[10]RD ESFERA'!B29</f>
        <v>42.301648168159979</v>
      </c>
      <c r="AI31" s="91">
        <f>'[10]RD ESFERA'!C29</f>
        <v>1.3602677779962262</v>
      </c>
      <c r="AJ31" s="40">
        <f>'[10]RD ESFERA'!D29</f>
        <v>3.913609074706168</v>
      </c>
      <c r="AK31" s="102">
        <f>'[10]RD ESFERA'!E29</f>
        <v>220.8589228488861</v>
      </c>
      <c r="AL31" s="101">
        <f>'[11]RD ESFERA'!B29</f>
        <v>40.001030827120019</v>
      </c>
      <c r="AM31" s="91">
        <f>'[11]RD ESFERA'!C29</f>
        <v>1.2001368969015969</v>
      </c>
      <c r="AN31" s="40">
        <f>'[11]RD ESFERA'!D29</f>
        <v>3.6187777248669013</v>
      </c>
      <c r="AO31" s="102">
        <f>'[11]RD ESFERA'!E29</f>
        <v>206.67671038160853</v>
      </c>
      <c r="AP31" s="101">
        <f>'[12]RD ESFERA'!B30</f>
        <v>43.068937166680001</v>
      </c>
      <c r="AQ31" s="91">
        <f>'[12]RD ESFERA'!C30</f>
        <v>1.1083539101431426</v>
      </c>
      <c r="AR31" s="40">
        <f>'[12]RD ESFERA'!D30</f>
        <v>3.335155774667061</v>
      </c>
      <c r="AS31" s="102">
        <f>'[12]RD ESFERA'!E30</f>
        <v>220.30395138764658</v>
      </c>
      <c r="AT31" s="101">
        <f>'[13]RD ESFERA'!B29</f>
        <v>53.097363070559979</v>
      </c>
      <c r="AU31" s="91">
        <f>'[13]RD ESFERA'!C29</f>
        <v>1.2132707581413136</v>
      </c>
      <c r="AV31" s="40">
        <f>'[13]RD ESFERA'!D29</f>
        <v>3.5597494514855379</v>
      </c>
      <c r="AW31" s="102">
        <f>'[13]RD ESFERA'!E29</f>
        <v>268.98766561184823</v>
      </c>
      <c r="AX31" s="101">
        <f>'[14]RD ESFERA'!B29</f>
        <v>54.746846968819973</v>
      </c>
      <c r="AY31" s="91">
        <f>'[14]RD ESFERA'!C29</f>
        <v>1.1370628436063266</v>
      </c>
      <c r="AZ31" s="40">
        <f>'[14]RD ESFERA'!D29</f>
        <v>3.3420715867414992</v>
      </c>
      <c r="BA31" s="102">
        <f>'[14]RD ESFERA'!E29</f>
        <v>274.77499735382702</v>
      </c>
      <c r="BB31" s="101">
        <f>'[15]RD ESFERA'!B29</f>
        <v>58.878035229069987</v>
      </c>
      <c r="BC31" s="91">
        <f>'[15]RD ESFERA'!C29</f>
        <v>1.1043181298039111</v>
      </c>
      <c r="BD31" s="40">
        <f>'[15]RD ESFERA'!D29</f>
        <v>3.2851535347197771</v>
      </c>
      <c r="BE31" s="86">
        <f>'[15]RD ESFERA'!E29</f>
        <v>292.87788070686838</v>
      </c>
      <c r="BF31" s="101">
        <f>'[16]RD ESFERA'!B29</f>
        <v>64.158174315749989</v>
      </c>
      <c r="BG31" s="91">
        <f>'[16]RD ESFERA'!C29</f>
        <v>1.1102041202922048</v>
      </c>
      <c r="BH31" s="40">
        <f>'[16]RD ESFERA'!D29</f>
        <v>3.377134786269758</v>
      </c>
      <c r="BI31" s="86">
        <f>'[16]RD ESFERA'!E29</f>
        <v>316.41085621423895</v>
      </c>
      <c r="BJ31" s="101">
        <f>'[17]RD ESFERA'!B29</f>
        <v>68.398980852999969</v>
      </c>
      <c r="BK31" s="91">
        <f>'[17]RD ESFERA'!C29</f>
        <v>1.140784034739726</v>
      </c>
      <c r="BL31" s="40">
        <f>'[17]RD ESFERA'!D29</f>
        <v>3.473738148525654</v>
      </c>
      <c r="BM31" s="86">
        <f>'[17]RD ESFERA'!E29</f>
        <v>334.55007938370483</v>
      </c>
      <c r="BN31" s="101">
        <f>'[18]RD ESFERA'!B29</f>
        <v>79.910745230149999</v>
      </c>
      <c r="BO31" s="91">
        <f>'[18]RD ESFERA'!C29</f>
        <v>1.2750619331927071</v>
      </c>
      <c r="BP31" s="40">
        <f>'[18]RD ESFERA'!D29</f>
        <v>3.8305249659007869</v>
      </c>
      <c r="BQ31" s="86">
        <f>'[18]RD ESFERA'!E29</f>
        <v>387.76295590837117</v>
      </c>
      <c r="BR31" s="101">
        <f>'[19]RD ESFERA'!B29</f>
        <v>77.634613207520019</v>
      </c>
      <c r="BS31" s="91">
        <f>'[19]RD ESFERA'!C29</f>
        <v>1.1845663204588956</v>
      </c>
      <c r="BT31" s="40">
        <f>'[19]RD ESFERA'!D29</f>
        <v>3.5233936678316993</v>
      </c>
      <c r="BU31" s="86">
        <f>'[19]RD ESFERA'!E29</f>
        <v>373.85276845949204</v>
      </c>
      <c r="BV31" s="101">
        <f>'[20]RD ESFERA'!B29</f>
        <v>83.010505468440016</v>
      </c>
      <c r="BW31" s="91">
        <f>'[20]RD ESFERA'!C29</f>
        <v>1.2049409720915687</v>
      </c>
      <c r="BX31" s="40">
        <f>'[20]RD ESFERA'!D29</f>
        <v>3.4984205099350247</v>
      </c>
      <c r="BY31" s="86">
        <f>'[20]RD ESFERA'!E29</f>
        <v>398.14165942879185</v>
      </c>
      <c r="BZ31" s="101">
        <f>'[21]RD ESFERA'!B29</f>
        <v>90.409487778560006</v>
      </c>
      <c r="CA31" s="91">
        <f>'[21]RD ESFERA'!C29</f>
        <v>1.2235469607800971</v>
      </c>
      <c r="CB31" s="40">
        <f>'[21]RD ESFERA'!D29</f>
        <v>3.6208341664672212</v>
      </c>
      <c r="CC31" s="86">
        <f>'[21]RD ESFERA'!E29</f>
        <v>430.21996031856258</v>
      </c>
      <c r="CD31" s="101">
        <f>'[22]RD ESFERA'!B30</f>
        <v>86.655069125940017</v>
      </c>
      <c r="CE31" s="91">
        <f>'[22]RD ESFERA'!C30</f>
        <v>1.13876029342868</v>
      </c>
      <c r="CF31" s="40">
        <f>'[22]RD ESFERA'!D30</f>
        <v>3.5346947711517069</v>
      </c>
      <c r="CG31" s="86">
        <f>'[22]RD ESFERA'!E30</f>
        <v>409.22191185274028</v>
      </c>
      <c r="CH31" s="101">
        <f>'[23]RD ESFERA'!B29</f>
        <v>115.93964777916999</v>
      </c>
      <c r="CI31" s="91">
        <f>'[23]RD ESFERA'!C29</f>
        <v>1.3028790272942408</v>
      </c>
      <c r="CJ31" s="40">
        <f>'[23]RD ESFERA'!D29</f>
        <v>3.7876821387738686</v>
      </c>
      <c r="CK31" s="86">
        <f>'[23]RD ESFERA'!E29</f>
        <v>543.50708325236053</v>
      </c>
      <c r="CL31" s="101">
        <f>'[24]RD ESFERA'!B29</f>
        <v>146.32950266732001</v>
      </c>
      <c r="CM31" s="91">
        <f>'[24]RD ESFERA'!C29</f>
        <v>1.4517282367738806</v>
      </c>
      <c r="CN31" s="40">
        <f>'[24]RD ESFERA'!D29</f>
        <v>4.1588643613767271</v>
      </c>
      <c r="CO31" s="86">
        <f>'[24]RD ESFERA'!E29</f>
        <v>720.54834514856748</v>
      </c>
      <c r="CP31" s="101">
        <f>'[25]RD ESFERA'!B31</f>
        <v>152.04387551999002</v>
      </c>
      <c r="CQ31" s="91">
        <f>'[25]RD ESFERA'!C31</f>
        <v>1.389373079380398</v>
      </c>
      <c r="CR31" s="40">
        <f>'[25]RD ESFERA'!D31</f>
        <v>4.018086075660003</v>
      </c>
      <c r="CS31" s="86">
        <f>'[25]RD ESFERA'!E31</f>
        <v>731.57016452104779</v>
      </c>
      <c r="CT31" s="101">
        <f>'[26]RD ESFERA'!B31</f>
        <v>177.03413749000001</v>
      </c>
      <c r="CU31" s="91">
        <f>'[26]RD ESFERA'!C31</f>
        <v>1.5073522680723719</v>
      </c>
      <c r="CV31" s="40">
        <f>'[26]RD ESFERA'!D31</f>
        <v>4.1929140133440281</v>
      </c>
      <c r="CW31" s="86">
        <f>'[26]RD ESFERA'!E31</f>
        <v>832.77361270558072</v>
      </c>
      <c r="CX31" s="13">
        <f>CU31-CQ31</f>
        <v>0.11797918869197388</v>
      </c>
      <c r="CY31" s="13">
        <f>CX31/$CX$13</f>
        <v>0.25300549321532101</v>
      </c>
    </row>
    <row r="32" spans="1:103" x14ac:dyDescent="0.25">
      <c r="A32" s="75" t="s">
        <v>45</v>
      </c>
      <c r="B32" s="101">
        <f>'[2]RD ESFERA'!B30</f>
        <v>0.11156902169000001</v>
      </c>
      <c r="C32" s="91">
        <f>'[2]RD ESFERA'!C30</f>
        <v>9.2790365807581873E-3</v>
      </c>
      <c r="D32" s="40">
        <f>'[2]RD ESFERA'!D30</f>
        <v>3.0363449614733536E-2</v>
      </c>
      <c r="E32" s="102">
        <f>'[2]RD ESFERA'!E30</f>
        <v>0.64324062040926011</v>
      </c>
      <c r="F32" s="101">
        <f>'[3]RD ESFERA'!B30</f>
        <v>9.3462393789999987E-2</v>
      </c>
      <c r="G32" s="91">
        <f>'[3]RD ESFERA'!C30</f>
        <v>7.1033280352345218E-3</v>
      </c>
      <c r="H32" s="40">
        <f>'[3]RD ESFERA'!D30</f>
        <v>2.2166047618233334E-2</v>
      </c>
      <c r="I32" s="102">
        <f>'[3]RD ESFERA'!E30</f>
        <v>0.53884857333837011</v>
      </c>
      <c r="J32" s="101">
        <f>'[4]RD ESFERA'!B30</f>
        <v>0.12149207140000001</v>
      </c>
      <c r="K32" s="91">
        <f>'[4]RD ESFERA'!C30</f>
        <v>8.1604736876396688E-3</v>
      </c>
      <c r="L32" s="40">
        <f>'[4]RD ESFERA'!D30</f>
        <v>2.4522807271235101E-2</v>
      </c>
      <c r="M32" s="102">
        <f>'[4]RD ESFERA'!E30</f>
        <v>0.68148255609410591</v>
      </c>
      <c r="N32" s="101">
        <f>'[5]RD ESFERA'!B30</f>
        <v>0.13272250191000001</v>
      </c>
      <c r="O32" s="91">
        <f>'[5]RD ESFERA'!C30</f>
        <v>7.7256324054832803E-3</v>
      </c>
      <c r="P32" s="40">
        <f>'[5]RD ESFERA'!D30</f>
        <v>2.3699817564839493E-2</v>
      </c>
      <c r="Q32" s="102">
        <f>'[5]RD ESFERA'!E30</f>
        <v>0.73481982819890801</v>
      </c>
      <c r="R32" s="101">
        <f>'[6]RD ESFERA'!B30</f>
        <v>0.14050677835</v>
      </c>
      <c r="S32" s="91">
        <f>'[6]RD ESFERA'!C30</f>
        <v>7.1769483631983853E-3</v>
      </c>
      <c r="T32" s="40">
        <f>'[6]RD ESFERA'!D30</f>
        <v>2.1345407848406037E-2</v>
      </c>
      <c r="U32" s="102">
        <f>'[6]RD ESFERA'!E30</f>
        <v>0.76816814872867989</v>
      </c>
      <c r="V32" s="101">
        <f>'[7]RD ESFERA'!B30</f>
        <v>0.13422632814000005</v>
      </c>
      <c r="W32" s="91">
        <f>'[7]RD ESFERA'!C30</f>
        <v>6.183877993259884E-3</v>
      </c>
      <c r="X32" s="40">
        <f>'[7]RD ESFERA'!D30</f>
        <v>1.77975502433084E-2</v>
      </c>
      <c r="Y32" s="102">
        <f>'[7]RD ESFERA'!E30</f>
        <v>0.72495675843830809</v>
      </c>
      <c r="Z32" s="101">
        <f>'[8]RD ESFERA'!B30</f>
        <v>0.15223773402000002</v>
      </c>
      <c r="AA32" s="91">
        <f>'[8]RD ESFERA'!C30</f>
        <v>6.3183603735292304E-3</v>
      </c>
      <c r="AB32" s="40">
        <f>'[8]RD ESFERA'!D30</f>
        <v>1.8352160345746979E-2</v>
      </c>
      <c r="AC32" s="102">
        <f>'[8]RD ESFERA'!E30</f>
        <v>0.81264911888899949</v>
      </c>
      <c r="AD32" s="101">
        <f>'[9]RD ESFERA'!B30</f>
        <v>0.16047145187</v>
      </c>
      <c r="AE32" s="91">
        <f>'[9]RD ESFERA'!C30</f>
        <v>5.8991153381125283E-3</v>
      </c>
      <c r="AF32" s="40">
        <f>'[9]RD ESFERA'!D30</f>
        <v>1.705656138432491E-2</v>
      </c>
      <c r="AG32" s="102">
        <f>'[9]RD ESFERA'!E30</f>
        <v>0.84698151818809986</v>
      </c>
      <c r="AH32" s="101">
        <f>'[10]RD ESFERA'!B30</f>
        <v>0.16846351314999999</v>
      </c>
      <c r="AI32" s="91">
        <f>'[10]RD ESFERA'!C30</f>
        <v>5.4171763661556693E-3</v>
      </c>
      <c r="AJ32" s="40">
        <f>'[10]RD ESFERA'!D30</f>
        <v>1.5585689030361954E-2</v>
      </c>
      <c r="AK32" s="102">
        <f>'[10]RD ESFERA'!E30</f>
        <v>0.87955603776339952</v>
      </c>
      <c r="AL32" s="101">
        <f>'[11]RD ESFERA'!B30</f>
        <v>0.23114479163000012</v>
      </c>
      <c r="AM32" s="91">
        <f>'[11]RD ESFERA'!C30</f>
        <v>6.9349561055241206E-3</v>
      </c>
      <c r="AN32" s="40">
        <f>'[11]RD ESFERA'!D30</f>
        <v>2.0911001688549959E-2</v>
      </c>
      <c r="AO32" s="102">
        <f>'[11]RD ESFERA'!E30</f>
        <v>1.1942753516127393</v>
      </c>
      <c r="AP32" s="101">
        <f>'[12]RD ESFERA'!B31</f>
        <v>0.36252553345999994</v>
      </c>
      <c r="AQ32" s="91">
        <f>'[12]RD ESFERA'!C31</f>
        <v>9.3293825891755371E-3</v>
      </c>
      <c r="AR32" s="40">
        <f>'[12]RD ESFERA'!D31</f>
        <v>2.8073112686857103E-2</v>
      </c>
      <c r="AS32" s="102">
        <f>'[12]RD ESFERA'!E31</f>
        <v>1.8543714508455558</v>
      </c>
      <c r="AT32" s="101">
        <f>'[13]RD ESFERA'!B30</f>
        <v>0.39687323261000007</v>
      </c>
      <c r="AU32" s="91">
        <f>'[13]RD ESFERA'!C30</f>
        <v>9.0685235569015719E-3</v>
      </c>
      <c r="AV32" s="40">
        <f>'[13]RD ESFERA'!D30</f>
        <v>2.6607145635751079E-2</v>
      </c>
      <c r="AW32" s="102">
        <f>'[13]RD ESFERA'!E30</f>
        <v>2.0105330700081807</v>
      </c>
      <c r="AX32" s="101">
        <f>'[14]RD ESFERA'!B30</f>
        <v>0.43742744800000005</v>
      </c>
      <c r="AY32" s="91">
        <f>'[14]RD ESFERA'!C30</f>
        <v>9.0851350430758756E-3</v>
      </c>
      <c r="AZ32" s="40">
        <f>'[14]RD ESFERA'!D30</f>
        <v>2.67031605683931E-2</v>
      </c>
      <c r="BA32" s="102">
        <f>'[14]RD ESFERA'!E30</f>
        <v>2.1954529351278547</v>
      </c>
      <c r="BB32" s="101">
        <f>'[15]RD ESFERA'!B30</f>
        <v>0.53257806265999974</v>
      </c>
      <c r="BC32" s="91">
        <f>'[15]RD ESFERA'!C30</f>
        <v>9.9890495299832897E-3</v>
      </c>
      <c r="BD32" s="40">
        <f>'[15]RD ESFERA'!D30</f>
        <v>2.9715677472163245E-2</v>
      </c>
      <c r="BE32" s="86">
        <f>'[15]RD ESFERA'!E30</f>
        <v>2.6492109272324691</v>
      </c>
      <c r="BF32" s="101">
        <f>'[16]RD ESFERA'!B30</f>
        <v>0.6873381529</v>
      </c>
      <c r="BG32" s="91">
        <f>'[16]RD ESFERA'!C30</f>
        <v>1.1893818013401388E-2</v>
      </c>
      <c r="BH32" s="40">
        <f>'[16]RD ESFERA'!D30</f>
        <v>3.61798572176509E-2</v>
      </c>
      <c r="BI32" s="86">
        <f>'[16]RD ESFERA'!E30</f>
        <v>3.3897668658319922</v>
      </c>
      <c r="BJ32" s="101">
        <f>'[17]RD ESFERA'!B30</f>
        <v>0.84514539383999987</v>
      </c>
      <c r="BK32" s="91">
        <f>'[17]RD ESFERA'!C30</f>
        <v>1.4095654062427496E-2</v>
      </c>
      <c r="BL32" s="40">
        <f>'[17]RD ESFERA'!D30</f>
        <v>4.2921893850176869E-2</v>
      </c>
      <c r="BM32" s="86">
        <f>'[17]RD ESFERA'!E30</f>
        <v>4.133737887229695</v>
      </c>
      <c r="BN32" s="101">
        <f>'[18]RD ESFERA'!B30</f>
        <v>0.89710617325999997</v>
      </c>
      <c r="BO32" s="91">
        <f>'[18]RD ESFERA'!C30</f>
        <v>1.4314294382583624E-2</v>
      </c>
      <c r="BP32" s="40">
        <f>'[18]RD ESFERA'!D30</f>
        <v>4.3002822509526695E-2</v>
      </c>
      <c r="BQ32" s="86">
        <f>'[18]RD ESFERA'!E30</f>
        <v>4.3531635264452158</v>
      </c>
      <c r="BR32" s="101">
        <f>'[19]RD ESFERA'!B30</f>
        <v>0.98379395950000026</v>
      </c>
      <c r="BS32" s="91">
        <f>'[19]RD ESFERA'!C30</f>
        <v>1.5010948629054553E-2</v>
      </c>
      <c r="BT32" s="40">
        <f>'[19]RD ESFERA'!D30</f>
        <v>4.4648814029482613E-2</v>
      </c>
      <c r="BU32" s="86">
        <f>'[19]RD ESFERA'!E30</f>
        <v>4.7375014849326815</v>
      </c>
      <c r="BV32" s="101">
        <f>'[20]RD ESFERA'!B30</f>
        <v>1.08602465344</v>
      </c>
      <c r="BW32" s="91">
        <f>'[20]RD ESFERA'!C30</f>
        <v>1.5764216760840243E-2</v>
      </c>
      <c r="BX32" s="40">
        <f>'[20]RD ESFERA'!D30</f>
        <v>4.5769760109870272E-2</v>
      </c>
      <c r="BY32" s="86">
        <f>'[20]RD ESFERA'!E30</f>
        <v>5.2088787468662305</v>
      </c>
      <c r="BZ32" s="101">
        <f>'[21]RD ESFERA'!B30</f>
        <v>1.1272424905400003</v>
      </c>
      <c r="CA32" s="91">
        <f>'[21]RD ESFERA'!C30</f>
        <v>1.5255413532931007E-2</v>
      </c>
      <c r="CB32" s="40">
        <f>'[21]RD ESFERA'!D30</f>
        <v>4.5145241101661793E-2</v>
      </c>
      <c r="CC32" s="86">
        <f>'[21]RD ESFERA'!E30</f>
        <v>5.364063346286561</v>
      </c>
      <c r="CD32" s="101">
        <f>'[22]RD ESFERA'!B31</f>
        <v>1.2587168423800001</v>
      </c>
      <c r="CE32" s="91">
        <f>'[22]RD ESFERA'!C31</f>
        <v>1.6541176127723982E-2</v>
      </c>
      <c r="CF32" s="40">
        <f>'[22]RD ESFERA'!D31</f>
        <v>5.1343561155723791E-2</v>
      </c>
      <c r="CG32" s="86">
        <f>'[22]RD ESFERA'!E31</f>
        <v>5.9441936624777956</v>
      </c>
      <c r="CH32" s="101">
        <f>'[23]RD ESFERA'!B30</f>
        <v>1.54745193765</v>
      </c>
      <c r="CI32" s="91">
        <f>'[23]RD ESFERA'!C30</f>
        <v>1.7389587720243582E-2</v>
      </c>
      <c r="CJ32" s="40">
        <f>'[23]RD ESFERA'!D30</f>
        <v>5.0554371840182251E-2</v>
      </c>
      <c r="CK32" s="86">
        <f>'[23]RD ESFERA'!E30</f>
        <v>7.2542146299022185</v>
      </c>
      <c r="CL32" s="101">
        <f>'[24]RD ESFERA'!B30</f>
        <v>5.2120671650000006E-2</v>
      </c>
      <c r="CM32" s="91">
        <f>'[24]RD ESFERA'!C30</f>
        <v>5.1708677590430493E-4</v>
      </c>
      <c r="CN32" s="40">
        <f>'[24]RD ESFERA'!D30</f>
        <v>1.4813335647631729E-3</v>
      </c>
      <c r="CO32" s="86">
        <f>'[24]RD ESFERA'!E30</f>
        <v>0.25664997844502807</v>
      </c>
      <c r="CP32" s="101">
        <f>'[25]RD ESFERA'!B32</f>
        <v>2.2807299891500001</v>
      </c>
      <c r="CQ32" s="91">
        <f>'[25]RD ESFERA'!C32</f>
        <v>2.0841252812211698E-2</v>
      </c>
      <c r="CR32" s="40">
        <f>'[25]RD ESFERA'!D32</f>
        <v>6.0273190093335552E-2</v>
      </c>
      <c r="CS32" s="86">
        <f>'[25]RD ESFERA'!E32</f>
        <v>10.973898209870246</v>
      </c>
      <c r="CT32" s="101">
        <f>'[26]RD ESFERA'!B32</f>
        <v>2.5175990690000001</v>
      </c>
      <c r="CU32" s="91">
        <f>'[26]RD ESFERA'!C32</f>
        <v>2.1436027652962708E-2</v>
      </c>
      <c r="CV32" s="40">
        <f>'[26]RD ESFERA'!D32</f>
        <v>5.9627349651635714E-2</v>
      </c>
      <c r="CW32" s="86">
        <f>'[26]RD ESFERA'!E32</f>
        <v>11.84285755143561</v>
      </c>
    </row>
    <row r="33" spans="1:103" x14ac:dyDescent="0.25">
      <c r="A33" s="75" t="s">
        <v>40</v>
      </c>
      <c r="B33" s="101">
        <f>'[2]RD ESFERA'!B31</f>
        <v>1.0723446200000002E-3</v>
      </c>
      <c r="C33" s="91">
        <f>'[2]RD ESFERA'!C31</f>
        <v>8.9185374268196981E-5</v>
      </c>
      <c r="D33" s="40">
        <f>'[2]RD ESFERA'!D31</f>
        <v>2.9183801512099267E-4</v>
      </c>
      <c r="E33" s="102">
        <f>'[2]RD ESFERA'!E31</f>
        <v>6.1825012733185709E-3</v>
      </c>
      <c r="F33" s="101">
        <f>'[3]RD ESFERA'!B31</f>
        <v>7.8237347999999998E-4</v>
      </c>
      <c r="G33" s="91">
        <f>'[3]RD ESFERA'!C31</f>
        <v>5.9461942382890424E-5</v>
      </c>
      <c r="H33" s="40">
        <f>'[3]RD ESFERA'!D31</f>
        <v>1.8555193281148815E-4</v>
      </c>
      <c r="I33" s="102">
        <f>'[3]RD ESFERA'!E31</f>
        <v>4.5107001481582299E-3</v>
      </c>
      <c r="J33" s="101">
        <f>'[4]RD ESFERA'!B31</f>
        <v>1.8989609699999999E-3</v>
      </c>
      <c r="K33" s="91">
        <f>'[4]RD ESFERA'!C31</f>
        <v>1.2755088337015302E-4</v>
      </c>
      <c r="L33" s="40">
        <f>'[4]RD ESFERA'!D31</f>
        <v>3.832995301363153E-4</v>
      </c>
      <c r="M33" s="102">
        <f>'[4]RD ESFERA'!E31</f>
        <v>1.0651796128307207E-2</v>
      </c>
      <c r="N33" s="101">
        <f>'[5]RD ESFERA'!B31</f>
        <v>3.6956061099999997E-3</v>
      </c>
      <c r="O33" s="91">
        <f>'[5]RD ESFERA'!C31</f>
        <v>2.1511721004685816E-4</v>
      </c>
      <c r="P33" s="40">
        <f>'[5]RD ESFERA'!D31</f>
        <v>6.5991214253855932E-4</v>
      </c>
      <c r="Q33" s="102">
        <f>'[5]RD ESFERA'!E31</f>
        <v>2.0460770462890337E-2</v>
      </c>
      <c r="R33" s="101">
        <f>'[6]RD ESFERA'!B31</f>
        <v>5.2287861299999995E-3</v>
      </c>
      <c r="S33" s="91">
        <f>'[6]RD ESFERA'!C31</f>
        <v>2.6708126467564052E-4</v>
      </c>
      <c r="T33" s="40">
        <f>'[6]RD ESFERA'!D31</f>
        <v>7.943429762435984E-4</v>
      </c>
      <c r="U33" s="102">
        <f>'[6]RD ESFERA'!E31</f>
        <v>2.8586428418243628E-2</v>
      </c>
      <c r="V33" s="101">
        <f>'[7]RD ESFERA'!B31</f>
        <v>2.1217543799999998E-3</v>
      </c>
      <c r="W33" s="91">
        <f>'[7]RD ESFERA'!C31</f>
        <v>9.775034748696778E-5</v>
      </c>
      <c r="X33" s="40">
        <f>'[7]RD ESFERA'!D31</f>
        <v>2.8133102279772791E-4</v>
      </c>
      <c r="Y33" s="102">
        <f>'[7]RD ESFERA'!E31</f>
        <v>1.1459601099441068E-2</v>
      </c>
      <c r="Z33" s="101">
        <f>'[8]RD ESFERA'!B31</f>
        <v>2.4432134600000004E-3</v>
      </c>
      <c r="AA33" s="91">
        <f>'[8]RD ESFERA'!C31</f>
        <v>1.0140129324119615E-4</v>
      </c>
      <c r="AB33" s="40">
        <f>'[8]RD ESFERA'!D31</f>
        <v>2.9452780196345218E-4</v>
      </c>
      <c r="AC33" s="102">
        <f>'[8]RD ESFERA'!E31</f>
        <v>1.3041939163820616E-2</v>
      </c>
      <c r="AD33" s="101">
        <f>'[9]RD ESFERA'!B31</f>
        <v>2.7694628500000004E-3</v>
      </c>
      <c r="AE33" s="91">
        <f>'[9]RD ESFERA'!C31</f>
        <v>1.0180864313487337E-4</v>
      </c>
      <c r="AF33" s="40">
        <f>'[9]RD ESFERA'!D31</f>
        <v>2.943670824446715E-4</v>
      </c>
      <c r="AG33" s="102">
        <f>'[9]RD ESFERA'!E31</f>
        <v>1.4617452649202745E-2</v>
      </c>
      <c r="AH33" s="101">
        <f>'[10]RD ESFERA'!B31</f>
        <v>3.0954831199999995E-3</v>
      </c>
      <c r="AI33" s="91">
        <f>'[10]RD ESFERA'!C31</f>
        <v>9.9539524529367298E-5</v>
      </c>
      <c r="AJ33" s="40">
        <f>'[10]RD ESFERA'!D31</f>
        <v>2.8638389645891461E-4</v>
      </c>
      <c r="AK33" s="102">
        <f>'[10]RD ESFERA'!E31</f>
        <v>1.6161665022184569E-2</v>
      </c>
      <c r="AL33" s="101">
        <f>'[11]RD ESFERA'!B31</f>
        <v>3.5784118200000003E-3</v>
      </c>
      <c r="AM33" s="91">
        <f>'[11]RD ESFERA'!C31</f>
        <v>1.0736183464999959E-4</v>
      </c>
      <c r="AN33" s="40">
        <f>'[11]RD ESFERA'!D31</f>
        <v>3.2372858191036675E-4</v>
      </c>
      <c r="AO33" s="102">
        <f>'[11]RD ESFERA'!E31</f>
        <v>1.8488883112653332E-2</v>
      </c>
      <c r="AP33" s="101">
        <f>'[12]RD ESFERA'!B32</f>
        <v>2.9825928300000002E-3</v>
      </c>
      <c r="AQ33" s="91">
        <f>'[12]RD ESFERA'!C32</f>
        <v>7.6755282181722548E-5</v>
      </c>
      <c r="AR33" s="40">
        <f>'[12]RD ESFERA'!D32</f>
        <v>2.3096487526399475E-4</v>
      </c>
      <c r="AS33" s="102">
        <f>'[12]RD ESFERA'!E32</f>
        <v>1.5256401226863954E-2</v>
      </c>
      <c r="AT33" s="101">
        <f>'[13]RD ESFERA'!B31</f>
        <v>4.8505359200000002E-3</v>
      </c>
      <c r="AU33" s="91">
        <f>'[13]RD ESFERA'!C31</f>
        <v>1.1083438145938817E-4</v>
      </c>
      <c r="AV33" s="40">
        <f>'[13]RD ESFERA'!D31</f>
        <v>3.2518926707688961E-4</v>
      </c>
      <c r="AW33" s="102">
        <f>'[13]RD ESFERA'!E31</f>
        <v>2.457248832401308E-2</v>
      </c>
      <c r="AX33" s="101">
        <f>'[14]RD ESFERA'!B31</f>
        <v>7.5603333300000002E-3</v>
      </c>
      <c r="AY33" s="91">
        <f>'[14]RD ESFERA'!C31</f>
        <v>1.5702409528200781E-4</v>
      </c>
      <c r="AZ33" s="40">
        <f>'[14]RD ESFERA'!D31</f>
        <v>4.6152749623879126E-4</v>
      </c>
      <c r="BA33" s="102">
        <f>'[14]RD ESFERA'!E31</f>
        <v>3.7945392031945482E-2</v>
      </c>
      <c r="BB33" s="101">
        <f>'[15]RD ESFERA'!B31</f>
        <v>8.0198291600000002E-3</v>
      </c>
      <c r="BC33" s="91">
        <f>'[15]RD ESFERA'!C31</f>
        <v>1.5042014742613831E-4</v>
      </c>
      <c r="BD33" s="40">
        <f>'[15]RD ESFERA'!D31</f>
        <v>4.4747366331637865E-4</v>
      </c>
      <c r="BE33" s="86">
        <f>'[15]RD ESFERA'!E31</f>
        <v>3.9893154703169356E-2</v>
      </c>
      <c r="BF33" s="101">
        <f>'[16]RD ESFERA'!B31</f>
        <v>6.8501610500000011E-3</v>
      </c>
      <c r="BG33" s="91">
        <f>'[16]RD ESFERA'!C31</f>
        <v>1.1853636895818326E-4</v>
      </c>
      <c r="BH33" s="40">
        <f>'[16]RD ESFERA'!D31</f>
        <v>3.6057630099717633E-4</v>
      </c>
      <c r="BI33" s="86">
        <f>'[16]RD ESFERA'!E31</f>
        <v>3.3783151502549007E-2</v>
      </c>
      <c r="BJ33" s="101">
        <f>'[17]RD ESFERA'!B31</f>
        <v>1.2122023189999996E-2</v>
      </c>
      <c r="BK33" s="91">
        <f>'[17]RD ESFERA'!C31</f>
        <v>2.0217568085724184E-4</v>
      </c>
      <c r="BL33" s="40">
        <f>'[17]RD ESFERA'!D31</f>
        <v>6.1563394464771084E-4</v>
      </c>
      <c r="BM33" s="86">
        <f>'[17]RD ESFERA'!E31</f>
        <v>5.929070535745766E-2</v>
      </c>
      <c r="BN33" s="101">
        <f>'[18]RD ESFERA'!B31</f>
        <v>2.1039395849999996E-2</v>
      </c>
      <c r="BO33" s="91">
        <f>'[18]RD ESFERA'!C31</f>
        <v>3.3570620156832265E-4</v>
      </c>
      <c r="BP33" s="40">
        <f>'[18]RD ESFERA'!D31</f>
        <v>1.0085243334770877E-3</v>
      </c>
      <c r="BQ33" s="86">
        <f>'[18]RD ESFERA'!E31</f>
        <v>0.1020926322464607</v>
      </c>
      <c r="BR33" s="101">
        <f>'[19]RD ESFERA'!B31</f>
        <v>1.243993667E-2</v>
      </c>
      <c r="BS33" s="91">
        <f>'[19]RD ESFERA'!C31</f>
        <v>1.8981134057477603E-4</v>
      </c>
      <c r="BT33" s="40">
        <f>'[19]RD ESFERA'!D31</f>
        <v>5.6457799273301095E-4</v>
      </c>
      <c r="BU33" s="86">
        <f>'[19]RD ESFERA'!E31</f>
        <v>5.9905041983126253E-2</v>
      </c>
      <c r="BV33" s="101">
        <f>'[20]RD ESFERA'!B31</f>
        <v>1.0841321960000002E-2</v>
      </c>
      <c r="BW33" s="91">
        <f>'[20]RD ESFERA'!C31</f>
        <v>1.5736746749731077E-4</v>
      </c>
      <c r="BX33" s="40">
        <f>'[20]RD ESFERA'!D31</f>
        <v>4.5690003796077048E-4</v>
      </c>
      <c r="BY33" s="86">
        <f>'[20]RD ESFERA'!E31</f>
        <v>5.1998019903604371E-2</v>
      </c>
      <c r="BZ33" s="101">
        <f>'[21]RD ESFERA'!B31</f>
        <v>1.7931687880000002E-2</v>
      </c>
      <c r="CA33" s="91">
        <f>'[21]RD ESFERA'!C31</f>
        <v>2.426765458617529E-4</v>
      </c>
      <c r="CB33" s="40">
        <f>'[21]RD ESFERA'!D31</f>
        <v>7.1815104513541254E-4</v>
      </c>
      <c r="CC33" s="86">
        <f>'[21]RD ESFERA'!E31</f>
        <v>8.5329208667499032E-2</v>
      </c>
      <c r="CD33" s="101">
        <f>'[22]RD ESFERA'!B32</f>
        <v>4.3227140159999997E-2</v>
      </c>
      <c r="CE33" s="91">
        <f>'[22]RD ESFERA'!C32</f>
        <v>5.6806083370775085E-4</v>
      </c>
      <c r="CF33" s="40">
        <f>'[22]RD ESFERA'!D32</f>
        <v>1.7632522579069197E-3</v>
      </c>
      <c r="CG33" s="86">
        <f>'[22]RD ESFERA'!E32</f>
        <v>0.20413685106514159</v>
      </c>
      <c r="CH33" s="101">
        <f>'[23]RD ESFERA'!B31</f>
        <v>5.4288669849999999E-2</v>
      </c>
      <c r="CI33" s="91">
        <f>'[23]RD ESFERA'!C31</f>
        <v>6.1007231539971949E-4</v>
      </c>
      <c r="CJ33" s="40">
        <f>'[23]RD ESFERA'!D31</f>
        <v>1.77357986734871E-3</v>
      </c>
      <c r="CK33" s="86">
        <f>'[23]RD ESFERA'!E31</f>
        <v>0.25449686254027964</v>
      </c>
      <c r="CL33" s="101">
        <f>'[24]RD ESFERA'!B31</f>
        <v>1.9188377814599997</v>
      </c>
      <c r="CM33" s="91">
        <f>'[24]RD ESFERA'!C31</f>
        <v>1.9036700995746291E-2</v>
      </c>
      <c r="CN33" s="40">
        <f>'[24]RD ESFERA'!D31</f>
        <v>5.4535728743096486E-2</v>
      </c>
      <c r="CO33" s="86">
        <f>'[24]RD ESFERA'!E31</f>
        <v>9.4486440727057364</v>
      </c>
      <c r="CP33" s="101">
        <f>'[25]RD ESFERA'!B33</f>
        <v>3.0693207659999996E-2</v>
      </c>
      <c r="CQ33" s="91">
        <f>'[25]RD ESFERA'!C33</f>
        <v>2.8047375336094703E-4</v>
      </c>
      <c r="CR33" s="40">
        <f>'[25]RD ESFERA'!D33</f>
        <v>8.1113395652541314E-4</v>
      </c>
      <c r="CS33" s="86">
        <f>'[25]RD ESFERA'!E33</f>
        <v>0.14768260083289381</v>
      </c>
      <c r="CT33" s="101">
        <f>'[26]RD ESFERA'!B33</f>
        <v>8.6145690000000007E-3</v>
      </c>
      <c r="CU33" s="91">
        <f>'[26]RD ESFERA'!C33</f>
        <v>7.3348509528844006E-5</v>
      </c>
      <c r="CV33" s="40">
        <f>'[26]RD ESFERA'!D33</f>
        <v>2.0402927701477542E-4</v>
      </c>
      <c r="CW33" s="86">
        <f>'[26]RD ESFERA'!E33</f>
        <v>4.052317733599111E-2</v>
      </c>
    </row>
    <row r="34" spans="1:103" x14ac:dyDescent="0.25">
      <c r="A34" s="75" t="s">
        <v>41</v>
      </c>
      <c r="B34" s="101">
        <f>'[2]RD ESFERA'!B32</f>
        <v>0.81054532290000014</v>
      </c>
      <c r="C34" s="91">
        <f>'[2]RD ESFERA'!C32</f>
        <v>6.7411899715758422E-2</v>
      </c>
      <c r="D34" s="40">
        <f>'[2]RD ESFERA'!D32</f>
        <v>0.22058947635764711</v>
      </c>
      <c r="E34" s="102">
        <f>'[2]RD ESFERA'!E32</f>
        <v>4.6731222383636917</v>
      </c>
      <c r="F34" s="101">
        <f>'[3]RD ESFERA'!B32</f>
        <v>0.7561087820700001</v>
      </c>
      <c r="G34" s="91">
        <f>'[3]RD ESFERA'!C32</f>
        <v>5.7465773040573667E-2</v>
      </c>
      <c r="H34" s="40">
        <f>'[3]RD ESFERA'!D32</f>
        <v>0.17932285476858034</v>
      </c>
      <c r="I34" s="102">
        <f>'[3]RD ESFERA'!E32</f>
        <v>4.3592735215243854</v>
      </c>
      <c r="J34" s="101">
        <f>'[4]RD ESFERA'!B32</f>
        <v>0.8347346833799999</v>
      </c>
      <c r="K34" s="91">
        <f>'[4]RD ESFERA'!C32</f>
        <v>5.6068106678792862E-2</v>
      </c>
      <c r="L34" s="40">
        <f>'[4]RD ESFERA'!D32</f>
        <v>0.168488671954137</v>
      </c>
      <c r="M34" s="102">
        <f>'[4]RD ESFERA'!E32</f>
        <v>4.6822571969927456</v>
      </c>
      <c r="N34" s="101">
        <f>'[5]RD ESFERA'!B32</f>
        <v>0.86408550476999957</v>
      </c>
      <c r="O34" s="91">
        <f>'[5]RD ESFERA'!C32</f>
        <v>5.0297476921330631E-2</v>
      </c>
      <c r="P34" s="40">
        <f>'[5]RD ESFERA'!D32</f>
        <v>0.1542968865773639</v>
      </c>
      <c r="Q34" s="102">
        <f>'[5]RD ESFERA'!E32</f>
        <v>4.7840204413477654</v>
      </c>
      <c r="R34" s="101">
        <f>'[6]RD ESFERA'!B32</f>
        <v>0.71799915669000014</v>
      </c>
      <c r="S34" s="91">
        <f>'[6]RD ESFERA'!C32</f>
        <v>3.6674692373544954E-2</v>
      </c>
      <c r="T34" s="40">
        <f>'[6]RD ESFERA'!D32</f>
        <v>0.10907648025480217</v>
      </c>
      <c r="U34" s="102">
        <f>'[6]RD ESFERA'!E32</f>
        <v>3.9253912833260176</v>
      </c>
      <c r="V34" s="101">
        <f>'[7]RD ESFERA'!B32</f>
        <v>0.71779529905999995</v>
      </c>
      <c r="W34" s="91">
        <f>'[7]RD ESFERA'!C32</f>
        <v>3.3069209409444911E-2</v>
      </c>
      <c r="X34" s="40">
        <f>'[7]RD ESFERA'!D32</f>
        <v>9.5175053035097656E-2</v>
      </c>
      <c r="Y34" s="102">
        <f>'[7]RD ESFERA'!E32</f>
        <v>3.8768143362011611</v>
      </c>
      <c r="Z34" s="101">
        <f>'[8]RD ESFERA'!B32</f>
        <v>0.41138138758999993</v>
      </c>
      <c r="AA34" s="91">
        <f>'[8]RD ESFERA'!C32</f>
        <v>1.7073663599161633E-2</v>
      </c>
      <c r="AB34" s="40">
        <f>'[8]RD ESFERA'!D32</f>
        <v>4.9591760130348023E-2</v>
      </c>
      <c r="AC34" s="102">
        <f>'[8]RD ESFERA'!E32</f>
        <v>2.1959649117506448</v>
      </c>
      <c r="AD34" s="101">
        <f>'[9]RD ESFERA'!B32</f>
        <v>0.40299285024000003</v>
      </c>
      <c r="AE34" s="91">
        <f>'[9]RD ESFERA'!C32</f>
        <v>1.4814481182150405E-2</v>
      </c>
      <c r="AF34" s="40">
        <f>'[9]RD ESFERA'!D32</f>
        <v>4.2834237538593896E-2</v>
      </c>
      <c r="AG34" s="102">
        <f>'[9]RD ESFERA'!E32</f>
        <v>2.1270294007917281</v>
      </c>
      <c r="AH34" s="101">
        <f>'[10]RD ESFERA'!B32</f>
        <v>0.39491757907000008</v>
      </c>
      <c r="AI34" s="91">
        <f>'[10]RD ESFERA'!C32</f>
        <v>1.2699118853187809E-2</v>
      </c>
      <c r="AJ34" s="40">
        <f>'[10]RD ESFERA'!D32</f>
        <v>3.6536472883169246E-2</v>
      </c>
      <c r="AK34" s="102">
        <f>'[10]RD ESFERA'!E32</f>
        <v>2.0618835176531118</v>
      </c>
      <c r="AL34" s="101">
        <f>'[11]RD ESFERA'!B32</f>
        <v>0.38684224374000004</v>
      </c>
      <c r="AM34" s="91">
        <f>'[11]RD ESFERA'!C32</f>
        <v>1.1606292147796651E-2</v>
      </c>
      <c r="AN34" s="40">
        <f>'[11]RD ESFERA'!D32</f>
        <v>3.4996500483551005E-2</v>
      </c>
      <c r="AO34" s="102">
        <f>'[11]RD ESFERA'!E32</f>
        <v>1.9987305506791586</v>
      </c>
      <c r="AP34" s="101">
        <f>'[12]RD ESFERA'!B33</f>
        <v>0.38684224327999989</v>
      </c>
      <c r="AQ34" s="91">
        <f>'[12]RD ESFERA'!C33</f>
        <v>9.955158895345078E-3</v>
      </c>
      <c r="AR34" s="40">
        <f>'[12]RD ESFERA'!D33</f>
        <v>2.9956140699905414E-2</v>
      </c>
      <c r="AS34" s="102">
        <f>'[12]RD ESFERA'!E33</f>
        <v>1.9787549998837066</v>
      </c>
      <c r="AT34" s="101">
        <f>'[13]RD ESFERA'!B32</f>
        <v>0.3868422397600001</v>
      </c>
      <c r="AU34" s="91">
        <f>'[13]RD ESFERA'!C32</f>
        <v>8.839316123683905E-3</v>
      </c>
      <c r="AV34" s="40">
        <f>'[13]RD ESFERA'!D32</f>
        <v>2.5934648561872074E-2</v>
      </c>
      <c r="AW34" s="102">
        <f>'[13]RD ESFERA'!E32</f>
        <v>1.9597167357411656</v>
      </c>
      <c r="AX34" s="101">
        <f>'[14]RD ESFERA'!B32</f>
        <v>0.38684223547999996</v>
      </c>
      <c r="AY34" s="91">
        <f>'[14]RD ESFERA'!C32</f>
        <v>8.0345071297427077E-3</v>
      </c>
      <c r="AZ34" s="40">
        <f>'[14]RD ESFERA'!D32</f>
        <v>2.3615139781211384E-2</v>
      </c>
      <c r="BA34" s="102">
        <f>'[14]RD ESFERA'!E32</f>
        <v>1.9415652245855102</v>
      </c>
      <c r="BB34" s="101">
        <f>'[15]RD ESFERA'!B32</f>
        <v>0.38684217404000004</v>
      </c>
      <c r="BC34" s="91">
        <f>'[15]RD ESFERA'!C32</f>
        <v>7.2556229925656735E-3</v>
      </c>
      <c r="BD34" s="40">
        <f>'[15]RD ESFERA'!D32</f>
        <v>2.1584210996204174E-2</v>
      </c>
      <c r="BE34" s="86">
        <f>'[15]RD ESFERA'!E32</f>
        <v>1.9242747428659797</v>
      </c>
      <c r="BF34" s="101">
        <f>'[16]RD ESFERA'!B32</f>
        <v>0.38684224351999996</v>
      </c>
      <c r="BG34" s="91">
        <f>'[16]RD ESFERA'!C32</f>
        <v>6.6939849401786095E-3</v>
      </c>
      <c r="BH34" s="40">
        <f>'[16]RD ESFERA'!D32</f>
        <v>2.0362462169833291E-2</v>
      </c>
      <c r="BI34" s="86">
        <f>'[16]RD ESFERA'!E32</f>
        <v>1.9078018786758471</v>
      </c>
      <c r="BJ34" s="101">
        <f>'[17]RD ESFERA'!B32</f>
        <v>0.38684217534000004</v>
      </c>
      <c r="BK34" s="91">
        <f>'[17]RD ESFERA'!C32</f>
        <v>6.4518998980450781E-3</v>
      </c>
      <c r="BL34" s="40">
        <f>'[17]RD ESFERA'!D32</f>
        <v>1.9646322286953632E-2</v>
      </c>
      <c r="BM34" s="86">
        <f>'[17]RD ESFERA'!E32</f>
        <v>1.8921053918493556</v>
      </c>
      <c r="BN34" s="101">
        <f>'[18]RD ESFERA'!B32</f>
        <v>0.38684224295999997</v>
      </c>
      <c r="BO34" s="91">
        <f>'[18]RD ESFERA'!C32</f>
        <v>6.1724842726542366E-3</v>
      </c>
      <c r="BP34" s="40">
        <f>'[18]RD ESFERA'!D32</f>
        <v>1.8543299342980688E-2</v>
      </c>
      <c r="BQ34" s="86">
        <f>'[18]RD ESFERA'!E32</f>
        <v>1.8771329333542286</v>
      </c>
      <c r="BR34" s="101">
        <f>'[19]RD ESFERA'!B32</f>
        <v>0.38684224477999996</v>
      </c>
      <c r="BS34" s="91">
        <f>'[19]RD ESFERA'!C32</f>
        <v>5.9025256334080236E-3</v>
      </c>
      <c r="BT34" s="40">
        <f>'[19]RD ESFERA'!D32</f>
        <v>1.7556569929244221E-2</v>
      </c>
      <c r="BU34" s="86">
        <f>'[19]RD ESFERA'!E32</f>
        <v>1.8628552161586447</v>
      </c>
      <c r="BV34" s="101">
        <f>'[20]RD ESFERA'!B32</f>
        <v>0.37890702314999997</v>
      </c>
      <c r="BW34" s="91">
        <f>'[20]RD ESFERA'!C32</f>
        <v>5.5000339322143323E-3</v>
      </c>
      <c r="BX34" s="40">
        <f>'[20]RD ESFERA'!D32</f>
        <v>1.5968775200993802E-2</v>
      </c>
      <c r="BY34" s="86">
        <f>'[20]RD ESFERA'!E32</f>
        <v>1.8173443242496579</v>
      </c>
      <c r="BZ34" s="101">
        <f>'[21]RD ESFERA'!B32</f>
        <v>0</v>
      </c>
      <c r="CA34" s="91">
        <f>'[21]RD ESFERA'!C32</f>
        <v>0</v>
      </c>
      <c r="CB34" s="40">
        <f>'[21]RD ESFERA'!D32</f>
        <v>0</v>
      </c>
      <c r="CC34" s="86">
        <f>'[21]RD ESFERA'!E32</f>
        <v>0</v>
      </c>
      <c r="CD34" s="101">
        <f>'[22]RD ESFERA'!B33</f>
        <v>0.63037919019999988</v>
      </c>
      <c r="CE34" s="91">
        <f>'[22]RD ESFERA'!C33</f>
        <v>8.2840022960480025E-3</v>
      </c>
      <c r="CF34" s="40">
        <f>'[22]RD ESFERA'!D33</f>
        <v>2.5713418152196479E-2</v>
      </c>
      <c r="CG34" s="86">
        <f>'[22]RD ESFERA'!E33</f>
        <v>2.9769173345290758</v>
      </c>
      <c r="CH34" s="101">
        <f>'[23]RD ESFERA'!B32</f>
        <v>1.34524411627</v>
      </c>
      <c r="CI34" s="91">
        <f>'[23]RD ESFERA'!C32</f>
        <v>1.5117264708424023E-2</v>
      </c>
      <c r="CJ34" s="40">
        <f>'[23]RD ESFERA'!D32</f>
        <v>4.3948357693751432E-2</v>
      </c>
      <c r="CK34" s="86">
        <f>'[23]RD ESFERA'!E32</f>
        <v>6.3062957314561316</v>
      </c>
      <c r="CL34" s="101">
        <f>'[24]RD ESFERA'!B32</f>
        <v>0.98793285704000022</v>
      </c>
      <c r="CM34" s="91">
        <f>'[24]RD ESFERA'!C32</f>
        <v>9.8012362405299567E-3</v>
      </c>
      <c r="CN34" s="40">
        <f>'[24]RD ESFERA'!D32</f>
        <v>2.8078266348774684E-2</v>
      </c>
      <c r="CO34" s="86">
        <f>'[24]RD ESFERA'!E32</f>
        <v>4.8647290688636211</v>
      </c>
      <c r="CP34" s="101">
        <f>'[25]RD ESFERA'!B34</f>
        <v>0.98691672833000021</v>
      </c>
      <c r="CQ34" s="91">
        <f>'[25]RD ESFERA'!C34</f>
        <v>9.0184200398890895E-3</v>
      </c>
      <c r="CR34" s="40">
        <f>'[25]RD ESFERA'!D34</f>
        <v>2.6081394928777209E-2</v>
      </c>
      <c r="CS34" s="86">
        <f>'[25]RD ESFERA'!E34</f>
        <v>4.748621612305767</v>
      </c>
      <c r="CT34" s="101">
        <f>'[26]RD ESFERA'!B34</f>
        <v>0.98556337599999999</v>
      </c>
      <c r="CU34" s="91">
        <f>'[26]RD ESFERA'!C34</f>
        <v>8.3915521108270975E-3</v>
      </c>
      <c r="CV34" s="40">
        <f>'[26]RD ESFERA'!D34</f>
        <v>2.3342291768458912E-2</v>
      </c>
      <c r="CW34" s="86">
        <f>'[26]RD ESFERA'!E34</f>
        <v>4.6361181228574617</v>
      </c>
    </row>
    <row r="35" spans="1:103" s="9" customFormat="1" x14ac:dyDescent="0.25">
      <c r="A35" s="75" t="s">
        <v>119</v>
      </c>
      <c r="B35" s="101">
        <f>'[2]RD ESFERA'!B33</f>
        <v>2.9000511267100002</v>
      </c>
      <c r="C35" s="91">
        <f>'[2]RD ESFERA'!C33</f>
        <v>0.24119312048447419</v>
      </c>
      <c r="D35" s="40">
        <f>'[2]RD ESFERA'!D33</f>
        <v>0.78924736393832484</v>
      </c>
      <c r="E35" s="102">
        <f>'[2]RD ESFERA'!E33</f>
        <v>16.719969913751729</v>
      </c>
      <c r="F35" s="101">
        <f>'[3]RD ESFERA'!B33</f>
        <v>3.3570954427600008</v>
      </c>
      <c r="G35" s="91">
        <f>'[3]RD ESFERA'!C33</f>
        <v>0.25514593847334804</v>
      </c>
      <c r="H35" s="40">
        <f>'[3]RD ESFERA'!D33</f>
        <v>0.79618694135281365</v>
      </c>
      <c r="I35" s="102">
        <f>'[3]RD ESFERA'!E33</f>
        <v>19.355015600782959</v>
      </c>
      <c r="J35" s="101">
        <f>'[4]RD ESFERA'!B33</f>
        <v>4.1338875208699992</v>
      </c>
      <c r="K35" s="91">
        <f>'[4]RD ESFERA'!C33</f>
        <v>0.27766816346932094</v>
      </c>
      <c r="L35" s="40">
        <f>'[4]RD ESFERA'!D33</f>
        <v>0.83441269695282239</v>
      </c>
      <c r="M35" s="102">
        <f>'[4]RD ESFERA'!E33</f>
        <v>23.188115914599624</v>
      </c>
      <c r="N35" s="101">
        <f>'[5]RD ESFERA'!B33</f>
        <v>4.3511238180599996</v>
      </c>
      <c r="O35" s="91">
        <f>'[5]RD ESFERA'!C33</f>
        <v>0.25327418248843098</v>
      </c>
      <c r="P35" s="40">
        <f>'[5]RD ESFERA'!D33</f>
        <v>0.77696576847215237</v>
      </c>
      <c r="Q35" s="102">
        <f>'[5]RD ESFERA'!E33</f>
        <v>24.09005263197291</v>
      </c>
      <c r="R35" s="101">
        <f>'[6]RD ESFERA'!B33</f>
        <v>5.0154349440200008</v>
      </c>
      <c r="S35" s="91">
        <f>'[6]RD ESFERA'!C33</f>
        <v>0.25618349545064723</v>
      </c>
      <c r="T35" s="40">
        <f>'[6]RD ESFERA'!D33</f>
        <v>0.76193124399008327</v>
      </c>
      <c r="U35" s="102">
        <f>'[6]RD ESFERA'!E33</f>
        <v>27.420010772860866</v>
      </c>
      <c r="V35" s="101">
        <f>'[7]RD ESFERA'!B33</f>
        <v>6.1765169023099986</v>
      </c>
      <c r="W35" s="91">
        <f>'[7]RD ESFERA'!C33</f>
        <v>0.28455540337328411</v>
      </c>
      <c r="X35" s="40">
        <f>'[7]RD ESFERA'!D33</f>
        <v>0.81896652781003154</v>
      </c>
      <c r="Y35" s="102">
        <f>'[7]RD ESFERA'!E33</f>
        <v>33.359384362118298</v>
      </c>
      <c r="Z35" s="101">
        <f>'[8]RD ESFERA'!B33</f>
        <v>6.7335445329400008</v>
      </c>
      <c r="AA35" s="91">
        <f>'[8]RD ESFERA'!C33</f>
        <v>0.27946396617236308</v>
      </c>
      <c r="AB35" s="40">
        <f>'[8]RD ESFERA'!D33</f>
        <v>0.81172443717211618</v>
      </c>
      <c r="AC35" s="102">
        <f>'[8]RD ESFERA'!E33</f>
        <v>35.94384182685387</v>
      </c>
      <c r="AD35" s="101">
        <f>'[9]RD ESFERA'!B33</f>
        <v>9.451729768469999</v>
      </c>
      <c r="AE35" s="91">
        <f>'[9]RD ESFERA'!C33</f>
        <v>0.34745646904251537</v>
      </c>
      <c r="AF35" s="40">
        <f>'[9]RD ESFERA'!D33</f>
        <v>1.0046273471406066</v>
      </c>
      <c r="AG35" s="102">
        <f>'[9]RD ESFERA'!E33</f>
        <v>49.887006913152931</v>
      </c>
      <c r="AH35" s="101">
        <f>'[10]RD ESFERA'!B33</f>
        <v>10.356124866949999</v>
      </c>
      <c r="AI35" s="91">
        <f>'[10]RD ESFERA'!C33</f>
        <v>0.33301546326085607</v>
      </c>
      <c r="AJ35" s="40">
        <f>'[10]RD ESFERA'!D33</f>
        <v>0.95811454194335899</v>
      </c>
      <c r="AK35" s="102">
        <f>'[10]RD ESFERA'!E33</f>
        <v>54.069821911211598</v>
      </c>
      <c r="AL35" s="101">
        <f>'[11]RD ESFERA'!B33</f>
        <v>13.925945354009999</v>
      </c>
      <c r="AM35" s="91">
        <f>'[11]RD ESFERA'!C33</f>
        <v>0.41781525370720229</v>
      </c>
      <c r="AN35" s="40">
        <f>'[11]RD ESFERA'!D33</f>
        <v>1.2598400541877588</v>
      </c>
      <c r="AO35" s="102">
        <f>'[11]RD ESFERA'!E33</f>
        <v>71.952360106917098</v>
      </c>
      <c r="AP35" s="101">
        <f>'[12]RD ESFERA'!B34</f>
        <v>15.259450172259998</v>
      </c>
      <c r="AQ35" s="91">
        <f>'[12]RD ESFERA'!C34</f>
        <v>0.39269302605738199</v>
      </c>
      <c r="AR35" s="40">
        <f>'[12]RD ESFERA'!D34</f>
        <v>1.1816554275137761</v>
      </c>
      <c r="AS35" s="102">
        <f>'[12]RD ESFERA'!E34</f>
        <v>78.054333125093976</v>
      </c>
      <c r="AT35" s="101">
        <f>'[13]RD ESFERA'!B33</f>
        <v>20.786472945649997</v>
      </c>
      <c r="AU35" s="91">
        <f>'[13]RD ESFERA'!C33</f>
        <v>0.4749693455838635</v>
      </c>
      <c r="AV35" s="40">
        <f>'[13]RD ESFERA'!D33</f>
        <v>1.3935651676010092</v>
      </c>
      <c r="AW35" s="102">
        <f>'[13]RD ESFERA'!E33</f>
        <v>105.3028721317867</v>
      </c>
      <c r="AX35" s="101">
        <f>'[14]RD ESFERA'!B33</f>
        <v>17.569392124949999</v>
      </c>
      <c r="AY35" s="91">
        <f>'[14]RD ESFERA'!C33</f>
        <v>0.36490691384305757</v>
      </c>
      <c r="AZ35" s="40">
        <f>'[14]RD ESFERA'!D33</f>
        <v>1.0725396889168257</v>
      </c>
      <c r="BA35" s="102">
        <f>'[14]RD ESFERA'!E33</f>
        <v>88.180962775645696</v>
      </c>
      <c r="BB35" s="101">
        <f>'[15]RD ESFERA'!B33</f>
        <v>22.709252796049999</v>
      </c>
      <c r="BC35" s="91">
        <f>'[15]RD ESFERA'!C33</f>
        <v>0.42593540153656889</v>
      </c>
      <c r="BD35" s="40">
        <f>'[15]RD ESFERA'!D33</f>
        <v>1.2670834175009043</v>
      </c>
      <c r="BE35" s="86">
        <f>'[15]RD ESFERA'!E33</f>
        <v>112.9629717681173</v>
      </c>
      <c r="BF35" s="101">
        <f>'[16]RD ESFERA'!B33</f>
        <v>25.65630114132</v>
      </c>
      <c r="BG35" s="91">
        <f>'[16]RD ESFERA'!C33</f>
        <v>0.44396106251980244</v>
      </c>
      <c r="BH35" s="40">
        <f>'[16]RD ESFERA'!D33</f>
        <v>1.3504871046508897</v>
      </c>
      <c r="BI35" s="86">
        <f>'[16]RD ESFERA'!E33</f>
        <v>126.52997529922808</v>
      </c>
      <c r="BJ35" s="101">
        <f>'[17]RD ESFERA'!B33</f>
        <v>28.775925207369998</v>
      </c>
      <c r="BK35" s="91">
        <f>'[17]RD ESFERA'!C33</f>
        <v>0.47993574834079322</v>
      </c>
      <c r="BL35" s="40">
        <f>'[17]RD ESFERA'!D33</f>
        <v>1.461425709935529</v>
      </c>
      <c r="BM35" s="86">
        <f>'[17]RD ESFERA'!E33</f>
        <v>140.7475366212704</v>
      </c>
      <c r="BN35" s="101">
        <f>'[18]RD ESFERA'!B33</f>
        <v>31.984850682889999</v>
      </c>
      <c r="BO35" s="91">
        <f>'[18]RD ESFERA'!C33</f>
        <v>0.51035271198069954</v>
      </c>
      <c r="BP35" s="40">
        <f>'[18]RD ESFERA'!D33</f>
        <v>1.5331951756744868</v>
      </c>
      <c r="BQ35" s="86">
        <f>'[18]RD ESFERA'!E33</f>
        <v>155.20491279820882</v>
      </c>
      <c r="BR35" s="101">
        <f>'[19]RD ESFERA'!B33</f>
        <v>30.22865184498</v>
      </c>
      <c r="BS35" s="91">
        <f>'[19]RD ESFERA'!C33</f>
        <v>0.46123554184169574</v>
      </c>
      <c r="BT35" s="40">
        <f>'[19]RD ESFERA'!D33</f>
        <v>1.3719066289799557</v>
      </c>
      <c r="BU35" s="86">
        <f>'[19]RD ESFERA'!E33</f>
        <v>145.56735342824166</v>
      </c>
      <c r="BV35" s="101">
        <f>'[20]RD ESFERA'!B33</f>
        <v>33.00810899599</v>
      </c>
      <c r="BW35" s="91">
        <f>'[20]RD ESFERA'!C33</f>
        <v>0.47912999343985418</v>
      </c>
      <c r="BX35" s="40">
        <f>'[20]RD ESFERA'!D33</f>
        <v>1.3911039916465204</v>
      </c>
      <c r="BY35" s="86">
        <f>'[20]RD ESFERA'!E33</f>
        <v>158.3161458433276</v>
      </c>
      <c r="BZ35" s="101">
        <f>'[21]RD ESFERA'!B33</f>
        <v>36.422178470149994</v>
      </c>
      <c r="CA35" s="91">
        <f>'[21]RD ESFERA'!C33</f>
        <v>0.49291558736947538</v>
      </c>
      <c r="CB35" s="40">
        <f>'[21]RD ESFERA'!D33</f>
        <v>1.4586817319980441</v>
      </c>
      <c r="CC35" s="86">
        <f>'[21]RD ESFERA'!E33</f>
        <v>173.31751966699517</v>
      </c>
      <c r="CD35" s="101">
        <f>'[22]RD ESFERA'!B34</f>
        <v>35.511827134779999</v>
      </c>
      <c r="CE35" s="91">
        <f>'[22]RD ESFERA'!C34</f>
        <v>0.46667158766462929</v>
      </c>
      <c r="CF35" s="40">
        <f>'[22]RD ESFERA'!D34</f>
        <v>1.4485415677751154</v>
      </c>
      <c r="CG35" s="86">
        <f>'[22]RD ESFERA'!E34</f>
        <v>167.70187757115875</v>
      </c>
      <c r="CH35" s="101">
        <f>'[23]RD ESFERA'!B33</f>
        <v>49.318765324310007</v>
      </c>
      <c r="CI35" s="91">
        <f>'[23]RD ESFERA'!C33</f>
        <v>0.55422270313843769</v>
      </c>
      <c r="CJ35" s="40">
        <f>'[23]RD ESFERA'!D33</f>
        <v>1.6112159222794422</v>
      </c>
      <c r="CK35" s="86">
        <f>'[23]RD ESFERA'!E33</f>
        <v>231.19872109736787</v>
      </c>
      <c r="CL35" s="101">
        <f>'[24]RD ESFERA'!B33</f>
        <v>67.276951884209993</v>
      </c>
      <c r="CM35" s="91">
        <f>'[24]RD ESFERA'!C33</f>
        <v>0.66745153201561236</v>
      </c>
      <c r="CN35" s="40">
        <f>'[24]RD ESFERA'!D33</f>
        <v>1.9120936819515686</v>
      </c>
      <c r="CO35" s="86">
        <f>'[24]RD ESFERA'!E33</f>
        <v>331.28176794954413</v>
      </c>
      <c r="CP35" s="101">
        <f>'[25]RD ESFERA'!B35</f>
        <v>72.88223100994999</v>
      </c>
      <c r="CQ35" s="91">
        <f>'[25]RD ESFERA'!C35</f>
        <v>0.66599597901656016</v>
      </c>
      <c r="CR35" s="40">
        <f>'[25]RD ESFERA'!D35</f>
        <v>1.9260695413253499</v>
      </c>
      <c r="CS35" s="86">
        <f>'[25]RD ESFERA'!E35</f>
        <v>350.67815489615077</v>
      </c>
      <c r="CT35" s="101">
        <f>'[26]RD ESFERA'!B35</f>
        <v>89.855047377030004</v>
      </c>
      <c r="CU35" s="91">
        <f>'[26]RD ESFERA'!C35</f>
        <v>0.76506831609901949</v>
      </c>
      <c r="CV35" s="40">
        <f>'[26]RD ESFERA'!D35</f>
        <v>2.1281459760161914</v>
      </c>
      <c r="CW35" s="86">
        <f>'[26]RD ESFERA'!E35</f>
        <v>422.68069585295206</v>
      </c>
      <c r="CX35" s="13">
        <f>CU35-CQ35</f>
        <v>9.9072337082459327E-2</v>
      </c>
      <c r="CY35" s="13">
        <f>CX35/$CX$13</f>
        <v>0.21245989047259303</v>
      </c>
    </row>
    <row r="36" spans="1:103" x14ac:dyDescent="0.25">
      <c r="A36" s="75" t="s">
        <v>109</v>
      </c>
      <c r="B36" s="101">
        <f>'[2]RD ESFERA'!B34</f>
        <v>0</v>
      </c>
      <c r="C36" s="91">
        <f>'[2]RD ESFERA'!C34</f>
        <v>0</v>
      </c>
      <c r="D36" s="40">
        <f>'[2]RD ESFERA'!D34</f>
        <v>0</v>
      </c>
      <c r="E36" s="102">
        <f>'[2]RD ESFERA'!E34</f>
        <v>0</v>
      </c>
      <c r="F36" s="101">
        <f>'[3]RD ESFERA'!B34</f>
        <v>0</v>
      </c>
      <c r="G36" s="91">
        <f>'[3]RD ESFERA'!C34</f>
        <v>0</v>
      </c>
      <c r="H36" s="40">
        <f>'[3]RD ESFERA'!D34</f>
        <v>0</v>
      </c>
      <c r="I36" s="102">
        <f>'[3]RD ESFERA'!E34</f>
        <v>0</v>
      </c>
      <c r="J36" s="101">
        <f>'[4]RD ESFERA'!B34</f>
        <v>0</v>
      </c>
      <c r="K36" s="91">
        <f>'[4]RD ESFERA'!C34</f>
        <v>0</v>
      </c>
      <c r="L36" s="40">
        <f>'[4]RD ESFERA'!D34</f>
        <v>0</v>
      </c>
      <c r="M36" s="102">
        <f>'[4]RD ESFERA'!E34</f>
        <v>0</v>
      </c>
      <c r="N36" s="101">
        <f>'[5]RD ESFERA'!B34</f>
        <v>0</v>
      </c>
      <c r="O36" s="91">
        <f>'[5]RD ESFERA'!C34</f>
        <v>0</v>
      </c>
      <c r="P36" s="40">
        <f>'[5]RD ESFERA'!D34</f>
        <v>0</v>
      </c>
      <c r="Q36" s="102">
        <f>'[5]RD ESFERA'!E34</f>
        <v>0</v>
      </c>
      <c r="R36" s="101">
        <f>'[6]RD ESFERA'!B34</f>
        <v>0.22372944375000001</v>
      </c>
      <c r="S36" s="91">
        <f>'[6]RD ESFERA'!C34</f>
        <v>1.1427880448024289E-2</v>
      </c>
      <c r="T36" s="40">
        <f>'[6]RD ESFERA'!D34</f>
        <v>3.3988368964270446E-2</v>
      </c>
      <c r="U36" s="102">
        <f>'[6]RD ESFERA'!E34</f>
        <v>1.2231568799722239</v>
      </c>
      <c r="V36" s="101">
        <f>'[7]RD ESFERA'!B34</f>
        <v>0.33863056875000008</v>
      </c>
      <c r="W36" s="91">
        <f>'[7]RD ESFERA'!C34</f>
        <v>1.5600889564334043E-2</v>
      </c>
      <c r="X36" s="40">
        <f>'[7]RD ESFERA'!D34</f>
        <v>4.4900241590175881E-2</v>
      </c>
      <c r="Y36" s="102">
        <f>'[7]RD ESFERA'!E34</f>
        <v>1.8289446104274591</v>
      </c>
      <c r="Z36" s="101">
        <f>'[8]RD ESFERA'!B34</f>
        <v>0.59628059522999999</v>
      </c>
      <c r="AA36" s="91">
        <f>'[8]RD ESFERA'!C34</f>
        <v>2.4747581200273924E-2</v>
      </c>
      <c r="AB36" s="40">
        <f>'[8]RD ESFERA'!D34</f>
        <v>7.1881239990610898E-2</v>
      </c>
      <c r="AC36" s="102">
        <f>'[8]RD ESFERA'!E34</f>
        <v>3.1829618553085428</v>
      </c>
      <c r="AD36" s="101">
        <f>'[9]RD ESFERA'!B34</f>
        <v>0.48301661264000001</v>
      </c>
      <c r="AE36" s="91">
        <f>'[9]RD ESFERA'!C34</f>
        <v>1.775624682760454E-2</v>
      </c>
      <c r="AF36" s="40">
        <f>'[9]RD ESFERA'!D34</f>
        <v>5.1339988559566646E-2</v>
      </c>
      <c r="AG36" s="102">
        <f>'[9]RD ESFERA'!E34</f>
        <v>2.5494013989187478</v>
      </c>
      <c r="AH36" s="101">
        <f>'[10]RD ESFERA'!B34</f>
        <v>0.81093030687000001</v>
      </c>
      <c r="AI36" s="91">
        <f>'[10]RD ESFERA'!C34</f>
        <v>2.6076581277656496E-2</v>
      </c>
      <c r="AJ36" s="40">
        <f>'[10]RD ESFERA'!D34</f>
        <v>7.5024599403421696E-2</v>
      </c>
      <c r="AK36" s="102">
        <f>'[10]RD ESFERA'!E34</f>
        <v>4.2339058130513338</v>
      </c>
      <c r="AL36" s="101">
        <f>'[11]RD ESFERA'!B34</f>
        <v>0.4875000000000001</v>
      </c>
      <c r="AM36" s="91">
        <f>'[11]RD ESFERA'!C34</f>
        <v>1.4626291501539587E-2</v>
      </c>
      <c r="AN36" s="40">
        <f>'[11]RD ESFERA'!D34</f>
        <v>4.4102716964897516E-2</v>
      </c>
      <c r="AO36" s="102">
        <f>'[11]RD ESFERA'!E34</f>
        <v>2.5188074963989195</v>
      </c>
      <c r="AP36" s="101">
        <f>'[12]RD ESFERA'!B35</f>
        <v>0.48749999993000009</v>
      </c>
      <c r="AQ36" s="91">
        <f>'[12]RD ESFERA'!C35</f>
        <v>1.2545527395443004E-2</v>
      </c>
      <c r="AR36" s="40">
        <f>'[12]RD ESFERA'!D35</f>
        <v>3.7750837305885264E-2</v>
      </c>
      <c r="AS36" s="102">
        <f>'[12]RD ESFERA'!E35</f>
        <v>2.4936342373719951</v>
      </c>
      <c r="AT36" s="101">
        <f>'[13]RD ESFERA'!B34</f>
        <v>0.48749999999999999</v>
      </c>
      <c r="AU36" s="91">
        <f>'[13]RD ESFERA'!C34</f>
        <v>1.1139338384994729E-2</v>
      </c>
      <c r="AV36" s="40">
        <f>'[13]RD ESFERA'!D34</f>
        <v>3.2682938610211071E-2</v>
      </c>
      <c r="AW36" s="102">
        <f>'[13]RD ESFERA'!E34</f>
        <v>2.4696421705823339</v>
      </c>
      <c r="AX36" s="101">
        <f>'[14]RD ESFERA'!B34</f>
        <v>0.48749999999999999</v>
      </c>
      <c r="AY36" s="91">
        <f>'[14]RD ESFERA'!C34</f>
        <v>1.012511527054308E-2</v>
      </c>
      <c r="AZ36" s="40">
        <f>'[14]RD ESFERA'!D34</f>
        <v>2.9759885522985367E-2</v>
      </c>
      <c r="BA36" s="102">
        <f>'[14]RD ESFERA'!E34</f>
        <v>2.4467675971600871</v>
      </c>
      <c r="BB36" s="101">
        <f>'[15]RD ESFERA'!B34</f>
        <v>0</v>
      </c>
      <c r="BC36" s="91">
        <f>'[15]RD ESFERA'!C34</f>
        <v>0</v>
      </c>
      <c r="BD36" s="40">
        <f>'[15]RD ESFERA'!D34</f>
        <v>0</v>
      </c>
      <c r="BE36" s="86">
        <f>'[15]RD ESFERA'!E34</f>
        <v>0</v>
      </c>
      <c r="BF36" s="101">
        <f>'[16]RD ESFERA'!B34</f>
        <v>0.4875000000000001</v>
      </c>
      <c r="BG36" s="91">
        <f>'[16]RD ESFERA'!C34</f>
        <v>8.4357841290628264E-3</v>
      </c>
      <c r="BH36" s="40">
        <f>'[16]RD ESFERA'!D34</f>
        <v>2.5660848767361973E-2</v>
      </c>
      <c r="BI36" s="86">
        <f>'[16]RD ESFERA'!E34</f>
        <v>2.4042188551891992</v>
      </c>
      <c r="BJ36" s="101">
        <f>'[17]RD ESFERA'!B34</f>
        <v>0.48749999983999981</v>
      </c>
      <c r="BK36" s="91">
        <f>'[17]RD ESFERA'!C34</f>
        <v>8.1307091102469087E-3</v>
      </c>
      <c r="BL36" s="40">
        <f>'[17]RD ESFERA'!D34</f>
        <v>2.4758371041959513E-2</v>
      </c>
      <c r="BM36" s="86">
        <f>'[17]RD ESFERA'!E34</f>
        <v>2.3844385049616537</v>
      </c>
      <c r="BN36" s="101">
        <f>'[18]RD ESFERA'!B34</f>
        <v>0.4875000000000001</v>
      </c>
      <c r="BO36" s="91">
        <f>'[18]RD ESFERA'!C34</f>
        <v>7.7785871054162122E-3</v>
      </c>
      <c r="BP36" s="40">
        <f>'[18]RD ESFERA'!D34</f>
        <v>2.3368333200978319E-2</v>
      </c>
      <c r="BQ36" s="86">
        <f>'[18]RD ESFERA'!E34</f>
        <v>2.3655697423531108</v>
      </c>
      <c r="BR36" s="101">
        <f>'[19]RD ESFERA'!B34</f>
        <v>0.47760397397999987</v>
      </c>
      <c r="BS36" s="91">
        <f>'[19]RD ESFERA'!C34</f>
        <v>7.2873884304898327E-3</v>
      </c>
      <c r="BT36" s="40">
        <f>'[19]RD ESFERA'!D34</f>
        <v>2.1675728751996734E-2</v>
      </c>
      <c r="BU36" s="86">
        <f>'[19]RD ESFERA'!E34</f>
        <v>2.2999221677371957</v>
      </c>
      <c r="BV36" s="101">
        <f>'[20]RD ESFERA'!B34</f>
        <v>0</v>
      </c>
      <c r="BW36" s="91">
        <f>'[20]RD ESFERA'!C34</f>
        <v>0</v>
      </c>
      <c r="BX36" s="40">
        <f>'[20]RD ESFERA'!D34</f>
        <v>0</v>
      </c>
      <c r="BY36" s="86">
        <f>'[20]RD ESFERA'!E34</f>
        <v>0</v>
      </c>
      <c r="BZ36" s="101">
        <f>'[21]RD ESFERA'!B34</f>
        <v>0</v>
      </c>
      <c r="CA36" s="91">
        <f>'[21]RD ESFERA'!C34</f>
        <v>0</v>
      </c>
      <c r="CB36" s="40">
        <f>'[21]RD ESFERA'!D34</f>
        <v>0</v>
      </c>
      <c r="CC36" s="86">
        <f>'[21]RD ESFERA'!E34</f>
        <v>0</v>
      </c>
      <c r="CD36" s="101">
        <f>'[22]RD ESFERA'!B35</f>
        <v>0</v>
      </c>
      <c r="CE36" s="91">
        <f>'[22]RD ESFERA'!C35</f>
        <v>0</v>
      </c>
      <c r="CF36" s="40">
        <f>'[22]RD ESFERA'!D35</f>
        <v>0</v>
      </c>
      <c r="CG36" s="86">
        <f>'[22]RD ESFERA'!E35</f>
        <v>0</v>
      </c>
      <c r="CH36" s="101">
        <f>'[23]RD ESFERA'!B34</f>
        <v>0</v>
      </c>
      <c r="CI36" s="91">
        <f>'[23]RD ESFERA'!C34</f>
        <v>0</v>
      </c>
      <c r="CJ36" s="40">
        <f>'[23]RD ESFERA'!D34</f>
        <v>0</v>
      </c>
      <c r="CK36" s="86">
        <f>'[23]RD ESFERA'!E34</f>
        <v>0</v>
      </c>
      <c r="CL36" s="101">
        <f>'[24]RD ESFERA'!B34</f>
        <v>0</v>
      </c>
      <c r="CM36" s="91">
        <f>'[24]RD ESFERA'!C34</f>
        <v>0</v>
      </c>
      <c r="CN36" s="40">
        <f>'[24]RD ESFERA'!D34</f>
        <v>0</v>
      </c>
      <c r="CO36" s="86">
        <f>'[24]RD ESFERA'!E34</f>
        <v>0</v>
      </c>
      <c r="CP36" s="101">
        <f>'[25]RD ESFERA'!B36</f>
        <v>0</v>
      </c>
      <c r="CQ36" s="91">
        <f>'[25]RD ESFERA'!C36</f>
        <v>0</v>
      </c>
      <c r="CR36" s="40">
        <f>'[25]RD ESFERA'!D36</f>
        <v>0</v>
      </c>
      <c r="CS36" s="86">
        <f>'[25]RD ESFERA'!E36</f>
        <v>0</v>
      </c>
      <c r="CT36" s="101">
        <f>'[26]RD ESFERA'!B36</f>
        <v>0</v>
      </c>
      <c r="CU36" s="91">
        <f>'[26]RD ESFERA'!C36</f>
        <v>0</v>
      </c>
      <c r="CV36" s="40">
        <f>'[26]RD ESFERA'!D36</f>
        <v>0</v>
      </c>
      <c r="CW36" s="86">
        <f>'[26]RD ESFERA'!E36</f>
        <v>0</v>
      </c>
    </row>
    <row r="37" spans="1:103" x14ac:dyDescent="0.25">
      <c r="A37" s="75" t="s">
        <v>110</v>
      </c>
      <c r="B37" s="101">
        <f>'[2]RD ESFERA'!B35</f>
        <v>0</v>
      </c>
      <c r="C37" s="91">
        <f>'[2]RD ESFERA'!C35</f>
        <v>0</v>
      </c>
      <c r="D37" s="40">
        <f>'[2]RD ESFERA'!D35</f>
        <v>0</v>
      </c>
      <c r="E37" s="102">
        <f>'[2]RD ESFERA'!E35</f>
        <v>0</v>
      </c>
      <c r="F37" s="101">
        <f>'[3]RD ESFERA'!B35</f>
        <v>0</v>
      </c>
      <c r="G37" s="91">
        <f>'[3]RD ESFERA'!C35</f>
        <v>0</v>
      </c>
      <c r="H37" s="40">
        <f>'[3]RD ESFERA'!D35</f>
        <v>0</v>
      </c>
      <c r="I37" s="102">
        <f>'[3]RD ESFERA'!E35</f>
        <v>0</v>
      </c>
      <c r="J37" s="101">
        <f>'[4]RD ESFERA'!B35</f>
        <v>0</v>
      </c>
      <c r="K37" s="91">
        <f>'[4]RD ESFERA'!C35</f>
        <v>0</v>
      </c>
      <c r="L37" s="40">
        <f>'[4]RD ESFERA'!D35</f>
        <v>0</v>
      </c>
      <c r="M37" s="102">
        <f>'[4]RD ESFERA'!E35</f>
        <v>0</v>
      </c>
      <c r="N37" s="101">
        <f>'[5]RD ESFERA'!B35</f>
        <v>0</v>
      </c>
      <c r="O37" s="91">
        <f>'[5]RD ESFERA'!C35</f>
        <v>0</v>
      </c>
      <c r="P37" s="40">
        <f>'[5]RD ESFERA'!D35</f>
        <v>0</v>
      </c>
      <c r="Q37" s="102">
        <f>'[5]RD ESFERA'!E35</f>
        <v>0</v>
      </c>
      <c r="R37" s="101">
        <f>'[6]RD ESFERA'!B35</f>
        <v>0.27333351541000001</v>
      </c>
      <c r="S37" s="91">
        <f>'[6]RD ESFERA'!C35</f>
        <v>1.3961607753488569E-2</v>
      </c>
      <c r="T37" s="40">
        <f>'[6]RD ESFERA'!D35</f>
        <v>4.1524084699540942E-2</v>
      </c>
      <c r="U37" s="102">
        <f>'[6]RD ESFERA'!E35</f>
        <v>1.4943485501815423</v>
      </c>
      <c r="V37" s="101">
        <f>'[7]RD ESFERA'!B35</f>
        <v>0.43795171505000013</v>
      </c>
      <c r="W37" s="91">
        <f>'[7]RD ESFERA'!C35</f>
        <v>2.0176667352349718E-2</v>
      </c>
      <c r="X37" s="40">
        <f>'[7]RD ESFERA'!D35</f>
        <v>5.8069588587834391E-2</v>
      </c>
      <c r="Y37" s="102">
        <f>'[7]RD ESFERA'!E35</f>
        <v>2.3653783880908414</v>
      </c>
      <c r="Z37" s="101">
        <f>'[8]RD ESFERA'!B35</f>
        <v>0.43930687959000003</v>
      </c>
      <c r="AA37" s="91">
        <f>'[8]RD ESFERA'!C35</f>
        <v>1.823266220880284E-2</v>
      </c>
      <c r="AB37" s="40">
        <f>'[8]RD ESFERA'!D35</f>
        <v>5.2958160124521265E-2</v>
      </c>
      <c r="AC37" s="102">
        <f>'[8]RD ESFERA'!E35</f>
        <v>2.3450319391497816</v>
      </c>
      <c r="AD37" s="101">
        <f>'[9]RD ESFERA'!B35</f>
        <v>0.45607412995000007</v>
      </c>
      <c r="AE37" s="91">
        <f>'[9]RD ESFERA'!C35</f>
        <v>1.6765810142254631E-2</v>
      </c>
      <c r="AF37" s="40">
        <f>'[9]RD ESFERA'!D35</f>
        <v>4.8476263551205774E-2</v>
      </c>
      <c r="AG37" s="102">
        <f>'[9]RD ESFERA'!E35</f>
        <v>2.4071967598592137</v>
      </c>
      <c r="AH37" s="101">
        <f>'[10]RD ESFERA'!B35</f>
        <v>0.38910436263999998</v>
      </c>
      <c r="AI37" s="91">
        <f>'[10]RD ESFERA'!C35</f>
        <v>1.2512186869714897E-2</v>
      </c>
      <c r="AJ37" s="40">
        <f>'[10]RD ESFERA'!D35</f>
        <v>3.5998653257720142E-2</v>
      </c>
      <c r="AK37" s="102">
        <f>'[10]RD ESFERA'!E35</f>
        <v>2.0315324373851888</v>
      </c>
      <c r="AL37" s="101">
        <f>'[11]RD ESFERA'!B35</f>
        <v>0.23718047782000001</v>
      </c>
      <c r="AM37" s="91">
        <f>'[11]RD ESFERA'!C35</f>
        <v>7.1160426811687476E-3</v>
      </c>
      <c r="AN37" s="40">
        <f>'[11]RD ESFERA'!D35</f>
        <v>2.1457032785424848E-2</v>
      </c>
      <c r="AO37" s="102">
        <f>'[11]RD ESFERA'!E35</f>
        <v>1.2254604421179356</v>
      </c>
      <c r="AP37" s="101">
        <f>'[12]RD ESFERA'!B36</f>
        <v>0.43757832493999999</v>
      </c>
      <c r="AQ37" s="91">
        <f>'[12]RD ESFERA'!C36</f>
        <v>1.1260822285077101E-2</v>
      </c>
      <c r="AR37" s="40">
        <f>'[12]RD ESFERA'!D36</f>
        <v>3.3885021857976788E-2</v>
      </c>
      <c r="AS37" s="102">
        <f>'[12]RD ESFERA'!E36</f>
        <v>2.2382775236081049</v>
      </c>
      <c r="AT37" s="101">
        <f>'[13]RD ESFERA'!B35</f>
        <v>0.5199612198500001</v>
      </c>
      <c r="AU37" s="91">
        <f>'[13]RD ESFERA'!C35</f>
        <v>1.1881074820479568E-2</v>
      </c>
      <c r="AV37" s="40">
        <f>'[13]RD ESFERA'!D35</f>
        <v>3.4859201288303616E-2</v>
      </c>
      <c r="AW37" s="102">
        <f>'[13]RD ESFERA'!E35</f>
        <v>2.6340885243261378</v>
      </c>
      <c r="AX37" s="101">
        <f>'[14]RD ESFERA'!B35</f>
        <v>0.27552193217000004</v>
      </c>
      <c r="AY37" s="91">
        <f>'[14]RD ESFERA'!C35</f>
        <v>5.7224437390441061E-3</v>
      </c>
      <c r="AZ37" s="40">
        <f>'[14]RD ESFERA'!D35</f>
        <v>1.6819489559899363E-2</v>
      </c>
      <c r="BA37" s="102">
        <f>'[14]RD ESFERA'!E35</f>
        <v>1.3828474583394779</v>
      </c>
      <c r="BB37" s="101">
        <f>'[15]RD ESFERA'!B35</f>
        <v>1.4128833979999998E-2</v>
      </c>
      <c r="BC37" s="91">
        <f>'[15]RD ESFERA'!C35</f>
        <v>2.6500081832554051E-4</v>
      </c>
      <c r="BD37" s="40">
        <f>'[15]RD ESFERA'!D35</f>
        <v>7.88331144378084E-4</v>
      </c>
      <c r="BE37" s="86">
        <f>'[15]RD ESFERA'!E35</f>
        <v>7.0281267654775825E-2</v>
      </c>
      <c r="BF37" s="101">
        <f>'[16]RD ESFERA'!B35</f>
        <v>2.8613759699999994E-2</v>
      </c>
      <c r="BG37" s="91">
        <f>'[16]RD ESFERA'!C35</f>
        <v>4.9513743579503058E-4</v>
      </c>
      <c r="BH37" s="40">
        <f>'[16]RD ESFERA'!D35</f>
        <v>1.5061607391329975E-3</v>
      </c>
      <c r="BI37" s="86">
        <f>'[16]RD ESFERA'!E35</f>
        <v>0.14111536530993396</v>
      </c>
      <c r="BJ37" s="101">
        <f>'[17]RD ESFERA'!B35</f>
        <v>0.11039717483999999</v>
      </c>
      <c r="BK37" s="91">
        <f>'[17]RD ESFERA'!C35</f>
        <v>1.8412457754086323E-3</v>
      </c>
      <c r="BL37" s="40">
        <f>'[17]RD ESFERA'!D35</f>
        <v>5.6066753180920321E-3</v>
      </c>
      <c r="BM37" s="86">
        <f>'[17]RD ESFERA'!E35</f>
        <v>0.53996979407974388</v>
      </c>
      <c r="BN37" s="101">
        <f>'[18]RD ESFERA'!B35</f>
        <v>0.30536850070999999</v>
      </c>
      <c r="BO37" s="91">
        <f>'[18]RD ESFERA'!C35</f>
        <v>4.8724830400473573E-3</v>
      </c>
      <c r="BP37" s="40">
        <f>'[18]RD ESFERA'!D35</f>
        <v>1.4637852048563001E-2</v>
      </c>
      <c r="BQ37" s="86">
        <f>'[18]RD ESFERA'!E35</f>
        <v>1.4817856113790979</v>
      </c>
      <c r="BR37" s="101">
        <f>'[19]RD ESFERA'!B35</f>
        <v>0.41858523197999997</v>
      </c>
      <c r="BS37" s="91">
        <f>'[19]RD ESFERA'!C35</f>
        <v>6.3868672433464576E-3</v>
      </c>
      <c r="BT37" s="40">
        <f>'[19]RD ESFERA'!D35</f>
        <v>1.8997203629570417E-2</v>
      </c>
      <c r="BU37" s="86">
        <f>'[19]RD ESFERA'!E35</f>
        <v>2.0157149156353817</v>
      </c>
      <c r="BV37" s="101">
        <f>'[20]RD ESFERA'!B35</f>
        <v>0.3343193317</v>
      </c>
      <c r="BW37" s="91">
        <f>'[20]RD ESFERA'!C35</f>
        <v>4.8528202334673955E-3</v>
      </c>
      <c r="BX37" s="40">
        <f>'[20]RD ESFERA'!D35</f>
        <v>1.4089657691961893E-2</v>
      </c>
      <c r="BY37" s="86">
        <f>'[20]RD ESFERA'!E35</f>
        <v>1.6034892541736032</v>
      </c>
      <c r="BZ37" s="101">
        <f>'[21]RD ESFERA'!B35</f>
        <v>0.20227289311999999</v>
      </c>
      <c r="CA37" s="91">
        <f>'[21]RD ESFERA'!C35</f>
        <v>2.7374381794016099E-3</v>
      </c>
      <c r="CB37" s="40">
        <f>'[21]RD ESFERA'!D35</f>
        <v>8.1008821126487048E-3</v>
      </c>
      <c r="CC37" s="86">
        <f>'[21]RD ESFERA'!E35</f>
        <v>0.96252990908155422</v>
      </c>
      <c r="CD37" s="101">
        <f>'[22]RD ESFERA'!B36</f>
        <v>0.17007603299999999</v>
      </c>
      <c r="CE37" s="91">
        <f>'[22]RD ESFERA'!C36</f>
        <v>2.2350202382596606E-3</v>
      </c>
      <c r="CF37" s="40">
        <f>'[22]RD ESFERA'!D36</f>
        <v>6.9374691014281011E-3</v>
      </c>
      <c r="CG37" s="86">
        <f>'[22]RD ESFERA'!E36</f>
        <v>0.80317100992024337</v>
      </c>
      <c r="CH37" s="101">
        <f>'[23]RD ESFERA'!B35</f>
        <v>0.10951301274000003</v>
      </c>
      <c r="CI37" s="91">
        <f>'[23]RD ESFERA'!C35</f>
        <v>1.2306593149784236E-3</v>
      </c>
      <c r="CJ37" s="40">
        <f>'[23]RD ESFERA'!D35</f>
        <v>3.5777276390271855E-3</v>
      </c>
      <c r="CK37" s="86">
        <f>'[23]RD ESFERA'!E35</f>
        <v>0.51338001514258291</v>
      </c>
      <c r="CL37" s="101">
        <f>'[24]RD ESFERA'!B35</f>
        <v>0.17043943168</v>
      </c>
      <c r="CM37" s="91">
        <f>'[24]RD ESFERA'!C35</f>
        <v>1.6909217288333476E-3</v>
      </c>
      <c r="CN37" s="40">
        <f>'[24]RD ESFERA'!D35</f>
        <v>4.8440981843476238E-3</v>
      </c>
      <c r="CO37" s="86">
        <f>'[24]RD ESFERA'!E35</f>
        <v>0.83926923967133549</v>
      </c>
      <c r="CP37" s="101">
        <f>'[25]RD ESFERA'!B37</f>
        <v>3.4356629640000004E-2</v>
      </c>
      <c r="CQ37" s="91">
        <f>'[25]RD ESFERA'!C37</f>
        <v>3.1395001052694684E-4</v>
      </c>
      <c r="CR37" s="40">
        <f>'[25]RD ESFERA'!D37</f>
        <v>9.0794775317958704E-4</v>
      </c>
      <c r="CS37" s="86">
        <f>'[25]RD ESFERA'!E37</f>
        <v>0.16530942211361199</v>
      </c>
      <c r="CT37" s="101">
        <f>'[26]RD ESFERA'!B37</f>
        <v>0.24155149200000001</v>
      </c>
      <c r="CU37" s="91">
        <f>'[26]RD ESFERA'!C37</f>
        <v>2.0566834989270487E-3</v>
      </c>
      <c r="CV37" s="40">
        <f>'[26]RD ESFERA'!D37</f>
        <v>5.7209567042298126E-3</v>
      </c>
      <c r="CW37" s="86">
        <f>'[26]RD ESFERA'!E37</f>
        <v>1.1362650814090918</v>
      </c>
    </row>
    <row r="38" spans="1:103" x14ac:dyDescent="0.25">
      <c r="A38" s="37" t="s">
        <v>123</v>
      </c>
      <c r="B38" s="101"/>
      <c r="C38" s="91"/>
      <c r="D38" s="40"/>
      <c r="E38" s="102"/>
      <c r="F38" s="101"/>
      <c r="G38" s="91"/>
      <c r="H38" s="40"/>
      <c r="I38" s="102"/>
      <c r="J38" s="101"/>
      <c r="K38" s="91"/>
      <c r="L38" s="40"/>
      <c r="M38" s="102"/>
      <c r="N38" s="101"/>
      <c r="O38" s="91"/>
      <c r="P38" s="40"/>
      <c r="Q38" s="102"/>
      <c r="R38" s="101"/>
      <c r="S38" s="91"/>
      <c r="T38" s="40"/>
      <c r="U38" s="102"/>
      <c r="V38" s="101"/>
      <c r="W38" s="91"/>
      <c r="X38" s="40"/>
      <c r="Y38" s="102"/>
      <c r="Z38" s="101"/>
      <c r="AA38" s="91"/>
      <c r="AB38" s="40"/>
      <c r="AC38" s="102"/>
      <c r="AD38" s="101"/>
      <c r="AE38" s="91"/>
      <c r="AF38" s="40"/>
      <c r="AG38" s="102"/>
      <c r="AH38" s="101"/>
      <c r="AI38" s="91"/>
      <c r="AJ38" s="40"/>
      <c r="AK38" s="102"/>
      <c r="AL38" s="101">
        <f>'[11]RD ESFERA'!B36</f>
        <v>1.8674964169499759</v>
      </c>
      <c r="AM38" s="91">
        <f>'[11]RD ESFERA'!C36</f>
        <v>5.6029839943366279E-2</v>
      </c>
      <c r="AN38" s="40">
        <f>'[11]RD ESFERA'!D36</f>
        <v>0.16894700699426671</v>
      </c>
      <c r="AO38" s="102">
        <f>'[11]RD ESFERA'!E36</f>
        <v>9.6489517425881459</v>
      </c>
      <c r="AP38" s="101">
        <f>'[12]RD ESFERA'!B37</f>
        <v>0.51660966488999516</v>
      </c>
      <c r="AQ38" s="91">
        <f>'[12]RD ESFERA'!C37</f>
        <v>1.3294647599094744E-2</v>
      </c>
      <c r="AR38" s="40">
        <f>'[12]RD ESFERA'!D37</f>
        <v>4.0005020333765046E-2</v>
      </c>
      <c r="AS38" s="102">
        <f>'[12]RD ESFERA'!E37</f>
        <v>2.642534457255266</v>
      </c>
      <c r="AT38" s="101"/>
      <c r="AU38" s="91"/>
      <c r="AV38" s="40"/>
      <c r="AW38" s="102"/>
      <c r="AX38" s="101"/>
      <c r="AY38" s="91"/>
      <c r="AZ38" s="40"/>
      <c r="BA38" s="102"/>
      <c r="BB38" s="101">
        <f>'[15]RD ESFERA'!B36</f>
        <v>1.5</v>
      </c>
      <c r="BC38" s="91">
        <f>'[15]RD ESFERA'!C36</f>
        <v>2.8134043336554997E-2</v>
      </c>
      <c r="BD38" s="40">
        <f>'[15]RD ESFERA'!D36</f>
        <v>8.3693864493064568E-2</v>
      </c>
      <c r="BE38" s="86">
        <f>'[15]RD ESFERA'!E36</f>
        <v>7.4614721661669456</v>
      </c>
      <c r="BF38" s="101">
        <f>'[16]RD ESFERA'!B36</f>
        <v>1.5</v>
      </c>
      <c r="BG38" s="91">
        <f>'[16]RD ESFERA'!C36</f>
        <v>2.5956258858654845E-2</v>
      </c>
      <c r="BH38" s="40">
        <f>'[16]RD ESFERA'!D36</f>
        <v>7.8956457745729125E-2</v>
      </c>
      <c r="BI38" s="86">
        <f>'[16]RD ESFERA'!E36</f>
        <v>7.3975964775052256</v>
      </c>
      <c r="BJ38" s="101"/>
      <c r="BK38" s="91"/>
      <c r="BL38" s="40"/>
      <c r="BM38" s="86"/>
      <c r="BN38" s="101"/>
      <c r="BO38" s="91"/>
      <c r="BP38" s="40"/>
      <c r="BQ38" s="86"/>
      <c r="BS38" s="91"/>
      <c r="BT38" s="40"/>
      <c r="BU38" s="86"/>
      <c r="BW38" s="91"/>
      <c r="BX38" s="40"/>
      <c r="BY38" s="86"/>
      <c r="CA38" s="91"/>
      <c r="CB38" s="40"/>
      <c r="CC38" s="86"/>
      <c r="CD38" s="101">
        <f>'[22]RD ESFERA'!B37</f>
        <v>27.734120533219937</v>
      </c>
      <c r="CE38" s="91">
        <f>'[22]RD ESFERA'!C37</f>
        <v>0.36446240889261206</v>
      </c>
      <c r="CF38" s="40">
        <f>'[22]RD ESFERA'!D37</f>
        <v>1.1312858188225499</v>
      </c>
      <c r="CG38" s="86">
        <f>'[22]RD ESFERA'!E37</f>
        <v>130.97225520256586</v>
      </c>
      <c r="CH38" s="101"/>
      <c r="CI38" s="91"/>
      <c r="CJ38" s="40"/>
      <c r="CK38" s="86"/>
      <c r="CL38" s="101"/>
      <c r="CM38" s="91"/>
      <c r="CN38" s="40"/>
      <c r="CO38" s="86"/>
      <c r="CP38" s="101">
        <f>'[25]RD ESFERA'!B38</f>
        <v>6.0182447385200009</v>
      </c>
      <c r="CQ38" s="91">
        <f>'[25]RD ESFERA'!C38</f>
        <v>5.4994567826068541E-2</v>
      </c>
      <c r="CR38" s="40">
        <f>'[25]RD ESFERA'!D38</f>
        <v>0.15904504736583081</v>
      </c>
      <c r="CS38" s="86">
        <f>'[25]RD ESFERA'!E38</f>
        <v>28.957222238840863</v>
      </c>
      <c r="CT38" s="101">
        <f>'[26]RD ESFERA'!B38</f>
        <v>0.31391649999999999</v>
      </c>
      <c r="CU38" s="91">
        <f>'[26]RD ESFERA'!C38</f>
        <v>2.6728333584084543E-3</v>
      </c>
      <c r="CV38" s="40">
        <f>'[26]RD ESFERA'!D38</f>
        <v>7.4348648827362983E-3</v>
      </c>
      <c r="CW38" s="86">
        <f>'[26]RD ESFERA'!E38</f>
        <v>1.4766721350996961</v>
      </c>
    </row>
    <row r="39" spans="1:103" x14ac:dyDescent="0.25">
      <c r="A39" s="85" t="s">
        <v>114</v>
      </c>
      <c r="B39" s="101">
        <f>'[2]RD ESFERA'!B36</f>
        <v>1.028767610037</v>
      </c>
      <c r="C39" s="91">
        <f>'[2]RD ESFERA'!C36</f>
        <v>8.5561136434058258E-2</v>
      </c>
      <c r="D39" s="40">
        <f>'[2]RD ESFERA'!D36</f>
        <v>0.2799785551532542</v>
      </c>
      <c r="E39" s="102">
        <f>'[2]RD ESFERA'!E36</f>
        <v>5.9312621524623825</v>
      </c>
      <c r="F39" s="101">
        <f>'[3]RD ESFERA'!B36</f>
        <v>1.3386370608784999</v>
      </c>
      <c r="G39" s="91">
        <f>'[3]RD ESFERA'!C36</f>
        <v>0.10173908219071938</v>
      </c>
      <c r="H39" s="40">
        <f>'[3]RD ESFERA'!D36</f>
        <v>0.31747841705868579</v>
      </c>
      <c r="I39" s="102">
        <f>'[3]RD ESFERA'!E36</f>
        <v>7.7177851028830222</v>
      </c>
      <c r="J39" s="101">
        <f>'[4]RD ESFERA'!B36</f>
        <v>1.8008524647449999</v>
      </c>
      <c r="K39" s="91">
        <f>'[4]RD ESFERA'!C36</f>
        <v>0.12096105519090372</v>
      </c>
      <c r="L39" s="40">
        <f>'[4]RD ESFERA'!D36</f>
        <v>0.36349662498939278</v>
      </c>
      <c r="M39" s="102">
        <f>'[4]RD ESFERA'!E36</f>
        <v>10.101478447776248</v>
      </c>
      <c r="N39" s="101">
        <f>'[5]RD ESFERA'!B36</f>
        <v>2.5276416779104998</v>
      </c>
      <c r="O39" s="91">
        <f>'[5]RD ESFERA'!C36</f>
        <v>0.14713127145205041</v>
      </c>
      <c r="P39" s="40">
        <f>'[5]RD ESFERA'!D36</f>
        <v>0.45135260241240305</v>
      </c>
      <c r="Q39" s="102">
        <f>'[5]RD ESFERA'!E36</f>
        <v>13.994320456451925</v>
      </c>
      <c r="R39" s="101">
        <f>'[6]RD ESFERA'!B36</f>
        <v>2.8164035109694994</v>
      </c>
      <c r="S39" s="91">
        <f>'[6]RD ESFERA'!C36</f>
        <v>0.14385912769139178</v>
      </c>
      <c r="T39" s="40">
        <f>'[6]RD ESFERA'!D36</f>
        <v>0.42786036597875393</v>
      </c>
      <c r="U39" s="102">
        <f>'[6]RD ESFERA'!E36</f>
        <v>15.397630609003247</v>
      </c>
      <c r="V39" s="101">
        <f>'[7]RD ESFERA'!B36</f>
        <v>3.4541533286305</v>
      </c>
      <c r="W39" s="91">
        <f>'[7]RD ESFERA'!C36</f>
        <v>0.15913467238696019</v>
      </c>
      <c r="X39" s="40">
        <f>'[7]RD ESFERA'!D36</f>
        <v>0.45799857797102556</v>
      </c>
      <c r="Y39" s="102">
        <f>'[7]RD ESFERA'!E36</f>
        <v>18.655891396068238</v>
      </c>
      <c r="Z39" s="101">
        <f>'[8]RD ESFERA'!B36</f>
        <v>4.1824773716269998</v>
      </c>
      <c r="AA39" s="91">
        <f>'[8]RD ESFERA'!C36</f>
        <v>0.17358639405785553</v>
      </c>
      <c r="AB39" s="40">
        <f>'[8]RD ESFERA'!D36</f>
        <v>0.50419494129144848</v>
      </c>
      <c r="AC39" s="102">
        <f>'[8]RD ESFERA'!E36</f>
        <v>22.326176704517529</v>
      </c>
      <c r="AD39" s="101">
        <f>'[9]RD ESFERA'!B36</f>
        <v>3.9997043413606224</v>
      </c>
      <c r="AE39" s="91">
        <f>'[9]RD ESFERA'!C36</f>
        <v>0.14703373686149546</v>
      </c>
      <c r="AF39" s="40">
        <f>'[9]RD ESFERA'!D36</f>
        <v>0.42512983974766538</v>
      </c>
      <c r="AG39" s="102">
        <f>'[9]RD ESFERA'!E36</f>
        <v>21.110768400684464</v>
      </c>
      <c r="AH39" s="101">
        <f>'[10]RD ESFERA'!B36</f>
        <v>5.6165250267185005</v>
      </c>
      <c r="AI39" s="91">
        <f>'[10]RD ESFERA'!C36</f>
        <v>0.18060710040856287</v>
      </c>
      <c r="AJ39" s="40">
        <f>'[10]RD ESFERA'!D36</f>
        <v>0.51962238505459968</v>
      </c>
      <c r="AK39" s="102">
        <f>'[10]RD ESFERA'!E36</f>
        <v>29.324145069329482</v>
      </c>
      <c r="AL39" s="101">
        <f>'[11]RD ESFERA'!B37</f>
        <v>4.3801482907349998</v>
      </c>
      <c r="AM39" s="91">
        <f>'[11]RD ESFERA'!C37</f>
        <v>0.13141605275950866</v>
      </c>
      <c r="AN39" s="40">
        <f>'[11]RD ESFERA'!D37</f>
        <v>0.39625936478064677</v>
      </c>
      <c r="AO39" s="102">
        <f>'[11]RD ESFERA'!E37</f>
        <v>22.631282769317394</v>
      </c>
      <c r="AP39" s="101">
        <f>'[12]RD ESFERA'!B38</f>
        <v>5.2986623219554998</v>
      </c>
      <c r="AQ39" s="91">
        <f>'[12]RD ESFERA'!C38</f>
        <v>0.13635797605915775</v>
      </c>
      <c r="AR39" s="40">
        <f>'[12]RD ESFERA'!D38</f>
        <v>0.41031577288961724</v>
      </c>
      <c r="AS39" s="102">
        <f>'[12]RD ESFERA'!E38</f>
        <v>27.103437497843004</v>
      </c>
      <c r="AT39" s="101">
        <f>'[13]RD ESFERA'!B36</f>
        <v>6.453623926671499</v>
      </c>
      <c r="AU39" s="91">
        <f>'[13]RD ESFERA'!C36</f>
        <v>0.14746482200757383</v>
      </c>
      <c r="AV39" s="40">
        <f>'[13]RD ESFERA'!D36</f>
        <v>0.43266337355650031</v>
      </c>
      <c r="AW39" s="102">
        <f>'[13]RD ESFERA'!E36</f>
        <v>32.693624210024787</v>
      </c>
      <c r="AX39" s="101">
        <f>'[14]RD ESFERA'!B36</f>
        <v>7.8045883602205004</v>
      </c>
      <c r="AY39" s="91">
        <f>'[14]RD ESFERA'!C36</f>
        <v>0.16209714212588996</v>
      </c>
      <c r="AZ39" s="40">
        <f>'[14]RD ESFERA'!D36</f>
        <v>0.47643826903422798</v>
      </c>
      <c r="BA39" s="102">
        <f>'[14]RD ESFERA'!E36</f>
        <v>39.171310582482661</v>
      </c>
      <c r="BB39" s="101">
        <f>'[15]RD ESFERA'!B37</f>
        <v>7.9734046959029987</v>
      </c>
      <c r="BC39" s="91">
        <f>'[15]RD ESFERA'!C37</f>
        <v>0.14954940883628404</v>
      </c>
      <c r="BD39" s="40">
        <f>'[15]RD ESFERA'!D37</f>
        <v>0.44488336811151347</v>
      </c>
      <c r="BE39" s="86">
        <f>'[15]RD ESFERA'!E37</f>
        <v>39.662224805376695</v>
      </c>
      <c r="BF39" s="101">
        <f>'[16]RD ESFERA'!B37</f>
        <v>8.9179426981240013</v>
      </c>
      <c r="BG39" s="91">
        <f>'[16]RD ESFERA'!C37</f>
        <v>0.15431761943943825</v>
      </c>
      <c r="BH39" s="40">
        <f>'[16]RD ESFERA'!D37</f>
        <v>0.46941944388217416</v>
      </c>
      <c r="BI39" s="86">
        <f>'[16]RD ESFERA'!E37</f>
        <v>43.980894326823702</v>
      </c>
      <c r="BJ39" s="101">
        <f>'[17]RD ESFERA'!B36</f>
        <v>6.8175122160899999</v>
      </c>
      <c r="BK39" s="91">
        <f>'[17]RD ESFERA'!C36</f>
        <v>0.11370504349287258</v>
      </c>
      <c r="BL39" s="40">
        <f>'[17]RD ESFERA'!D36</f>
        <v>0.34623691709629917</v>
      </c>
      <c r="BM39" s="86">
        <f>'[17]RD ESFERA'!E36</f>
        <v>33.345515161901005</v>
      </c>
      <c r="BN39" s="101">
        <f>'[18]RD ESFERA'!B36</f>
        <v>5.8052208715129936</v>
      </c>
      <c r="BO39" s="91">
        <f>'[18]RD ESFERA'!C36</f>
        <v>9.2628546082551846E-2</v>
      </c>
      <c r="BP39" s="40">
        <f>'[18]RD ESFERA'!D36</f>
        <v>0.27827350898623454</v>
      </c>
      <c r="BQ39" s="86">
        <f>'[18]RD ESFERA'!E36</f>
        <v>28.169548392467469</v>
      </c>
      <c r="BR39" s="101">
        <f>'[19]RD ESFERA'!B36</f>
        <v>7.728939801162741</v>
      </c>
      <c r="BS39" s="91">
        <f>'[19]RD ESFERA'!C36</f>
        <v>0.1179298949662935</v>
      </c>
      <c r="BT39" s="40">
        <f>'[19]RD ESFERA'!D36</f>
        <v>0.35077263129626024</v>
      </c>
      <c r="BU39" s="86">
        <f>'[19]RD ESFERA'!E36</f>
        <v>37.219037006054904</v>
      </c>
      <c r="BV39" s="101">
        <f>'[20]RD ESFERA'!B36</f>
        <v>12.183627491225533</v>
      </c>
      <c r="BW39" s="91">
        <f>'[20]RD ESFERA'!C36</f>
        <v>0.17685173545245175</v>
      </c>
      <c r="BX39" s="40">
        <f>'[20]RD ESFERA'!D36</f>
        <v>0.51347057893674353</v>
      </c>
      <c r="BY39" s="86">
        <f>'[20]RD ESFERA'!E36</f>
        <v>58.436093598574992</v>
      </c>
      <c r="BZ39" s="101">
        <f>'[21]RD ESFERA'!B36</f>
        <v>12.698379432404527</v>
      </c>
      <c r="CA39" s="91">
        <f>'[21]RD ESFERA'!C36</f>
        <v>0.17185213568963018</v>
      </c>
      <c r="CB39" s="40">
        <f>'[21]RD ESFERA'!D36</f>
        <v>0.50856085171315935</v>
      </c>
      <c r="CC39" s="86">
        <f>'[21]RD ESFERA'!E36</f>
        <v>60.42613922224502</v>
      </c>
      <c r="CD39" s="101">
        <f>'[22]RD ESFERA'!B38</f>
        <v>12.036906181499573</v>
      </c>
      <c r="CE39" s="91">
        <f>'[22]RD ESFERA'!C38</f>
        <v>0.15818059985961902</v>
      </c>
      <c r="CF39" s="40">
        <f>'[22]RD ESFERA'!D38</f>
        <v>0.49099019560823248</v>
      </c>
      <c r="CG39" s="86">
        <f>'[22]RD ESFERA'!E38</f>
        <v>56.843365426510346</v>
      </c>
      <c r="CH39" s="101">
        <f>'[23]RD ESFERA'!B36</f>
        <v>17.997783587100002</v>
      </c>
      <c r="CI39" s="91">
        <f>'[23]RD ESFERA'!C36</f>
        <v>0.20225121623688425</v>
      </c>
      <c r="CJ39" s="40">
        <f>'[23]RD ESFERA'!D36</f>
        <v>0.58797732040914263</v>
      </c>
      <c r="CK39" s="86">
        <f>'[23]RD ESFERA'!E36</f>
        <v>84.370817488280949</v>
      </c>
      <c r="CL39" s="101">
        <f>'[24]RD ESFERA'!B36</f>
        <v>26.936296460877998</v>
      </c>
      <c r="CM39" s="91">
        <f>'[24]RD ESFERA'!C36</f>
        <v>0.26723375295870622</v>
      </c>
      <c r="CN39" s="40">
        <f>'[24]RD ESFERA'!D36</f>
        <v>0.76556266054775679</v>
      </c>
      <c r="CO39" s="86">
        <f>'[24]RD ESFERA'!E36</f>
        <v>132.6383503362475</v>
      </c>
      <c r="CP39" s="101">
        <f>'[25]RD ESFERA'!B39</f>
        <v>32.714212030489996</v>
      </c>
      <c r="CQ39" s="91">
        <f>'[25]RD ESFERA'!C39</f>
        <v>0.29894164005527013</v>
      </c>
      <c r="CR39" s="40">
        <f>'[25]RD ESFERA'!D39</f>
        <v>0.86454333912725467</v>
      </c>
      <c r="CS39" s="86">
        <f>'[25]RD ESFERA'!E39</f>
        <v>157.40681033992351</v>
      </c>
      <c r="CT39" s="101">
        <f>'[26]RD ESFERA'!B39</f>
        <v>35.180576528000003</v>
      </c>
      <c r="CU39" s="91">
        <f>'[26]RD ESFERA'!C39</f>
        <v>0.29954404598700574</v>
      </c>
      <c r="CV39" s="40">
        <f>'[26]RD ESFERA'!D39</f>
        <v>0.8332242267687241</v>
      </c>
      <c r="CW39" s="86">
        <f>'[26]RD ESFERA'!E39</f>
        <v>165.49043154991855</v>
      </c>
    </row>
    <row r="40" spans="1:103" x14ac:dyDescent="0.25">
      <c r="A40" s="75"/>
      <c r="B40" s="103">
        <f>'[2]RD ESFERA'!B37</f>
        <v>0</v>
      </c>
      <c r="C40" s="94">
        <f>'[2]RD ESFERA'!C37</f>
        <v>0</v>
      </c>
      <c r="D40" s="53">
        <f>'[2]RD ESFERA'!D37</f>
        <v>0</v>
      </c>
      <c r="E40" s="102">
        <f>'[2]RD ESFERA'!E37</f>
        <v>0</v>
      </c>
      <c r="F40" s="103">
        <f>'[3]RD ESFERA'!B37</f>
        <v>0</v>
      </c>
      <c r="G40" s="94">
        <f>'[3]RD ESFERA'!C37</f>
        <v>0</v>
      </c>
      <c r="H40" s="53">
        <f>'[3]RD ESFERA'!D37</f>
        <v>0</v>
      </c>
      <c r="I40" s="102">
        <f>'[3]RD ESFERA'!E37</f>
        <v>0</v>
      </c>
      <c r="J40" s="103">
        <f>'[4]RD ESFERA'!B37</f>
        <v>0</v>
      </c>
      <c r="K40" s="94">
        <f>'[4]RD ESFERA'!C37</f>
        <v>0</v>
      </c>
      <c r="L40" s="53">
        <f>'[4]RD ESFERA'!D37</f>
        <v>0</v>
      </c>
      <c r="M40" s="102">
        <f>'[4]RD ESFERA'!E37</f>
        <v>0</v>
      </c>
      <c r="N40" s="103">
        <f>'[5]RD ESFERA'!B37</f>
        <v>0</v>
      </c>
      <c r="O40" s="94">
        <f>'[5]RD ESFERA'!C37</f>
        <v>0</v>
      </c>
      <c r="P40" s="53">
        <f>'[5]RD ESFERA'!D37</f>
        <v>0</v>
      </c>
      <c r="Q40" s="102">
        <f>'[5]RD ESFERA'!E37</f>
        <v>0</v>
      </c>
      <c r="R40" s="103">
        <f>'[6]RD ESFERA'!B37</f>
        <v>0</v>
      </c>
      <c r="S40" s="94">
        <f>'[6]RD ESFERA'!C37</f>
        <v>0</v>
      </c>
      <c r="T40" s="53">
        <f>'[6]RD ESFERA'!D37</f>
        <v>0</v>
      </c>
      <c r="U40" s="102">
        <f>'[6]RD ESFERA'!E37</f>
        <v>0</v>
      </c>
      <c r="V40" s="103">
        <f>'[7]RD ESFERA'!B37</f>
        <v>0</v>
      </c>
      <c r="W40" s="94">
        <f>'[7]RD ESFERA'!C37</f>
        <v>0</v>
      </c>
      <c r="X40" s="53">
        <f>'[7]RD ESFERA'!D37</f>
        <v>0</v>
      </c>
      <c r="Y40" s="102">
        <f>'[7]RD ESFERA'!E37</f>
        <v>0</v>
      </c>
      <c r="Z40" s="103">
        <f>'[8]RD ESFERA'!B37</f>
        <v>0</v>
      </c>
      <c r="AA40" s="94">
        <f>'[8]RD ESFERA'!C37</f>
        <v>0</v>
      </c>
      <c r="AB40" s="53">
        <f>'[8]RD ESFERA'!D37</f>
        <v>0</v>
      </c>
      <c r="AC40" s="102">
        <f>'[8]RD ESFERA'!E37</f>
        <v>0</v>
      </c>
      <c r="AD40" s="103">
        <f>'[9]RD ESFERA'!B37</f>
        <v>0</v>
      </c>
      <c r="AE40" s="94">
        <f>'[9]RD ESFERA'!C37</f>
        <v>0</v>
      </c>
      <c r="AF40" s="53">
        <f>'[9]RD ESFERA'!D37</f>
        <v>0</v>
      </c>
      <c r="AG40" s="102">
        <f>'[9]RD ESFERA'!E37</f>
        <v>0</v>
      </c>
      <c r="AH40" s="103">
        <f>'[10]RD ESFERA'!B37</f>
        <v>0</v>
      </c>
      <c r="AI40" s="94">
        <f>'[10]RD ESFERA'!C37</f>
        <v>0</v>
      </c>
      <c r="AJ40" s="53">
        <f>'[10]RD ESFERA'!D37</f>
        <v>0</v>
      </c>
      <c r="AK40" s="102">
        <f>'[10]RD ESFERA'!E37</f>
        <v>0</v>
      </c>
      <c r="AL40" s="103">
        <f>'[11]RD ESFERA'!B38</f>
        <v>0</v>
      </c>
      <c r="AM40" s="94">
        <f>'[11]RD ESFERA'!C38</f>
        <v>0</v>
      </c>
      <c r="AN40" s="53">
        <f>'[11]RD ESFERA'!D38</f>
        <v>0</v>
      </c>
      <c r="AO40" s="102">
        <f>'[11]RD ESFERA'!E38</f>
        <v>0</v>
      </c>
      <c r="AP40" s="103">
        <f>'[12]RD ESFERA'!B39</f>
        <v>0</v>
      </c>
      <c r="AQ40" s="94">
        <f>'[12]RD ESFERA'!C39</f>
        <v>0</v>
      </c>
      <c r="AR40" s="53">
        <f>'[12]RD ESFERA'!D39</f>
        <v>0</v>
      </c>
      <c r="AS40" s="102">
        <f>'[12]RD ESFERA'!E39</f>
        <v>0</v>
      </c>
      <c r="AT40" s="103">
        <f>'[13]RD ESFERA'!B37</f>
        <v>0</v>
      </c>
      <c r="AU40" s="94">
        <f>'[13]RD ESFERA'!C37</f>
        <v>0</v>
      </c>
      <c r="AV40" s="53">
        <f>'[13]RD ESFERA'!D37</f>
        <v>0</v>
      </c>
      <c r="AW40" s="102">
        <f>'[13]RD ESFERA'!E37</f>
        <v>0</v>
      </c>
      <c r="AX40" s="103">
        <f>'[14]RD ESFERA'!B37</f>
        <v>0</v>
      </c>
      <c r="AY40" s="94">
        <f>'[14]RD ESFERA'!C37</f>
        <v>0</v>
      </c>
      <c r="AZ40" s="53">
        <f>'[14]RD ESFERA'!D37</f>
        <v>0</v>
      </c>
      <c r="BA40" s="102">
        <f>'[14]RD ESFERA'!E37</f>
        <v>0</v>
      </c>
      <c r="BB40" s="103">
        <f>'[15]RD ESFERA'!B38</f>
        <v>0</v>
      </c>
      <c r="BC40" s="94">
        <f>'[15]RD ESFERA'!C38</f>
        <v>0</v>
      </c>
      <c r="BD40" s="53">
        <f>'[15]RD ESFERA'!D38</f>
        <v>0</v>
      </c>
      <c r="BE40" s="86">
        <f>'[15]RD ESFERA'!E38</f>
        <v>0</v>
      </c>
      <c r="BF40" s="103">
        <f>'[16]RD ESFERA'!B38</f>
        <v>0</v>
      </c>
      <c r="BG40" s="94">
        <f>'[16]RD ESFERA'!C38</f>
        <v>0</v>
      </c>
      <c r="BH40" s="53">
        <f>'[16]RD ESFERA'!D38</f>
        <v>0</v>
      </c>
      <c r="BI40" s="86">
        <f>'[16]RD ESFERA'!E38</f>
        <v>0</v>
      </c>
      <c r="BJ40" s="103">
        <f>'[17]RD ESFERA'!B37</f>
        <v>0</v>
      </c>
      <c r="BK40" s="94">
        <f>'[17]RD ESFERA'!C37</f>
        <v>0</v>
      </c>
      <c r="BL40" s="53">
        <f>'[17]RD ESFERA'!D37</f>
        <v>0</v>
      </c>
      <c r="BM40" s="86">
        <f>'[17]RD ESFERA'!E37</f>
        <v>0</v>
      </c>
      <c r="BN40" s="103">
        <f>'[18]RD ESFERA'!B37</f>
        <v>0</v>
      </c>
      <c r="BO40" s="94">
        <f>'[18]RD ESFERA'!C37</f>
        <v>0</v>
      </c>
      <c r="BP40" s="53">
        <f>'[18]RD ESFERA'!D37</f>
        <v>0</v>
      </c>
      <c r="BQ40" s="86">
        <f>'[18]RD ESFERA'!E37</f>
        <v>0</v>
      </c>
      <c r="BR40" s="103">
        <f>'[19]RD ESFERA'!B37</f>
        <v>0</v>
      </c>
      <c r="BS40" s="94">
        <f>'[19]RD ESFERA'!C37</f>
        <v>0</v>
      </c>
      <c r="BT40" s="53">
        <f>'[19]RD ESFERA'!D37</f>
        <v>0</v>
      </c>
      <c r="BU40" s="86">
        <f>'[19]RD ESFERA'!E37</f>
        <v>0</v>
      </c>
      <c r="BV40" s="103">
        <f>'[27]RD ESFERA'!B37</f>
        <v>0</v>
      </c>
      <c r="BW40" s="94">
        <f>'[27]RD ESFERA'!C37</f>
        <v>0</v>
      </c>
      <c r="BX40" s="53">
        <f>'[27]RD ESFERA'!D37</f>
        <v>0</v>
      </c>
      <c r="BY40" s="86">
        <f>'[27]RD ESFERA'!E37</f>
        <v>0</v>
      </c>
      <c r="BZ40" s="103">
        <f>'[21]RD ESFERA'!B37</f>
        <v>0</v>
      </c>
      <c r="CA40" s="94">
        <f>'[21]RD ESFERA'!C37</f>
        <v>0</v>
      </c>
      <c r="CB40" s="53">
        <f>'[21]RD ESFERA'!D37</f>
        <v>0</v>
      </c>
      <c r="CC40" s="86">
        <f>'[21]RD ESFERA'!E37</f>
        <v>0</v>
      </c>
      <c r="CD40" s="103">
        <f>'[22]RD ESFERA'!B39</f>
        <v>0</v>
      </c>
      <c r="CE40" s="94">
        <f>'[22]RD ESFERA'!C39</f>
        <v>0</v>
      </c>
      <c r="CF40" s="53">
        <f>'[22]RD ESFERA'!D39</f>
        <v>0</v>
      </c>
      <c r="CG40" s="86">
        <f>'[22]RD ESFERA'!E39</f>
        <v>0</v>
      </c>
      <c r="CH40" s="103"/>
      <c r="CI40" s="94"/>
      <c r="CJ40" s="53"/>
      <c r="CK40" s="86"/>
      <c r="CL40" s="103">
        <f>'[24]RD ESFERA'!B37</f>
        <v>0</v>
      </c>
      <c r="CM40" s="94">
        <f>'[24]RD ESFERA'!C37</f>
        <v>0</v>
      </c>
      <c r="CN40" s="53">
        <f>'[24]RD ESFERA'!D37</f>
        <v>0</v>
      </c>
      <c r="CO40" s="86">
        <f>'[24]RD ESFERA'!E37</f>
        <v>0</v>
      </c>
      <c r="CP40" s="103">
        <f>'[25]RD ESFERA'!B40</f>
        <v>0</v>
      </c>
      <c r="CQ40" s="94">
        <f>'[25]RD ESFERA'!C40</f>
        <v>0</v>
      </c>
      <c r="CR40" s="53">
        <f>'[25]RD ESFERA'!D40</f>
        <v>0</v>
      </c>
      <c r="CS40" s="86">
        <f>'[25]RD ESFERA'!E40</f>
        <v>0</v>
      </c>
      <c r="CT40" s="103">
        <f>'[26]RD ESFERA'!B40</f>
        <v>0</v>
      </c>
      <c r="CU40" s="94">
        <f>'[26]RD ESFERA'!C40</f>
        <v>0</v>
      </c>
      <c r="CV40" s="53">
        <f>'[26]RD ESFERA'!D40</f>
        <v>0</v>
      </c>
      <c r="CW40" s="86">
        <f>'[26]RD ESFERA'!E40</f>
        <v>0</v>
      </c>
    </row>
    <row r="41" spans="1:103" s="9" customFormat="1" ht="11.4" x14ac:dyDescent="0.25">
      <c r="A41" s="73" t="s">
        <v>46</v>
      </c>
      <c r="B41" s="20">
        <f>'[2]RD ESFERA'!B38</f>
        <v>25.600574414317503</v>
      </c>
      <c r="C41" s="31">
        <f>'[2]RD ESFERA'!C38</f>
        <v>2.1291633007136586</v>
      </c>
      <c r="D41" s="21">
        <f>'[2]RD ESFERA'!D38</f>
        <v>4.3614750654867604</v>
      </c>
      <c r="E41" s="100">
        <f>'[2]RD ESFERA'!E38</f>
        <v>147.59768544761735</v>
      </c>
      <c r="F41" s="20">
        <f>'[3]RD ESFERA'!B38</f>
        <v>29.096146066052494</v>
      </c>
      <c r="G41" s="31">
        <f>'[3]RD ESFERA'!C38</f>
        <v>2.2113650387840056</v>
      </c>
      <c r="H41" s="21">
        <f>'[3]RD ESFERA'!D38</f>
        <v>4.479726628221659</v>
      </c>
      <c r="I41" s="100">
        <f>'[3]RD ESFERA'!E38</f>
        <v>167.75107250692662</v>
      </c>
      <c r="J41" s="20">
        <f>'[4]RD ESFERA'!B38</f>
        <v>32.859393725545004</v>
      </c>
      <c r="K41" s="31">
        <f>'[4]RD ESFERA'!C38</f>
        <v>2.207125245286599</v>
      </c>
      <c r="L41" s="21">
        <f>'[4]RD ESFERA'!D38</f>
        <v>4.416511912520293</v>
      </c>
      <c r="M41" s="100">
        <f>'[4]RD ESFERA'!E38</f>
        <v>184.31740746324155</v>
      </c>
      <c r="N41" s="20">
        <f>'[5]RD ESFERA'!B38</f>
        <v>37.590455714899996</v>
      </c>
      <c r="O41" s="31">
        <f>'[5]RD ESFERA'!C38</f>
        <v>2.1880995206437901</v>
      </c>
      <c r="P41" s="21">
        <f>'[5]RD ESFERA'!D38</f>
        <v>4.5129493960900309</v>
      </c>
      <c r="Q41" s="100">
        <f>'[5]RD ESFERA'!E38</f>
        <v>208.12003852272372</v>
      </c>
      <c r="R41" s="20">
        <f>'[6]RD ESFERA'!B38</f>
        <v>44.1022316002325</v>
      </c>
      <c r="S41" s="31">
        <f>'[6]RD ESFERA'!C38</f>
        <v>2.2526987139954207</v>
      </c>
      <c r="T41" s="21">
        <f>'[6]RD ESFERA'!D38</f>
        <v>4.5415483820060514</v>
      </c>
      <c r="U41" s="100">
        <f>'[6]RD ESFERA'!E38</f>
        <v>241.11242177060481</v>
      </c>
      <c r="V41" s="20">
        <f>'[7]RD ESFERA'!B38</f>
        <v>49.769565408922503</v>
      </c>
      <c r="W41" s="31">
        <f>'[7]RD ESFERA'!C38</f>
        <v>2.2929102250740008</v>
      </c>
      <c r="X41" s="21">
        <f>'[7]RD ESFERA'!D38</f>
        <v>4.5755830833128677</v>
      </c>
      <c r="Y41" s="100">
        <f>'[7]RD ESFERA'!E38</f>
        <v>268.80555631457798</v>
      </c>
      <c r="Z41" s="20">
        <f>'[8]RD ESFERA'!B38</f>
        <v>55.032965098189997</v>
      </c>
      <c r="AA41" s="31">
        <f>'[8]RD ESFERA'!C38</f>
        <v>2.284046778235282</v>
      </c>
      <c r="AB41" s="21">
        <f>'[8]RD ESFERA'!D38</f>
        <v>4.7774251668696213</v>
      </c>
      <c r="AC41" s="100">
        <f>'[8]RD ESFERA'!E38</f>
        <v>293.7674478984153</v>
      </c>
      <c r="AD41" s="20">
        <f>'[9]RD ESFERA'!B38</f>
        <v>61.604274140347499</v>
      </c>
      <c r="AE41" s="31">
        <f>'[9]RD ESFERA'!C38</f>
        <v>2.2646440487683543</v>
      </c>
      <c r="AF41" s="21">
        <f>'[9]RD ESFERA'!D38</f>
        <v>4.9864546987939224</v>
      </c>
      <c r="AG41" s="100">
        <f>'[9]RD ESFERA'!E38</f>
        <v>325.15242449814212</v>
      </c>
      <c r="AH41" s="20">
        <f>'[10]RD ESFERA'!B38</f>
        <v>71.057713332510005</v>
      </c>
      <c r="AI41" s="31">
        <f>'[10]RD ESFERA'!C38</f>
        <v>2.284958672060899</v>
      </c>
      <c r="AJ41" s="21">
        <f>'[10]RD ESFERA'!D38</f>
        <v>4.8663534347410513</v>
      </c>
      <c r="AK41" s="100">
        <f>'[10]RD ESFERA'!E38</f>
        <v>370.99571071879899</v>
      </c>
      <c r="AL41" s="20">
        <f>'[11]RD ESFERA'!B39</f>
        <v>78.661189439650002</v>
      </c>
      <c r="AM41" s="31">
        <f>'[11]RD ESFERA'!C39</f>
        <v>2.3600440750813299</v>
      </c>
      <c r="AN41" s="21">
        <f>'[11]RD ESFERA'!D39</f>
        <v>7.1162506132903989</v>
      </c>
      <c r="AO41" s="100">
        <f>'[11]RD ESFERA'!E39</f>
        <v>406.42542284358137</v>
      </c>
      <c r="AP41" s="20">
        <f>'[12]RD ESFERA'!B40</f>
        <v>92.054419551875014</v>
      </c>
      <c r="AQ41" s="31">
        <f>'[12]RD ESFERA'!C40</f>
        <v>2.3689666513343166</v>
      </c>
      <c r="AR41" s="21">
        <f>'[12]RD ESFERA'!D40</f>
        <v>7.1284747000810853</v>
      </c>
      <c r="AS41" s="100">
        <f>'[12]RD ESFERA'!E40</f>
        <v>470.87190221317439</v>
      </c>
      <c r="AT41" s="20">
        <f>'[13]RD ESFERA'!B38</f>
        <v>102.86191000783748</v>
      </c>
      <c r="AU41" s="31">
        <f>'[13]RD ESFERA'!C38</f>
        <v>2.3503869179572874</v>
      </c>
      <c r="AV41" s="21">
        <f>'[13]RD ESFERA'!D38</f>
        <v>6.8960604925440165</v>
      </c>
      <c r="AW41" s="100">
        <f>'[13]RD ESFERA'!E38</f>
        <v>521.0915091323086</v>
      </c>
      <c r="AX41" s="20">
        <f>'[14]RD ESFERA'!B38</f>
        <v>110.32554132321501</v>
      </c>
      <c r="AY41" s="31">
        <f>'[14]RD ESFERA'!C38</f>
        <v>2.2914027142207507</v>
      </c>
      <c r="AZ41" s="21">
        <f>'[14]RD ESFERA'!D38</f>
        <v>6.7349240616210677</v>
      </c>
      <c r="BA41" s="100">
        <f>'[14]RD ESFERA'!E38</f>
        <v>553.72504543341279</v>
      </c>
      <c r="BB41" s="20">
        <f>'[15]RD ESFERA'!B39</f>
        <v>126.38218767114</v>
      </c>
      <c r="BC41" s="31">
        <f>'[15]RD ESFERA'!C39</f>
        <v>2.3704279632723195</v>
      </c>
      <c r="BD41" s="21">
        <f>'[15]RD ESFERA'!D39</f>
        <v>7.0516091261902982</v>
      </c>
      <c r="BE41" s="84">
        <f>'[15]RD ESFERA'!E39</f>
        <v>628.66478373833229</v>
      </c>
      <c r="BF41" s="20">
        <f>'[16]RD ESFERA'!B39</f>
        <v>135.255020895</v>
      </c>
      <c r="BG41" s="31">
        <f>'[16]RD ESFERA'!C39</f>
        <v>2.3404762228555933</v>
      </c>
      <c r="BH41" s="21">
        <f>'[16]RD ESFERA'!D39</f>
        <v>7.1195048947958517</v>
      </c>
      <c r="BI41" s="84">
        <f>'[16]RD ESFERA'!E39</f>
        <v>667.04137742516514</v>
      </c>
      <c r="BJ41" s="20">
        <f>'[17]RD ESFERA'!B38</f>
        <v>141.78090273837498</v>
      </c>
      <c r="BK41" s="31">
        <f>'[17]RD ESFERA'!C38</f>
        <v>2.3646754419123788</v>
      </c>
      <c r="BL41" s="21">
        <f>'[17]RD ESFERA'!D38</f>
        <v>7.2005419442312792</v>
      </c>
      <c r="BM41" s="84">
        <f>'[17]RD ESFERA'!E38</f>
        <v>693.47250024320033</v>
      </c>
      <c r="BN41" s="20">
        <f>'[18]RD ESFERA'!B38</f>
        <v>149.76992371583751</v>
      </c>
      <c r="BO41" s="31">
        <f>'[18]RD ESFERA'!C38</f>
        <v>2.3897403023490935</v>
      </c>
      <c r="BP41" s="21">
        <f>'[18]RD ESFERA'!D38</f>
        <v>7.1792276530806047</v>
      </c>
      <c r="BQ41" s="84">
        <f>'[18]RD ESFERA'!E38</f>
        <v>726.75117919326908</v>
      </c>
      <c r="BR41" s="20">
        <f>'[19]RD ESFERA'!B38</f>
        <v>160.65790248125001</v>
      </c>
      <c r="BS41" s="31">
        <f>'[19]RD ESFERA'!C38</f>
        <v>2.4513542675372557</v>
      </c>
      <c r="BT41" s="21">
        <f>'[19]RD ESFERA'!D38</f>
        <v>7.2913487026264701</v>
      </c>
      <c r="BU41" s="84">
        <f>'[19]RD ESFERA'!E38</f>
        <v>773.65493477711448</v>
      </c>
      <c r="BV41" s="20">
        <f>'[20]RD ESFERA'!B38</f>
        <v>177.79681206500254</v>
      </c>
      <c r="BW41" s="31">
        <f>'[20]RD ESFERA'!C38</f>
        <v>2.5808138663345028</v>
      </c>
      <c r="BX41" s="21">
        <f>'[20]RD ESFERA'!D38</f>
        <v>7.4931240379659023</v>
      </c>
      <c r="BY41" s="84">
        <f>'[20]RD ESFERA'!E38</f>
        <v>852.76336286884009</v>
      </c>
      <c r="BZ41" s="20">
        <f>'[21]RD ESFERA'!B38</f>
        <v>192.78802836022248</v>
      </c>
      <c r="CA41" s="31">
        <f>'[21]RD ESFERA'!C38</f>
        <v>2.6090757947074223</v>
      </c>
      <c r="CB41" s="21">
        <f>'[21]RD ESFERA'!D38</f>
        <v>7.7210201841015618</v>
      </c>
      <c r="CC41" s="84">
        <f>'[21]RD ESFERA'!E38</f>
        <v>917.39550736286526</v>
      </c>
      <c r="CD41" s="20">
        <f>'[22]RD ESFERA'!B40</f>
        <v>198.26902666136499</v>
      </c>
      <c r="CE41" s="31">
        <f>'[22]RD ESFERA'!C40</f>
        <v>2.6055128367686886</v>
      </c>
      <c r="CF41" s="21">
        <f>'[22]RD ESFERA'!D40</f>
        <v>8.0874725378469066</v>
      </c>
      <c r="CG41" s="84">
        <f>'[22]RD ESFERA'!E40</f>
        <v>936.31025824498261</v>
      </c>
      <c r="CH41" s="20">
        <f>'[23]RD ESFERA'!B38</f>
        <v>239.46139806204002</v>
      </c>
      <c r="CI41" s="31">
        <f>'[23]RD ESFERA'!C38</f>
        <v>2.6909624046455187</v>
      </c>
      <c r="CJ41" s="21">
        <f>'[23]RD ESFERA'!D38</f>
        <v>7.8230672400607641</v>
      </c>
      <c r="CK41" s="84">
        <f>'[23]RD ESFERA'!E38</f>
        <v>1122.5578868423536</v>
      </c>
      <c r="CL41" s="20">
        <f>'[24]RD ESFERA'!B38</f>
        <v>262.44910258247751</v>
      </c>
      <c r="CM41" s="31">
        <f>'[24]RD ESFERA'!C38</f>
        <v>2.6037454237862163</v>
      </c>
      <c r="CN41" s="21">
        <f>'[24]RD ESFERA'!D38</f>
        <v>7.4591261468787504</v>
      </c>
      <c r="CO41" s="84">
        <f>'[24]RD ESFERA'!E38</f>
        <v>1292.3386132287073</v>
      </c>
      <c r="CP41" s="20">
        <f>'[25]RD ESFERA'!B41</f>
        <v>279.29504650947746</v>
      </c>
      <c r="CQ41" s="31">
        <f>'[25]RD ESFERA'!C41</f>
        <v>2.5521910533880461</v>
      </c>
      <c r="CR41" s="21">
        <f>'[25]RD ESFERA'!D41</f>
        <v>7.3809716671751024</v>
      </c>
      <c r="CS41" s="84">
        <f>'[25]RD ESFERA'!E41</f>
        <v>1343.8484281334211</v>
      </c>
      <c r="CT41" s="20">
        <f>'[26]RD ESFERA'!B41</f>
        <v>316.54247365451999</v>
      </c>
      <c r="CU41" s="31">
        <f>'[26]RD ESFERA'!C41</f>
        <v>2.6951921384729074</v>
      </c>
      <c r="CV41" s="21">
        <f>'[26]RD ESFERA'!D41</f>
        <v>7.4970589990283116</v>
      </c>
      <c r="CW41" s="84">
        <f>'[26]RD ESFERA'!E41</f>
        <v>1489.0247897805925</v>
      </c>
    </row>
    <row r="42" spans="1:103" x14ac:dyDescent="0.25">
      <c r="A42" s="75" t="s">
        <v>47</v>
      </c>
      <c r="B42" s="101">
        <f>'[2]RD ESFERA'!B39</f>
        <v>17.5875602088175</v>
      </c>
      <c r="C42" s="91">
        <f>'[2]RD ESFERA'!C39</f>
        <v>1.4627323254420181</v>
      </c>
      <c r="D42" s="40">
        <f>'[2]RD ESFERA'!D39</f>
        <v>2.1807375327433802</v>
      </c>
      <c r="E42" s="102">
        <f>'[2]RD ESFERA'!E39</f>
        <v>101.3994114929035</v>
      </c>
      <c r="F42" s="101">
        <f>'[3]RD ESFERA'!B39</f>
        <v>19.651837784092496</v>
      </c>
      <c r="G42" s="91">
        <f>'[3]RD ESFERA'!C39</f>
        <v>1.4935788033556776</v>
      </c>
      <c r="H42" s="40">
        <f>'[3]RD ESFERA'!D39</f>
        <v>2.2398633141108295</v>
      </c>
      <c r="I42" s="102">
        <f>'[3]RD ESFERA'!E39</f>
        <v>113.30080820772136</v>
      </c>
      <c r="J42" s="101">
        <f>'[4]RD ESFERA'!B39</f>
        <v>21.919145843642504</v>
      </c>
      <c r="K42" s="91">
        <f>'[4]RD ESFERA'!C39</f>
        <v>1.4722821897049412</v>
      </c>
      <c r="L42" s="40">
        <f>'[4]RD ESFERA'!D39</f>
        <v>2.2082559562601465</v>
      </c>
      <c r="M42" s="102">
        <f>'[4]RD ESFERA'!E39</f>
        <v>122.95053796345914</v>
      </c>
      <c r="N42" s="101">
        <f>'[5]RD ESFERA'!B39</f>
        <v>24.953861926707496</v>
      </c>
      <c r="O42" s="91">
        <f>'[5]RD ESFERA'!C39</f>
        <v>1.4525371475716693</v>
      </c>
      <c r="P42" s="40">
        <f>'[5]RD ESFERA'!D39</f>
        <v>2.2564746980450154</v>
      </c>
      <c r="Q42" s="102">
        <f>'[5]RD ESFERA'!E39</f>
        <v>138.15737550153054</v>
      </c>
      <c r="R42" s="101">
        <f>'[6]RD ESFERA'!B39</f>
        <v>29.154793340719994</v>
      </c>
      <c r="S42" s="91">
        <f>'[6]RD ESFERA'!C39</f>
        <v>1.4891982351545214</v>
      </c>
      <c r="T42" s="40">
        <f>'[6]RD ESFERA'!D39</f>
        <v>2.2707741910030257</v>
      </c>
      <c r="U42" s="102">
        <f>'[6]RD ESFERA'!E39</f>
        <v>159.3929053822628</v>
      </c>
      <c r="V42" s="101">
        <f>'[7]RD ESFERA'!B39</f>
        <v>32.515400988077502</v>
      </c>
      <c r="W42" s="91">
        <f>'[7]RD ESFERA'!C39</f>
        <v>1.4980017363096816</v>
      </c>
      <c r="X42" s="40">
        <f>'[7]RD ESFERA'!D39</f>
        <v>2.2877915416564338</v>
      </c>
      <c r="Y42" s="102">
        <f>'[7]RD ESFERA'!E39</f>
        <v>175.61576798146643</v>
      </c>
      <c r="Z42" s="101">
        <f>'[8]RD ESFERA'!B39</f>
        <v>35.217739856249999</v>
      </c>
      <c r="AA42" s="91">
        <f>'[8]RD ESFERA'!C39</f>
        <v>1.4616505781921185</v>
      </c>
      <c r="AB42" s="40">
        <f>'[8]RD ESFERA'!D39</f>
        <v>2.3887125834348106</v>
      </c>
      <c r="AC42" s="102">
        <f>'[8]RD ESFERA'!E39</f>
        <v>187.99324259308599</v>
      </c>
      <c r="AD42" s="101">
        <f>'[9]RD ESFERA'!B39</f>
        <v>38.147505593352498</v>
      </c>
      <c r="AE42" s="91">
        <f>'[9]RD ESFERA'!C39</f>
        <v>1.4023462287783388</v>
      </c>
      <c r="AF42" s="40">
        <f>'[9]RD ESFERA'!D39</f>
        <v>2.4932273493969612</v>
      </c>
      <c r="AG42" s="102">
        <f>'[9]RD ESFERA'!E39</f>
        <v>201.34567130807582</v>
      </c>
      <c r="AH42" s="101">
        <f>'[10]RD ESFERA'!B39</f>
        <v>44.757849584137503</v>
      </c>
      <c r="AI42" s="91">
        <f>'[10]RD ESFERA'!C39</f>
        <v>1.4392503185615779</v>
      </c>
      <c r="AJ42" s="40">
        <f>'[10]RD ESFERA'!D39</f>
        <v>2.4331767173705257</v>
      </c>
      <c r="AK42" s="102">
        <f>'[10]RD ESFERA'!E39</f>
        <v>233.68286760102035</v>
      </c>
      <c r="AL42" s="101">
        <f>'[11]RD ESFERA'!B40</f>
        <v>44.253020953804999</v>
      </c>
      <c r="AM42" s="91">
        <f>'[11]RD ESFERA'!C40</f>
        <v>1.3277078652186487</v>
      </c>
      <c r="AN42" s="40">
        <f>'[11]RD ESFERA'!D40</f>
        <v>4.0034429907022373</v>
      </c>
      <c r="AO42" s="102">
        <f>'[11]RD ESFERA'!E40</f>
        <v>228.64582752152302</v>
      </c>
      <c r="AP42" s="101">
        <f>'[12]RD ESFERA'!B41</f>
        <v>51.916749695005009</v>
      </c>
      <c r="AQ42" s="91">
        <f>'[12]RD ESFERA'!C41</f>
        <v>1.3360471911273142</v>
      </c>
      <c r="AR42" s="40">
        <f>'[12]RD ESFERA'!D41</f>
        <v>4.0203092748059968</v>
      </c>
      <c r="AS42" s="102">
        <f>'[12]RD ESFERA'!E41</f>
        <v>265.56181446384795</v>
      </c>
      <c r="AT42" s="101">
        <f>'[13]RD ESFERA'!B39</f>
        <v>57.783179291807492</v>
      </c>
      <c r="AU42" s="91">
        <f>'[13]RD ESFERA'!C39</f>
        <v>1.3203413068559255</v>
      </c>
      <c r="AV42" s="40">
        <f>'[13]RD ESFERA'!D39</f>
        <v>3.873895592814284</v>
      </c>
      <c r="AW42" s="102">
        <f>'[13]RD ESFERA'!E39</f>
        <v>292.72569503460022</v>
      </c>
      <c r="AX42" s="101">
        <f>'[14]RD ESFERA'!B39</f>
        <v>66.385795641642503</v>
      </c>
      <c r="AY42" s="91">
        <f>'[14]RD ESFERA'!C39</f>
        <v>1.3787976065607113</v>
      </c>
      <c r="AZ42" s="40">
        <f>'[14]RD ESFERA'!D39</f>
        <v>4.0525819049181164</v>
      </c>
      <c r="BA42" s="102">
        <f>'[14]RD ESFERA'!E39</f>
        <v>333.19100243623018</v>
      </c>
      <c r="BB42" s="101">
        <f>'[15]RD ESFERA'!B40</f>
        <v>69.670474260472503</v>
      </c>
      <c r="BC42" s="91">
        <f>'[15]RD ESFERA'!C40</f>
        <v>1.3067414280816485</v>
      </c>
      <c r="BD42" s="40">
        <f>'[15]RD ESFERA'!D40</f>
        <v>3.8873274879490194</v>
      </c>
      <c r="BE42" s="86">
        <f>'[15]RD ESFERA'!E40</f>
        <v>346.56286966544411</v>
      </c>
      <c r="BF42" s="101">
        <f>'[16]RD ESFERA'!B40</f>
        <v>74.293105382269999</v>
      </c>
      <c r="BG42" s="91">
        <f>'[16]RD ESFERA'!C40</f>
        <v>1.2855807164770159</v>
      </c>
      <c r="BH42" s="40">
        <f>'[16]RD ESFERA'!D40</f>
        <v>3.910613623942802</v>
      </c>
      <c r="BI42" s="86">
        <f>'[16]RD ESFERA'!E40</f>
        <v>366.39360978587007</v>
      </c>
      <c r="BJ42" s="101">
        <f>'[17]RD ESFERA'!B39</f>
        <v>75.956410777469983</v>
      </c>
      <c r="BK42" s="91">
        <f>'[17]RD ESFERA'!C39</f>
        <v>1.2668297052158453</v>
      </c>
      <c r="BL42" s="40">
        <f>'[17]RD ESFERA'!D39</f>
        <v>3.8575528239206216</v>
      </c>
      <c r="BM42" s="86">
        <f>'[17]RD ESFERA'!E39</f>
        <v>371.51464741728449</v>
      </c>
      <c r="BN42" s="101">
        <f>'[18]RD ESFERA'!B39</f>
        <v>80.131864278530003</v>
      </c>
      <c r="BO42" s="91">
        <f>'[18]RD ESFERA'!C39</f>
        <v>1.2785901255588417</v>
      </c>
      <c r="BP42" s="40">
        <f>'[18]RD ESFERA'!D39</f>
        <v>3.8411243168743807</v>
      </c>
      <c r="BQ42" s="86">
        <f>'[18]RD ESFERA'!E39</f>
        <v>388.83592520130583</v>
      </c>
      <c r="BR42" s="101">
        <f>'[19]RD ESFERA'!B39</f>
        <v>87.14076164211501</v>
      </c>
      <c r="BS42" s="91">
        <f>'[19]RD ESFERA'!C39</f>
        <v>1.3296132628942774</v>
      </c>
      <c r="BT42" s="40">
        <f>'[19]RD ESFERA'!D39</f>
        <v>3.9548236938999661</v>
      </c>
      <c r="BU42" s="86">
        <f>'[19]RD ESFERA'!E39</f>
        <v>419.63002892140105</v>
      </c>
      <c r="BV42" s="101">
        <f>'[20]RD ESFERA'!B39</f>
        <v>97.799862822337516</v>
      </c>
      <c r="BW42" s="91">
        <f>'[20]RD ESFERA'!C39</f>
        <v>1.4196162415174365</v>
      </c>
      <c r="BX42" s="40">
        <f>'[20]RD ESFERA'!D39</f>
        <v>4.1217077770545378</v>
      </c>
      <c r="BY42" s="86">
        <f>'[20]RD ESFERA'!E39</f>
        <v>469.07556406577578</v>
      </c>
      <c r="BZ42" s="101">
        <f>'[21]RD ESFERA'!B39</f>
        <v>104.16976849992001</v>
      </c>
      <c r="CA42" s="91">
        <f>'[21]RD ESFERA'!C39</f>
        <v>1.4097702219641255</v>
      </c>
      <c r="CB42" s="40">
        <f>'[21]RD ESFERA'!D39</f>
        <v>4.1719233917276686</v>
      </c>
      <c r="CC42" s="86">
        <f>'[21]RD ESFERA'!E39</f>
        <v>495.69923214471771</v>
      </c>
      <c r="CD42" s="101">
        <f>'[22]RD ESFERA'!B41</f>
        <v>105.51222920124</v>
      </c>
      <c r="CE42" s="91">
        <f>'[22]RD ESFERA'!C41</f>
        <v>1.3865678984214278</v>
      </c>
      <c r="CF42" s="40">
        <f>'[22]RD ESFERA'!D41</f>
        <v>4.3038858385555265</v>
      </c>
      <c r="CG42" s="86">
        <f>'[22]RD ESFERA'!E41</f>
        <v>498.27340273450596</v>
      </c>
      <c r="CH42" s="101">
        <f>'[23]RD ESFERA'!B39</f>
        <v>127.20407939104503</v>
      </c>
      <c r="CI42" s="91">
        <f>'[23]RD ESFERA'!C39</f>
        <v>1.4294637805052905</v>
      </c>
      <c r="CJ42" s="40">
        <f>'[23]RD ESFERA'!D39</f>
        <v>4.1556846921454715</v>
      </c>
      <c r="CK42" s="86">
        <f>'[23]RD ESFERA'!E39</f>
        <v>596.31299121515701</v>
      </c>
      <c r="CL42" s="101">
        <f>'[24]RD ESFERA'!B39</f>
        <v>137.8650575147725</v>
      </c>
      <c r="CM42" s="91">
        <f>'[24]RD ESFERA'!C39</f>
        <v>1.3677528674014177</v>
      </c>
      <c r="CN42" s="40">
        <f>'[24]RD ESFERA'!D39</f>
        <v>3.918294424063467</v>
      </c>
      <c r="CO42" s="86">
        <f>'[24]RD ESFERA'!E39</f>
        <v>678.86815191279129</v>
      </c>
      <c r="CP42" s="101">
        <f>'[25]RD ESFERA'!B42</f>
        <v>139.53670214391749</v>
      </c>
      <c r="CQ42" s="91">
        <f>'[25]RD ESFERA'!C42</f>
        <v>1.2750828461932433</v>
      </c>
      <c r="CR42" s="40">
        <f>'[25]RD ESFERA'!D42</f>
        <v>3.6875571476358346</v>
      </c>
      <c r="CS42" s="86">
        <f>'[25]RD ESFERA'!E42</f>
        <v>671.39099023248082</v>
      </c>
      <c r="CT42" s="101">
        <f>'[26]RD ESFERA'!B42</f>
        <v>161.08285906801501</v>
      </c>
      <c r="CU42" s="91">
        <f>'[26]RD ESFERA'!C42</f>
        <v>1.3715355490545997</v>
      </c>
      <c r="CV42" s="40">
        <f>'[26]RD ESFERA'!D42</f>
        <v>3.8151205562483819</v>
      </c>
      <c r="CW42" s="86">
        <f>'[26]RD ESFERA'!E42</f>
        <v>757.73834579555125</v>
      </c>
      <c r="CX42" s="13">
        <f>CU42-CQ42</f>
        <v>9.6452702861356432E-2</v>
      </c>
      <c r="CY42" s="13">
        <f>CX42/$CX$13</f>
        <v>0.20684210435707484</v>
      </c>
    </row>
    <row r="43" spans="1:103" x14ac:dyDescent="0.25">
      <c r="A43" s="75" t="s">
        <v>48</v>
      </c>
      <c r="B43" s="101">
        <f>'[2]RD ESFERA'!B40</f>
        <v>2.6484454999999998</v>
      </c>
      <c r="C43" s="91">
        <f>'[2]RD ESFERA'!C40</f>
        <v>0.22026743897537535</v>
      </c>
      <c r="D43" s="40">
        <f>'[2]RD ESFERA'!D40</f>
        <v>0.72077302712268454</v>
      </c>
      <c r="E43" s="102">
        <f>'[2]RD ESFERA'!E40</f>
        <v>15.269361519307887</v>
      </c>
      <c r="F43" s="101">
        <f>'[3]RD ESFERA'!B40</f>
        <v>3.1091553680049997</v>
      </c>
      <c r="G43" s="91">
        <f>'[3]RD ESFERA'!C40</f>
        <v>0.23630199908075589</v>
      </c>
      <c r="H43" s="40">
        <f>'[3]RD ESFERA'!D40</f>
        <v>0.73738413007626669</v>
      </c>
      <c r="I43" s="102">
        <f>'[3]RD ESFERA'!E40</f>
        <v>17.925540598726723</v>
      </c>
      <c r="J43" s="101">
        <f>'[4]RD ESFERA'!B40</f>
        <v>3.4723802667550001</v>
      </c>
      <c r="K43" s="91">
        <f>'[4]RD ESFERA'!C40</f>
        <v>0.23323553112399556</v>
      </c>
      <c r="L43" s="40">
        <f>'[4]RD ESFERA'!D40</f>
        <v>0.70088945782903811</v>
      </c>
      <c r="M43" s="102">
        <f>'[4]RD ESFERA'!E40</f>
        <v>19.477539173135959</v>
      </c>
      <c r="N43" s="101">
        <f>'[5]RD ESFERA'!B40</f>
        <v>3.8217727525799998</v>
      </c>
      <c r="O43" s="91">
        <f>'[5]RD ESFERA'!C40</f>
        <v>0.22246123301493059</v>
      </c>
      <c r="P43" s="40">
        <f>'[5]RD ESFERA'!D40</f>
        <v>0.68244130201704734</v>
      </c>
      <c r="Q43" s="102">
        <f>'[5]RD ESFERA'!E40</f>
        <v>21.159293692115895</v>
      </c>
      <c r="R43" s="101">
        <f>'[6]RD ESFERA'!B40</f>
        <v>4.4064703133649994</v>
      </c>
      <c r="S43" s="91">
        <f>'[6]RD ESFERA'!C40</f>
        <v>0.22507817967479005</v>
      </c>
      <c r="T43" s="40">
        <f>'[6]RD ESFERA'!D40</f>
        <v>0.66941899255830062</v>
      </c>
      <c r="U43" s="102">
        <f>'[6]RD ESFERA'!E40</f>
        <v>24.090724894522342</v>
      </c>
      <c r="V43" s="101">
        <f>'[7]RD ESFERA'!B40</f>
        <v>5.1937955569250001</v>
      </c>
      <c r="W43" s="91">
        <f>'[7]RD ESFERA'!C40</f>
        <v>0.2392809107648399</v>
      </c>
      <c r="X43" s="40">
        <f>'[7]RD ESFERA'!D40</f>
        <v>0.68866398015024022</v>
      </c>
      <c r="Y43" s="102">
        <f>'[7]RD ESFERA'!E40</f>
        <v>28.051703738870032</v>
      </c>
      <c r="Z43" s="101">
        <f>'[8]RD ESFERA'!B40</f>
        <v>6.0320525791049997</v>
      </c>
      <c r="AA43" s="91">
        <f>'[8]RD ESFERA'!C40</f>
        <v>0.2503497719025089</v>
      </c>
      <c r="AB43" s="40">
        <f>'[8]RD ESFERA'!D40</f>
        <v>0.72716003596827272</v>
      </c>
      <c r="AC43" s="102">
        <f>'[8]RD ESFERA'!E40</f>
        <v>32.199258909475162</v>
      </c>
      <c r="AD43" s="101">
        <f>'[9]RD ESFERA'!B40</f>
        <v>7.1431062237399994</v>
      </c>
      <c r="AE43" s="91">
        <f>'[9]RD ESFERA'!C40</f>
        <v>0.26258880938129875</v>
      </c>
      <c r="AF43" s="40">
        <f>'[9]RD ESFERA'!D40</f>
        <v>0.75924302023936441</v>
      </c>
      <c r="AG43" s="102">
        <f>'[9]RD ESFERA'!E40</f>
        <v>37.701902010978358</v>
      </c>
      <c r="AH43" s="101">
        <f>'[10]RD ESFERA'!B40</f>
        <v>8.3146326317200003</v>
      </c>
      <c r="AI43" s="91">
        <f>'[10]RD ESFERA'!C40</f>
        <v>0.26736846776853712</v>
      </c>
      <c r="AJ43" s="40">
        <f>'[10]RD ESFERA'!D40</f>
        <v>0.76924240849887537</v>
      </c>
      <c r="AK43" s="102">
        <f>'[10]RD ESFERA'!E40</f>
        <v>43.411093573136192</v>
      </c>
      <c r="AL43" s="101">
        <f>'[11]RD ESFERA'!B41</f>
        <v>10.035543890760001</v>
      </c>
      <c r="AM43" s="91">
        <f>'[11]RD ESFERA'!C41</f>
        <v>0.3010929032261549</v>
      </c>
      <c r="AN43" s="40">
        <f>'[11]RD ESFERA'!D41</f>
        <v>0.90788667036511739</v>
      </c>
      <c r="AO43" s="102">
        <f>'[11]RD ESFERA'!E41</f>
        <v>51.851493707664957</v>
      </c>
      <c r="AP43" s="101">
        <f>'[12]RD ESFERA'!B42</f>
        <v>10.638761564674999</v>
      </c>
      <c r="AQ43" s="91">
        <f>'[12]RD ESFERA'!C42</f>
        <v>0.27378230704078155</v>
      </c>
      <c r="AR43" s="40">
        <f>'[12]RD ESFERA'!D42</f>
        <v>0.82384032209604097</v>
      </c>
      <c r="AS43" s="102">
        <f>'[12]RD ESFERA'!E42</f>
        <v>54.418830943015685</v>
      </c>
      <c r="AT43" s="101">
        <f>'[13]RD ESFERA'!B40</f>
        <v>11.969693268704997</v>
      </c>
      <c r="AU43" s="91">
        <f>'[13]RD ESFERA'!C40</f>
        <v>0.27350659217374074</v>
      </c>
      <c r="AV43" s="40">
        <f>'[13]RD ESFERA'!D40</f>
        <v>0.80247128263413758</v>
      </c>
      <c r="AW43" s="102">
        <f>'[13]RD ESFERA'!E40</f>
        <v>60.637660031444845</v>
      </c>
      <c r="AX43" s="101">
        <f>'[14]RD ESFERA'!B40</f>
        <v>13.342580164559999</v>
      </c>
      <c r="AY43" s="91">
        <f>'[14]RD ESFERA'!C40</f>
        <v>0.27711828137975725</v>
      </c>
      <c r="AZ43" s="40">
        <f>'[14]RD ESFERA'!D40</f>
        <v>0.81451006826371475</v>
      </c>
      <c r="BA43" s="102">
        <f>'[14]RD ESFERA'!E40</f>
        <v>66.966549352115507</v>
      </c>
      <c r="BB43" s="101">
        <f>'[15]RD ESFERA'!B41</f>
        <v>14.404838333345001</v>
      </c>
      <c r="BC43" s="91">
        <f>'[15]RD ESFERA'!C41</f>
        <v>0.27017756395093129</v>
      </c>
      <c r="BD43" s="40">
        <f>'[15]RD ESFERA'!D41</f>
        <v>0.80373105834365255</v>
      </c>
      <c r="BE43" s="86">
        <f>'[15]RD ESFERA'!E41</f>
        <v>71.654200188258912</v>
      </c>
      <c r="BF43" s="101">
        <f>'[16]RD ESFERA'!B41</f>
        <v>15.635769393834996</v>
      </c>
      <c r="BG43" s="91">
        <f>'[16]RD ESFERA'!C41</f>
        <v>0.27056405189374261</v>
      </c>
      <c r="BH43" s="40">
        <f>'[16]RD ESFERA'!D41</f>
        <v>0.82302997697753166</v>
      </c>
      <c r="BI43" s="86">
        <f>'[16]RD ESFERA'!E41</f>
        <v>77.111408393945197</v>
      </c>
      <c r="BJ43" s="101">
        <f>'[17]RD ESFERA'!B40</f>
        <v>17.456339443959997</v>
      </c>
      <c r="BK43" s="91">
        <f>'[17]RD ESFERA'!C40</f>
        <v>0.2911434219387713</v>
      </c>
      <c r="BL43" s="40">
        <f>'[17]RD ESFERA'!D40</f>
        <v>0.88654467513805557</v>
      </c>
      <c r="BM43" s="86">
        <f>'[17]RD ESFERA'!E40</f>
        <v>85.381677824656833</v>
      </c>
      <c r="BN43" s="101">
        <f>'[18]RD ESFERA'!B40</f>
        <v>18.852050160514999</v>
      </c>
      <c r="BO43" s="91">
        <f>'[18]RD ESFERA'!C40</f>
        <v>0.30080474725998274</v>
      </c>
      <c r="BP43" s="40">
        <f>'[18]RD ESFERA'!D40</f>
        <v>0.90367382496917181</v>
      </c>
      <c r="BQ43" s="86">
        <f>'[18]RD ESFERA'!E40</f>
        <v>91.478645007256162</v>
      </c>
      <c r="BR43" s="101">
        <f>'[19]RD ESFERA'!B40</f>
        <v>19.562797899080007</v>
      </c>
      <c r="BS43" s="91">
        <f>'[19]RD ESFERA'!C40</f>
        <v>0.29849355291113294</v>
      </c>
      <c r="BT43" s="40">
        <f>'[19]RD ESFERA'!D40</f>
        <v>0.88784416376809039</v>
      </c>
      <c r="BU43" s="86">
        <f>'[19]RD ESFERA'!E40</f>
        <v>94.205481952168313</v>
      </c>
      <c r="BV43" s="101">
        <f>'[20]RD ESFERA'!B40</f>
        <v>22.385328212859999</v>
      </c>
      <c r="BW43" s="91">
        <f>'[20]RD ESFERA'!C40</f>
        <v>0.32493476560803836</v>
      </c>
      <c r="BX43" s="40">
        <f>'[20]RD ESFERA'!D40</f>
        <v>0.9434142208816052</v>
      </c>
      <c r="BY43" s="86">
        <f>'[20]RD ESFERA'!E40</f>
        <v>107.36631070045358</v>
      </c>
      <c r="BZ43" s="101">
        <f>'[21]RD ESFERA'!B40</f>
        <v>23.970598939955007</v>
      </c>
      <c r="CA43" s="91">
        <f>'[21]RD ESFERA'!C40</f>
        <v>0.32440349128950352</v>
      </c>
      <c r="CB43" s="40">
        <f>'[21]RD ESFERA'!D40</f>
        <v>0.96000503669543569</v>
      </c>
      <c r="CC43" s="86">
        <f>'[21]RD ESFERA'!E40</f>
        <v>114.06579528487485</v>
      </c>
      <c r="CD43" s="101">
        <f>'[22]RD ESFERA'!B42</f>
        <v>24.713316466525001</v>
      </c>
      <c r="CE43" s="91">
        <f>'[22]RD ESFERA'!C42</f>
        <v>0.32476511524230522</v>
      </c>
      <c r="CF43" s="40">
        <f>'[22]RD ESFERA'!D42</f>
        <v>1.0080660182162851</v>
      </c>
      <c r="CG43" s="86">
        <f>'[22]RD ESFERA'!E42</f>
        <v>116.70673989025524</v>
      </c>
      <c r="CH43" s="101">
        <f>'[23]RD ESFERA'!B40</f>
        <v>26.839662549230002</v>
      </c>
      <c r="CI43" s="91">
        <f>'[23]RD ESFERA'!C40</f>
        <v>0.30161238286363884</v>
      </c>
      <c r="CJ43" s="40">
        <f>'[23]RD ESFERA'!D40</f>
        <v>0.87683646100140156</v>
      </c>
      <c r="CK43" s="86">
        <f>'[23]RD ESFERA'!E40</f>
        <v>125.82017443587965</v>
      </c>
      <c r="CL43" s="101">
        <f>'[24]RD ESFERA'!B40</f>
        <v>33.109331172035006</v>
      </c>
      <c r="CM43" s="91">
        <f>'[24]RD ESFERA'!C40</f>
        <v>0.32847614518596635</v>
      </c>
      <c r="CN43" s="40">
        <f>'[24]RD ESFERA'!D40</f>
        <v>0.94100789608675439</v>
      </c>
      <c r="CO43" s="86">
        <f>'[24]RD ESFERA'!E40</f>
        <v>163.03529602792599</v>
      </c>
      <c r="CP43" s="101">
        <f>'[25]RD ESFERA'!B43</f>
        <v>41.231313313800008</v>
      </c>
      <c r="CQ43" s="91">
        <f>'[25]RD ESFERA'!C43</f>
        <v>0.37677069562831994</v>
      </c>
      <c r="CR43" s="40">
        <f>'[25]RD ESFERA'!D43</f>
        <v>1.0896260394623596</v>
      </c>
      <c r="CS43" s="86">
        <f>'[25]RD ESFERA'!E43</f>
        <v>198.38746257444464</v>
      </c>
      <c r="CT43" s="101">
        <f>'[26]RD ESFERA'!B43</f>
        <v>43.766560836304997</v>
      </c>
      <c r="CU43" s="91">
        <f>'[26]RD ESFERA'!C43</f>
        <v>0.37264917194887498</v>
      </c>
      <c r="CV43" s="40">
        <f>'[26]RD ESFERA'!D43</f>
        <v>1.0365764978903176</v>
      </c>
      <c r="CW43" s="86">
        <f>'[26]RD ESFERA'!E43</f>
        <v>205.87914568401865</v>
      </c>
    </row>
    <row r="44" spans="1:103" x14ac:dyDescent="0.25">
      <c r="A44" s="75" t="s">
        <v>39</v>
      </c>
      <c r="B44" s="101">
        <f>'[2]RD ESFERA'!B41</f>
        <v>0.37488389053999999</v>
      </c>
      <c r="C44" s="91">
        <f>'[2]RD ESFERA'!C41</f>
        <v>3.1178559076398115E-2</v>
      </c>
      <c r="D44" s="40">
        <f>'[2]RD ESFERA'!D41</f>
        <v>0.10202445041970656</v>
      </c>
      <c r="E44" s="102">
        <f>'[2]RD ESFERA'!E41</f>
        <v>2.1613575406478649</v>
      </c>
      <c r="F44" s="101">
        <f>'[3]RD ESFERA'!B41</f>
        <v>0.40332830522499996</v>
      </c>
      <c r="G44" s="91">
        <f>'[3]RD ESFERA'!C41</f>
        <v>3.0653754325463325E-2</v>
      </c>
      <c r="H44" s="40">
        <f>'[3]RD ESFERA'!D41</f>
        <v>9.5655525788119228E-2</v>
      </c>
      <c r="I44" s="102">
        <f>'[3]RD ESFERA'!E41</f>
        <v>2.3253511176462873</v>
      </c>
      <c r="J44" s="101">
        <f>'[4]RD ESFERA'!B41</f>
        <v>0.39910054965750003</v>
      </c>
      <c r="K44" s="91">
        <f>'[4]RD ESFERA'!C41</f>
        <v>2.6807095283442158E-2</v>
      </c>
      <c r="L44" s="40">
        <f>'[4]RD ESFERA'!D41</f>
        <v>8.0557239236394046E-2</v>
      </c>
      <c r="M44" s="102">
        <f>'[4]RD ESFERA'!E41</f>
        <v>2.2386651209829957</v>
      </c>
      <c r="N44" s="101">
        <f>'[5]RD ESFERA'!B41</f>
        <v>0.38331157987250009</v>
      </c>
      <c r="O44" s="91">
        <f>'[5]RD ESFERA'!C41</f>
        <v>2.2312149938735124E-2</v>
      </c>
      <c r="P44" s="40">
        <f>'[5]RD ESFERA'!D41</f>
        <v>6.8446679219691414E-2</v>
      </c>
      <c r="Q44" s="102">
        <f>'[5]RD ESFERA'!E41</f>
        <v>2.122209461207726</v>
      </c>
      <c r="R44" s="101">
        <f>'[6]RD ESFERA'!B41</f>
        <v>0.45762987998749999</v>
      </c>
      <c r="S44" s="91">
        <f>'[6]RD ESFERA'!C41</f>
        <v>2.3375285211832353E-2</v>
      </c>
      <c r="T44" s="40">
        <f>'[6]RD ESFERA'!D41</f>
        <v>6.9521887460956749E-2</v>
      </c>
      <c r="U44" s="102">
        <f>'[6]RD ESFERA'!E41</f>
        <v>2.5019198492848074</v>
      </c>
      <c r="V44" s="101">
        <f>'[7]RD ESFERA'!B41</f>
        <v>0.51937904198999996</v>
      </c>
      <c r="W44" s="91">
        <f>'[7]RD ESFERA'!C41</f>
        <v>2.3928067409937873E-2</v>
      </c>
      <c r="X44" s="40">
        <f>'[7]RD ESFERA'!D41</f>
        <v>6.8866329901367179E-2</v>
      </c>
      <c r="Y44" s="102">
        <f>'[7]RD ESFERA'!E41</f>
        <v>2.805167599378422</v>
      </c>
      <c r="Z44" s="101">
        <f>'[8]RD ESFERA'!B41</f>
        <v>0.584939677735</v>
      </c>
      <c r="AA44" s="91">
        <f>'[8]RD ESFERA'!C41</f>
        <v>2.4276896293137441E-2</v>
      </c>
      <c r="AB44" s="40">
        <f>'[8]RD ESFERA'!D41</f>
        <v>7.0514099723607282E-2</v>
      </c>
      <c r="AC44" s="102">
        <f>'[8]RD ESFERA'!E41</f>
        <v>3.1224237326871576</v>
      </c>
      <c r="AD44" s="101">
        <f>'[9]RD ESFERA'!B41</f>
        <v>0.66663488517500002</v>
      </c>
      <c r="AE44" s="91">
        <f>'[9]RD ESFERA'!C41</f>
        <v>2.4506265944689909E-2</v>
      </c>
      <c r="AF44" s="40">
        <f>'[9]RD ESFERA'!D41</f>
        <v>7.0856832834859412E-2</v>
      </c>
      <c r="AG44" s="102">
        <f>'[9]RD ESFERA'!E41</f>
        <v>3.5185537398894051</v>
      </c>
      <c r="AH44" s="101">
        <f>'[10]RD ESFERA'!B41</f>
        <v>0.73775921620250007</v>
      </c>
      <c r="AI44" s="91">
        <f>'[10]RD ESFERA'!C41</f>
        <v>2.3723664045680711E-2</v>
      </c>
      <c r="AJ44" s="40">
        <f>'[10]RD ESFERA'!D41</f>
        <v>6.8255051245295364E-2</v>
      </c>
      <c r="AK44" s="102">
        <f>'[10]RD ESFERA'!E41</f>
        <v>3.8518760584597374</v>
      </c>
      <c r="AL44" s="101">
        <f>'[11]RD ESFERA'!B42</f>
        <v>0.56580316794499996</v>
      </c>
      <c r="AM44" s="91">
        <f>'[11]RD ESFERA'!C42</f>
        <v>1.6975593983298724E-2</v>
      </c>
      <c r="AN44" s="40">
        <f>'[11]RD ESFERA'!D42</f>
        <v>5.1186578407632223E-2</v>
      </c>
      <c r="AO44" s="102">
        <f>'[11]RD ESFERA'!E42</f>
        <v>2.9233830992946102</v>
      </c>
      <c r="AP44" s="101">
        <f>'[12]RD ESFERA'!B43</f>
        <v>0.73710171287499981</v>
      </c>
      <c r="AQ44" s="91">
        <f>'[12]RD ESFERA'!C43</f>
        <v>1.8968881504469931E-2</v>
      </c>
      <c r="AR44" s="40">
        <f>'[12]RD ESFERA'!D43</f>
        <v>5.7079398655649274E-2</v>
      </c>
      <c r="AS44" s="102">
        <f>'[12]RD ESFERA'!E43</f>
        <v>3.7703837290555238</v>
      </c>
      <c r="AT44" s="101">
        <f>'[13]RD ESFERA'!B41</f>
        <v>0.882040363085</v>
      </c>
      <c r="AU44" s="91">
        <f>'[13]RD ESFERA'!C41</f>
        <v>2.015455604846652E-2</v>
      </c>
      <c r="AV44" s="40">
        <f>'[13]RD ESFERA'!D41</f>
        <v>5.9133684181405813E-2</v>
      </c>
      <c r="AW44" s="102">
        <f>'[13]RD ESFERA'!E41</f>
        <v>4.4683570806778858</v>
      </c>
      <c r="AX44" s="101">
        <f>'[14]RD ESFERA'!B41</f>
        <v>0.84838224513250005</v>
      </c>
      <c r="AY44" s="91">
        <f>'[14]RD ESFERA'!C41</f>
        <v>1.7620447231689637E-2</v>
      </c>
      <c r="AZ44" s="40">
        <f>'[14]RD ESFERA'!D41</f>
        <v>5.1790273835644121E-2</v>
      </c>
      <c r="BA44" s="102">
        <f>'[14]RD ESFERA'!E41</f>
        <v>4.2580393587612866</v>
      </c>
      <c r="BB44" s="101">
        <f>'[15]RD ESFERA'!B42</f>
        <v>0.89346001616249993</v>
      </c>
      <c r="BC44" s="91">
        <f>'[15]RD ESFERA'!C42</f>
        <v>1.6757761876129932E-2</v>
      </c>
      <c r="BD44" s="40">
        <f>'[15]RD ESFERA'!D42</f>
        <v>4.9851414348450362E-2</v>
      </c>
      <c r="BE44" s="86">
        <f>'[15]RD ESFERA'!E42</f>
        <v>4.4443513614530419</v>
      </c>
      <c r="BF44" s="101">
        <f>'[16]RD ESFERA'!B42</f>
        <v>0.97202535074500007</v>
      </c>
      <c r="BG44" s="91">
        <f>'[16]RD ESFERA'!C42</f>
        <v>1.6820094414074661E-2</v>
      </c>
      <c r="BH44" s="40">
        <f>'[16]RD ESFERA'!D42</f>
        <v>5.1165119022583423E-2</v>
      </c>
      <c r="BI44" s="86">
        <f>'[16]RD ESFERA'!E42</f>
        <v>4.7937675404779965</v>
      </c>
      <c r="BJ44" s="101">
        <f>'[17]RD ESFERA'!B41</f>
        <v>0.98542693282499993</v>
      </c>
      <c r="BK44" s="91">
        <f>'[17]RD ESFERA'!C41</f>
        <v>1.6435322549400104E-2</v>
      </c>
      <c r="BL44" s="40">
        <f>'[17]RD ESFERA'!D41</f>
        <v>5.0046288503854099E-2</v>
      </c>
      <c r="BM44" s="86">
        <f>'[17]RD ESFERA'!E41</f>
        <v>4.8198767655905064</v>
      </c>
      <c r="BN44" s="101">
        <f>'[18]RD ESFERA'!B41</f>
        <v>0.85189878787250006</v>
      </c>
      <c r="BO44" s="91">
        <f>'[18]RD ESFERA'!C41</f>
        <v>1.3592961900440469E-2</v>
      </c>
      <c r="BP44" s="40">
        <f>'[18]RD ESFERA'!D41</f>
        <v>4.083580457131103E-2</v>
      </c>
      <c r="BQ44" s="86">
        <f>'[18]RD ESFERA'!E41</f>
        <v>4.13379691515585</v>
      </c>
      <c r="BR44" s="101">
        <f>'[19]RD ESFERA'!B41</f>
        <v>0.94534561000499995</v>
      </c>
      <c r="BS44" s="91">
        <f>'[19]RD ESFERA'!C41</f>
        <v>1.4424295099046389E-2</v>
      </c>
      <c r="BT44" s="40">
        <f>'[19]RD ESFERA'!D41</f>
        <v>4.2903862060865841E-2</v>
      </c>
      <c r="BU44" s="86">
        <f>'[19]RD ESFERA'!E41</f>
        <v>4.5523518292889849</v>
      </c>
      <c r="BV44" s="101">
        <f>'[20]RD ESFERA'!B41</f>
        <v>1.1133582147149996</v>
      </c>
      <c r="BW44" s="91">
        <f>'[20]RD ESFERA'!C41</f>
        <v>1.6160977721486895E-2</v>
      </c>
      <c r="BX44" s="40">
        <f>'[20]RD ESFERA'!D41</f>
        <v>4.6921714200914566E-2</v>
      </c>
      <c r="BY44" s="86">
        <f>'[20]RD ESFERA'!E41</f>
        <v>5.3399781707610101</v>
      </c>
      <c r="BZ44" s="101">
        <f>'[21]RD ESFERA'!B41</f>
        <v>1.0703713654175</v>
      </c>
      <c r="CA44" s="91">
        <f>'[21]RD ESFERA'!C41</f>
        <v>1.4485754352135588E-2</v>
      </c>
      <c r="CB44" s="40">
        <f>'[21]RD ESFERA'!D41</f>
        <v>4.2867593943286736E-2</v>
      </c>
      <c r="CC44" s="86">
        <f>'[21]RD ESFERA'!E41</f>
        <v>5.0934380635352499</v>
      </c>
      <c r="CD44" s="101">
        <f>'[22]RD ESFERA'!B43</f>
        <v>1.0944993800999996</v>
      </c>
      <c r="CE44" s="91">
        <f>'[22]RD ESFERA'!C43</f>
        <v>1.4383145127133535E-2</v>
      </c>
      <c r="CF44" s="40">
        <f>'[22]RD ESFERA'!D43</f>
        <v>4.4645065486540118E-2</v>
      </c>
      <c r="CG44" s="86">
        <f>'[22]RD ESFERA'!E43</f>
        <v>5.1686893030483434</v>
      </c>
      <c r="CH44" s="101">
        <f>'[23]RD ESFERA'!B41</f>
        <v>1.4242691640249998</v>
      </c>
      <c r="CI44" s="91">
        <f>'[23]RD ESFERA'!C41</f>
        <v>1.6005313614239427E-2</v>
      </c>
      <c r="CJ44" s="40">
        <f>'[23]RD ESFERA'!D41</f>
        <v>4.6530060912890775E-2</v>
      </c>
      <c r="CK44" s="86">
        <f>'[23]RD ESFERA'!E41</f>
        <v>6.6767528962994005</v>
      </c>
      <c r="CL44" s="101">
        <f>'[24]RD ESFERA'!B41</f>
        <v>1.22567887189</v>
      </c>
      <c r="CM44" s="91">
        <f>'[24]RD ESFERA'!C41</f>
        <v>1.2159903471996521E-2</v>
      </c>
      <c r="CN44" s="40">
        <f>'[24]RD ESFERA'!D41</f>
        <v>3.4835300372644332E-2</v>
      </c>
      <c r="CO44" s="86">
        <f>'[24]RD ESFERA'!E41</f>
        <v>6.0354259853651522</v>
      </c>
      <c r="CP44" s="101">
        <f>'[25]RD ESFERA'!B44</f>
        <v>1.1707653230699999</v>
      </c>
      <c r="CQ44" s="91">
        <f>'[25]RD ESFERA'!C44</f>
        <v>1.0698423837083072E-2</v>
      </c>
      <c r="CR44" s="40">
        <f>'[25]RD ESFERA'!D44</f>
        <v>3.0939989042009532E-2</v>
      </c>
      <c r="CS44" s="86">
        <f>'[25]RD ESFERA'!E44</f>
        <v>5.633222496365855</v>
      </c>
      <c r="CT44" s="101">
        <f>'[26]RD ESFERA'!B44</f>
        <v>1.6913733922500001</v>
      </c>
      <c r="CU44" s="91">
        <f>'[26]RD ESFERA'!C44</f>
        <v>1.4401151976179229E-2</v>
      </c>
      <c r="CV44" s="40">
        <f>'[26]RD ESFERA'!D44</f>
        <v>4.0058845704619192E-2</v>
      </c>
      <c r="CW44" s="86">
        <f>'[26]RD ESFERA'!E44</f>
        <v>7.9562684930056982</v>
      </c>
    </row>
    <row r="45" spans="1:103" x14ac:dyDescent="0.25">
      <c r="A45" s="75" t="s">
        <v>119</v>
      </c>
      <c r="B45" s="101">
        <f>'[2]RD ESFERA'!B42</f>
        <v>4.9896848149600004</v>
      </c>
      <c r="C45" s="91">
        <f>'[2]RD ESFERA'!C42</f>
        <v>0.41498497721986682</v>
      </c>
      <c r="D45" s="40">
        <f>'[2]RD ESFERA'!D42</f>
        <v>1.357940055200989</v>
      </c>
      <c r="E45" s="102">
        <f>'[2]RD ESFERA'!E42</f>
        <v>28.767554894758121</v>
      </c>
      <c r="F45" s="101">
        <f>'[3]RD ESFERA'!B42</f>
        <v>5.9318246087299995</v>
      </c>
      <c r="G45" s="91">
        <f>'[3]RD ESFERA'!C42</f>
        <v>0.4508304820221089</v>
      </c>
      <c r="H45" s="40">
        <f>'[3]RD ESFERA'!D42</f>
        <v>1.4068236582464437</v>
      </c>
      <c r="I45" s="102">
        <f>'[3]RD ESFERA'!E42</f>
        <v>34.19937258283224</v>
      </c>
      <c r="J45" s="101">
        <f>'[4]RD ESFERA'!B42</f>
        <v>7.0687670654899986</v>
      </c>
      <c r="K45" s="91">
        <f>'[4]RD ESFERA'!C42</f>
        <v>0.47480042917422027</v>
      </c>
      <c r="L45" s="40">
        <f>'[4]RD ESFERA'!D42</f>
        <v>1.4268092591947144</v>
      </c>
      <c r="M45" s="102">
        <f>'[4]RD ESFERA'!E42</f>
        <v>39.650665205663422</v>
      </c>
      <c r="N45" s="101">
        <f>'[5]RD ESFERA'!B42</f>
        <v>8.4315094557400005</v>
      </c>
      <c r="O45" s="91">
        <f>'[5]RD ESFERA'!C42</f>
        <v>0.49078899011845517</v>
      </c>
      <c r="P45" s="40">
        <f>'[5]RD ESFERA'!D42</f>
        <v>1.5055867168082766</v>
      </c>
      <c r="Q45" s="102">
        <f>'[5]RD ESFERA'!E42</f>
        <v>46.681159867869574</v>
      </c>
      <c r="R45" s="101">
        <f>'[6]RD ESFERA'!B42</f>
        <v>10.08333806616</v>
      </c>
      <c r="S45" s="91">
        <f>'[6]RD ESFERA'!C42</f>
        <v>0.5150470139542771</v>
      </c>
      <c r="T45" s="40">
        <f>'[6]RD ESFERA'!D42</f>
        <v>1.5318333109837683</v>
      </c>
      <c r="U45" s="102">
        <f>'[6]RD ESFERA'!E42</f>
        <v>55.126871644534823</v>
      </c>
      <c r="V45" s="101">
        <f>'[7]RD ESFERA'!B42</f>
        <v>11.540989821930001</v>
      </c>
      <c r="W45" s="91">
        <f>'[7]RD ESFERA'!C42</f>
        <v>0.53169951058954157</v>
      </c>
      <c r="X45" s="40">
        <f>'[7]RD ESFERA'!D42</f>
        <v>1.5302612316048263</v>
      </c>
      <c r="Y45" s="102">
        <f>'[7]RD ESFERA'!E42</f>
        <v>62.332916994863098</v>
      </c>
      <c r="Z45" s="101">
        <f>'[8]RD ESFERA'!B42</f>
        <v>13.198232985100001</v>
      </c>
      <c r="AA45" s="91">
        <f>'[8]RD ESFERA'!C42</f>
        <v>0.54776953184751709</v>
      </c>
      <c r="AB45" s="40">
        <f>'[8]RD ESFERA'!D42</f>
        <v>1.5910384477429305</v>
      </c>
      <c r="AC45" s="102">
        <f>'[8]RD ESFERA'!E42</f>
        <v>70.452522663167031</v>
      </c>
      <c r="AD45" s="101">
        <f>'[9]RD ESFERA'!B42</f>
        <v>15.64702743808</v>
      </c>
      <c r="AE45" s="91">
        <f>'[9]RD ESFERA'!C42</f>
        <v>0.57520274466402699</v>
      </c>
      <c r="AF45" s="40">
        <f>'[9]RD ESFERA'!D42</f>
        <v>1.6631274963227372</v>
      </c>
      <c r="AG45" s="102">
        <f>'[9]RD ESFERA'!E42</f>
        <v>82.586297439198532</v>
      </c>
      <c r="AH45" s="101">
        <f>'[10]RD ESFERA'!B42</f>
        <v>17.247471900450002</v>
      </c>
      <c r="AI45" s="91">
        <f>'[10]RD ESFERA'!C42</f>
        <v>0.55461622168510361</v>
      </c>
      <c r="AJ45" s="40">
        <f>'[10]RD ESFERA'!D42</f>
        <v>1.5956792576263548</v>
      </c>
      <c r="AK45" s="102">
        <f>'[10]RD ESFERA'!E42</f>
        <v>90.049873486182676</v>
      </c>
      <c r="AL45" s="101">
        <f>'[11]RD ESFERA'!B43</f>
        <v>23.806821427140001</v>
      </c>
      <c r="AM45" s="91">
        <f>'[11]RD ESFERA'!C43</f>
        <v>0.7142677126532273</v>
      </c>
      <c r="AN45" s="40">
        <f>'[11]RD ESFERA'!D43</f>
        <v>2.1537343738154111</v>
      </c>
      <c r="AO45" s="102">
        <f>'[11]RD ESFERA'!E43</f>
        <v>123.00471851509876</v>
      </c>
      <c r="AP45" s="101">
        <f>'[12]RD ESFERA'!B44</f>
        <v>28.761806579319995</v>
      </c>
      <c r="AQ45" s="91">
        <f>'[12]RD ESFERA'!C44</f>
        <v>0.74016827166175081</v>
      </c>
      <c r="AR45" s="40">
        <f>'[12]RD ESFERA'!D44</f>
        <v>2.2272457045233978</v>
      </c>
      <c r="AS45" s="102">
        <f>'[12]RD ESFERA'!E44</f>
        <v>147.12087307725517</v>
      </c>
      <c r="AT45" s="101">
        <f>'[13]RD ESFERA'!B42</f>
        <v>32.226997084240004</v>
      </c>
      <c r="AU45" s="91">
        <f>'[13]RD ESFERA'!C42</f>
        <v>0.73638446287915471</v>
      </c>
      <c r="AV45" s="40">
        <f>'[13]RD ESFERA'!D42</f>
        <v>2.1605599329141891</v>
      </c>
      <c r="AW45" s="102">
        <f>'[13]RD ESFERA'!E42</f>
        <v>163.25979698558569</v>
      </c>
      <c r="AX45" s="101">
        <f>'[14]RD ESFERA'!B42</f>
        <v>29.748783271880004</v>
      </c>
      <c r="AY45" s="91">
        <f>'[14]RD ESFERA'!C42</f>
        <v>0.61786637904859232</v>
      </c>
      <c r="AZ45" s="40">
        <f>'[14]RD ESFERA'!D42</f>
        <v>1.8160418146035917</v>
      </c>
      <c r="BA45" s="102">
        <f>'[14]RD ESFERA'!E42</f>
        <v>149.30945428630571</v>
      </c>
      <c r="BB45" s="101">
        <f>'[15]RD ESFERA'!B43</f>
        <v>41.413415061160002</v>
      </c>
      <c r="BC45" s="91">
        <f>'[15]RD ESFERA'!C43</f>
        <v>0.77675120936360986</v>
      </c>
      <c r="BD45" s="40">
        <f>'[15]RD ESFERA'!D43</f>
        <v>2.3106991655491766</v>
      </c>
      <c r="BE45" s="86">
        <f>'[15]RD ESFERA'!E43</f>
        <v>206.00336252317621</v>
      </c>
      <c r="BF45" s="101">
        <f>'[16]RD ESFERA'!B43</f>
        <v>44.354120768150004</v>
      </c>
      <c r="BG45" s="91">
        <f>'[16]RD ESFERA'!C43</f>
        <v>0.76751136007076026</v>
      </c>
      <c r="BH45" s="40">
        <f>'[16]RD ESFERA'!D43</f>
        <v>2.3346961748529349</v>
      </c>
      <c r="BI45" s="86">
        <f>'[16]RD ESFERA'!E43</f>
        <v>218.7425917048719</v>
      </c>
      <c r="BJ45" s="101">
        <f>'[17]RD ESFERA'!B42</f>
        <v>47.382725584120003</v>
      </c>
      <c r="BK45" s="91">
        <f>'[17]RD ESFERA'!C42</f>
        <v>0.79026699220836227</v>
      </c>
      <c r="BL45" s="40">
        <f>'[17]RD ESFERA'!D42</f>
        <v>2.406398156668748</v>
      </c>
      <c r="BM45" s="86">
        <f>'[17]RD ESFERA'!E42</f>
        <v>231.75629823566862</v>
      </c>
      <c r="BN45" s="101">
        <f>'[18]RD ESFERA'!B42</f>
        <v>49.934110488919998</v>
      </c>
      <c r="BO45" s="91">
        <f>'[18]RD ESFERA'!C42</f>
        <v>0.79675246762982865</v>
      </c>
      <c r="BP45" s="40">
        <f>'[18]RD ESFERA'!D42</f>
        <v>2.3935937066657411</v>
      </c>
      <c r="BQ45" s="86">
        <f>'[18]RD ESFERA'!E42</f>
        <v>242.30281206955121</v>
      </c>
      <c r="BR45" s="101">
        <f>'[19]RD ESFERA'!B42</f>
        <v>53.008997330049993</v>
      </c>
      <c r="BS45" s="91">
        <f>'[19]RD ESFERA'!C42</f>
        <v>0.80882315663279925</v>
      </c>
      <c r="BT45" s="40">
        <f>'[19]RD ESFERA'!D42</f>
        <v>2.4057769828975473</v>
      </c>
      <c r="BU45" s="86">
        <f>'[19]RD ESFERA'!E42</f>
        <v>255.26707207425619</v>
      </c>
      <c r="BV45" s="101">
        <f>'[20]RD ESFERA'!B42</f>
        <v>56.498262815090008</v>
      </c>
      <c r="BW45" s="91">
        <f>'[20]RD ESFERA'!C42</f>
        <v>0.82010188148754115</v>
      </c>
      <c r="BX45" s="40">
        <f>'[20]RD ESFERA'!D42</f>
        <v>2.3810803258288447</v>
      </c>
      <c r="BY45" s="86">
        <f>'[20]RD ESFERA'!E42</f>
        <v>270.9815099318497</v>
      </c>
      <c r="BZ45" s="101">
        <f>'[21]RD ESFERA'!B42</f>
        <v>63.57728955492999</v>
      </c>
      <c r="CA45" s="91">
        <f>'[21]RD ESFERA'!C42</f>
        <v>0.86041632710165772</v>
      </c>
      <c r="CB45" s="40">
        <f>'[21]RD ESFERA'!D42</f>
        <v>2.5462241617351706</v>
      </c>
      <c r="CC45" s="86">
        <f>'[21]RD ESFERA'!E42</f>
        <v>302.53704186973766</v>
      </c>
      <c r="CD45" s="101">
        <f>'[22]RD ESFERA'!B44</f>
        <v>66.94898161350001</v>
      </c>
      <c r="CE45" s="91">
        <f>'[22]RD ESFERA'!C44</f>
        <v>0.87979667797782202</v>
      </c>
      <c r="CF45" s="40">
        <f>'[22]RD ESFERA'!D44</f>
        <v>2.730875615588555</v>
      </c>
      <c r="CG45" s="86">
        <f>'[22]RD ESFERA'!E44</f>
        <v>316.16142631717315</v>
      </c>
      <c r="CH45" s="101">
        <f>'[23]RD ESFERA'!B42</f>
        <v>83.99338695774</v>
      </c>
      <c r="CI45" s="91">
        <f>'[23]RD ESFERA'!C42</f>
        <v>0.94388092766234977</v>
      </c>
      <c r="CJ45" s="40">
        <f>'[23]RD ESFERA'!D42</f>
        <v>2.7440160260010007</v>
      </c>
      <c r="CK45" s="86">
        <f>'[23]RD ESFERA'!E42</f>
        <v>393.74796829501759</v>
      </c>
      <c r="CL45" s="101">
        <f>'[24]RD ESFERA'!B42</f>
        <v>90.249035023779996</v>
      </c>
      <c r="CM45" s="91">
        <f>'[24]RD ESFERA'!C42</f>
        <v>0.89535650772683573</v>
      </c>
      <c r="CN45" s="40">
        <f>'[24]RD ESFERA'!D42</f>
        <v>2.5649885263558851</v>
      </c>
      <c r="CO45" s="86">
        <f>'[24]RD ESFERA'!E42</f>
        <v>444.39973930262499</v>
      </c>
      <c r="CP45" s="101">
        <f>'[25]RD ESFERA'!B45</f>
        <v>94.974745074189997</v>
      </c>
      <c r="CQ45" s="91">
        <f>'[25]RD ESFERA'!C45</f>
        <v>0.86787681237279946</v>
      </c>
      <c r="CR45" s="40">
        <f>'[25]RD ESFERA'!D45</f>
        <v>2.5099116910617565</v>
      </c>
      <c r="CS45" s="86">
        <f>'[25]RD ESFERA'!E45</f>
        <v>456.97789300388331</v>
      </c>
      <c r="CT45" s="101">
        <f>'[26]RD ESFERA'!B45</f>
        <v>109.83306035795</v>
      </c>
      <c r="CU45" s="91">
        <f>'[26]RD ESFERA'!C45</f>
        <v>0.93517055516616032</v>
      </c>
      <c r="CV45" s="40">
        <f>'[26]RD ESFERA'!D45</f>
        <v>2.6013094673863235</v>
      </c>
      <c r="CW45" s="86">
        <f>'[26]RD ESFERA'!E45</f>
        <v>516.65783653712947</v>
      </c>
      <c r="CX45" s="13">
        <f>CU45-CQ45</f>
        <v>6.7293742793360867E-2</v>
      </c>
      <c r="CY45" s="13">
        <f>CX45/$CX$13</f>
        <v>0.14431093122864877</v>
      </c>
    </row>
    <row r="46" spans="1:103" ht="13.8" thickBot="1" x14ac:dyDescent="0.3">
      <c r="A46" s="76" t="s">
        <v>130</v>
      </c>
      <c r="B46" s="104"/>
      <c r="C46" s="93"/>
      <c r="D46" s="47"/>
      <c r="E46" s="105"/>
      <c r="F46" s="104"/>
      <c r="G46" s="93"/>
      <c r="H46" s="47"/>
      <c r="I46" s="105"/>
      <c r="J46" s="104"/>
      <c r="K46" s="93"/>
      <c r="L46" s="47"/>
      <c r="M46" s="105"/>
      <c r="N46" s="104"/>
      <c r="O46" s="93"/>
      <c r="P46" s="47"/>
      <c r="Q46" s="105"/>
      <c r="R46" s="104"/>
      <c r="S46" s="93"/>
      <c r="T46" s="47"/>
      <c r="U46" s="105"/>
      <c r="V46" s="104"/>
      <c r="W46" s="93"/>
      <c r="X46" s="47"/>
      <c r="Y46" s="105"/>
      <c r="Z46" s="104"/>
      <c r="AA46" s="93"/>
      <c r="AB46" s="47"/>
      <c r="AC46" s="105"/>
      <c r="AD46" s="104"/>
      <c r="AE46" s="93"/>
      <c r="AF46" s="47"/>
      <c r="AG46" s="105"/>
      <c r="AH46" s="104"/>
      <c r="AI46" s="93"/>
      <c r="AJ46" s="47"/>
      <c r="AK46" s="105"/>
      <c r="AL46" s="104"/>
      <c r="AM46" s="93"/>
      <c r="AN46" s="47"/>
      <c r="AO46" s="105"/>
      <c r="AP46" s="104"/>
      <c r="AQ46" s="93"/>
      <c r="AR46" s="47"/>
      <c r="AS46" s="105"/>
      <c r="AT46" s="104"/>
      <c r="AU46" s="93"/>
      <c r="AV46" s="47"/>
      <c r="AW46" s="105"/>
      <c r="AX46" s="104"/>
      <c r="AY46" s="93"/>
      <c r="AZ46" s="47"/>
      <c r="BA46" s="105"/>
      <c r="BB46" s="104"/>
      <c r="BC46" s="93"/>
      <c r="BD46" s="47"/>
      <c r="BE46" s="87"/>
      <c r="BF46" s="104"/>
      <c r="BG46" s="93"/>
      <c r="BH46" s="47"/>
      <c r="BI46" s="87"/>
      <c r="BJ46" s="104"/>
      <c r="BK46" s="93"/>
      <c r="BL46" s="47"/>
      <c r="BM46" s="87"/>
      <c r="BN46" s="104">
        <f>'[18]RD ESFERA'!B43</f>
        <v>0</v>
      </c>
      <c r="BO46" s="93"/>
      <c r="BP46" s="47"/>
      <c r="BQ46" s="87"/>
      <c r="BR46" s="104"/>
      <c r="BS46" s="93"/>
      <c r="BT46" s="47"/>
      <c r="BU46" s="87"/>
      <c r="BV46" s="104"/>
      <c r="BW46" s="93"/>
      <c r="BX46" s="47"/>
      <c r="BY46" s="87"/>
      <c r="BZ46" s="104"/>
      <c r="CA46" s="93"/>
      <c r="CB46" s="47"/>
      <c r="CC46" s="87"/>
      <c r="CD46" s="104"/>
      <c r="CE46" s="93"/>
      <c r="CF46" s="47"/>
      <c r="CG46" s="87"/>
      <c r="CH46" s="104"/>
      <c r="CI46" s="93"/>
      <c r="CJ46" s="47"/>
      <c r="CK46" s="87"/>
      <c r="CL46" s="104">
        <f>'[24]RD ESFERA'!B43</f>
        <v>0</v>
      </c>
      <c r="CM46" s="93">
        <f>'[24]RD ESFERA'!C43</f>
        <v>0</v>
      </c>
      <c r="CN46" s="47">
        <f>'[24]RD ESFERA'!D43</f>
        <v>0</v>
      </c>
      <c r="CO46" s="87">
        <f>'[24]RD ESFERA'!E43</f>
        <v>0</v>
      </c>
      <c r="CP46" s="104">
        <f>'[25]RD ESFERA'!B46</f>
        <v>2.3815206545000001</v>
      </c>
      <c r="CQ46" s="93">
        <f>'[25]RD ESFERA'!C46</f>
        <v>2.1762275356600323E-2</v>
      </c>
      <c r="CR46" s="47">
        <f>'[25]RD ESFERA'!D46</f>
        <v>6.293679997314354E-2</v>
      </c>
      <c r="CS46" s="87">
        <f>'[25]RD ESFERA'!E46</f>
        <v>11.458859826246506</v>
      </c>
      <c r="CT46" s="104">
        <f>'[26]RD ESFERA'!B46</f>
        <v>0.16861999999999999</v>
      </c>
      <c r="CU46" s="93">
        <f>'[26]RD ESFERA'!C46</f>
        <v>1.4357103270928209E-3</v>
      </c>
      <c r="CV46" s="47">
        <f>'[26]RD ESFERA'!D46</f>
        <v>3.9936317986693746E-3</v>
      </c>
      <c r="CW46" s="87">
        <f>'[26]RD ESFERA'!E46</f>
        <v>0.79319327088735614</v>
      </c>
    </row>
    <row r="47" spans="1:103" x14ac:dyDescent="0.25">
      <c r="BN47" s="13">
        <f>'[18]RD ESFERA'!B44</f>
        <v>0</v>
      </c>
      <c r="CE47" s="108"/>
      <c r="CI47" s="108"/>
      <c r="CL47" s="13">
        <f>'[24]RD ESFERA'!B44</f>
        <v>0</v>
      </c>
      <c r="CM47" s="108">
        <f>'[24]RD ESFERA'!C44</f>
        <v>0</v>
      </c>
      <c r="CN47" s="13">
        <f>'[24]RD ESFERA'!D44</f>
        <v>0</v>
      </c>
      <c r="CO47" s="13">
        <f>'[24]RD ESFERA'!E44</f>
        <v>0</v>
      </c>
      <c r="CP47" s="13">
        <f>'[24]RD ESFERA'!F44</f>
        <v>0</v>
      </c>
      <c r="CQ47" s="108">
        <f>'[24]RD ESFERA'!G44</f>
        <v>0</v>
      </c>
      <c r="CR47" s="13">
        <f>'[24]RD ESFERA'!H44</f>
        <v>0</v>
      </c>
      <c r="CS47" s="13">
        <f>'[24]RD ESFERA'!I44</f>
        <v>0</v>
      </c>
      <c r="CU47" s="108"/>
    </row>
    <row r="49" spans="91:99" x14ac:dyDescent="0.25">
      <c r="CM49" s="108"/>
      <c r="CQ49" s="108"/>
      <c r="CU49" s="108"/>
    </row>
    <row r="50" spans="91:99" x14ac:dyDescent="0.25">
      <c r="CS50" s="13" t="s">
        <v>131</v>
      </c>
      <c r="CT50" s="13">
        <f>CT51+CT52</f>
        <v>0.3567708217012418</v>
      </c>
    </row>
    <row r="51" spans="91:99" x14ac:dyDescent="0.25">
      <c r="CS51" s="13" t="s">
        <v>132</v>
      </c>
      <c r="CT51" s="13">
        <f>CY35</f>
        <v>0.21245989047259303</v>
      </c>
    </row>
    <row r="52" spans="91:99" x14ac:dyDescent="0.25">
      <c r="CS52" s="13" t="s">
        <v>133</v>
      </c>
      <c r="CT52" s="13">
        <f>CY45</f>
        <v>0.14431093122864877</v>
      </c>
    </row>
    <row r="53" spans="91:99" x14ac:dyDescent="0.25">
      <c r="CS53" s="13" t="s">
        <v>134</v>
      </c>
      <c r="CT53" s="13">
        <f>CY31</f>
        <v>0.25300549321532101</v>
      </c>
    </row>
    <row r="54" spans="91:99" x14ac:dyDescent="0.25">
      <c r="CS54" s="13" t="s">
        <v>135</v>
      </c>
      <c r="CT54" s="13">
        <f>CY42</f>
        <v>0.20684210435707484</v>
      </c>
    </row>
    <row r="55" spans="91:99" x14ac:dyDescent="0.25">
      <c r="CS55" s="13" t="s">
        <v>136</v>
      </c>
      <c r="CT55" s="13">
        <f>byGOVDetalhado!CX40/'RD ESFERA'!CX13</f>
        <v>0.18531144602253188</v>
      </c>
    </row>
  </sheetData>
  <mergeCells count="26">
    <mergeCell ref="CT3:CW3"/>
    <mergeCell ref="Z3:AC3"/>
    <mergeCell ref="CH3:CK3"/>
    <mergeCell ref="BF3:BI3"/>
    <mergeCell ref="BZ3:CC3"/>
    <mergeCell ref="CD3:CG3"/>
    <mergeCell ref="BV3:BY3"/>
    <mergeCell ref="BR3:BU3"/>
    <mergeCell ref="BN3:BQ3"/>
    <mergeCell ref="BJ3:BM3"/>
    <mergeCell ref="CP3:CS3"/>
    <mergeCell ref="CL3:CO3"/>
    <mergeCell ref="B3:E3"/>
    <mergeCell ref="A3:A4"/>
    <mergeCell ref="AH3:AK3"/>
    <mergeCell ref="BB3:BE3"/>
    <mergeCell ref="AL3:AO3"/>
    <mergeCell ref="AP3:AS3"/>
    <mergeCell ref="AT3:AW3"/>
    <mergeCell ref="AX3:BA3"/>
    <mergeCell ref="R3:U3"/>
    <mergeCell ref="J3:M3"/>
    <mergeCell ref="F3:I3"/>
    <mergeCell ref="N3:Q3"/>
    <mergeCell ref="AD3:AG3"/>
    <mergeCell ref="V3:Y3"/>
  </mergeCells>
  <phoneticPr fontId="0" type="noConversion"/>
  <printOptions horizontalCentered="1" verticalCentered="1" gridLines="1"/>
  <pageMargins left="0" right="0" top="0" bottom="0" header="0" footer="0"/>
  <pageSetup paperSize="9" scale="96" orientation="landscape" horizontalDpi="4294967295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9"/>
  <sheetViews>
    <sheetView zoomScale="80" zoomScaleNormal="80" workbookViewId="0">
      <selection activeCell="Z32" sqref="Z32"/>
    </sheetView>
  </sheetViews>
  <sheetFormatPr defaultRowHeight="13.2" x14ac:dyDescent="0.25"/>
  <cols>
    <col min="1" max="1" width="33.88671875" customWidth="1"/>
    <col min="2" max="2" width="11.6640625" bestFit="1" customWidth="1"/>
    <col min="3" max="3" width="25.109375" bestFit="1" customWidth="1"/>
    <col min="4" max="4" width="24.44140625" bestFit="1" customWidth="1"/>
    <col min="7" max="8" width="11.109375" bestFit="1" customWidth="1"/>
  </cols>
  <sheetData>
    <row r="1" spans="1:11" x14ac:dyDescent="0.25">
      <c r="B1">
        <v>2000</v>
      </c>
      <c r="C1" s="4">
        <f>'AD ESFERA'!C7</f>
        <v>30.559889269813521</v>
      </c>
    </row>
    <row r="2" spans="1:11" x14ac:dyDescent="0.25">
      <c r="B2">
        <v>2001</v>
      </c>
      <c r="C2" s="4">
        <f>'AD ESFERA'!G7</f>
        <v>32.045983828851256</v>
      </c>
    </row>
    <row r="3" spans="1:11" x14ac:dyDescent="0.25">
      <c r="B3">
        <v>2002</v>
      </c>
      <c r="C3" s="4">
        <f>'AD ESFERA'!K7</f>
        <v>33.277077935574638</v>
      </c>
    </row>
    <row r="4" spans="1:11" x14ac:dyDescent="0.25">
      <c r="B4" s="8">
        <v>2003</v>
      </c>
      <c r="C4" s="4">
        <f>'AD ESFERA'!O7</f>
        <v>32.597856014490397</v>
      </c>
    </row>
    <row r="5" spans="1:11" ht="12.9" customHeight="1" x14ac:dyDescent="0.25">
      <c r="A5" s="1"/>
      <c r="B5" s="8">
        <v>2004</v>
      </c>
      <c r="C5" s="4">
        <f>'AD ESFERA'!S7</f>
        <v>33.622915121457012</v>
      </c>
      <c r="J5" s="4"/>
      <c r="K5" s="4"/>
    </row>
    <row r="6" spans="1:11" ht="12.9" customHeight="1" x14ac:dyDescent="0.25">
      <c r="A6" s="1"/>
      <c r="B6" s="8">
        <v>2005</v>
      </c>
      <c r="C6" s="4">
        <f>'AD ESFERA'!W7</f>
        <v>34.745669537215804</v>
      </c>
      <c r="J6" s="4"/>
      <c r="K6" s="4"/>
    </row>
    <row r="7" spans="1:11" ht="12.9" customHeight="1" x14ac:dyDescent="0.25">
      <c r="A7" s="1"/>
      <c r="B7" s="8">
        <v>2006</v>
      </c>
      <c r="C7" s="4">
        <f>'AD ESFERA'!AA7</f>
        <v>34.428428340282451</v>
      </c>
      <c r="J7" s="4"/>
      <c r="K7" s="4"/>
    </row>
    <row r="8" spans="1:11" ht="12.9" customHeight="1" x14ac:dyDescent="0.25">
      <c r="A8" s="1"/>
      <c r="B8" s="8">
        <v>2007</v>
      </c>
      <c r="C8" s="4">
        <f>'AD ESFERA'!AE7</f>
        <v>34.585607293237032</v>
      </c>
      <c r="J8" s="4"/>
      <c r="K8" s="4"/>
    </row>
    <row r="9" spans="1:11" ht="12.9" customHeight="1" x14ac:dyDescent="0.25">
      <c r="A9" s="1"/>
      <c r="B9" s="8">
        <v>2008</v>
      </c>
      <c r="C9" s="4">
        <f>'AD ESFERA'!AI7</f>
        <v>34.757374894383254</v>
      </c>
      <c r="J9" s="4"/>
      <c r="K9" s="4"/>
    </row>
    <row r="10" spans="1:11" ht="12.9" customHeight="1" x14ac:dyDescent="0.25">
      <c r="A10" s="1"/>
      <c r="B10" s="8">
        <v>2009</v>
      </c>
      <c r="C10" s="4">
        <f>'AD ESFERA'!AM7</f>
        <v>33.164150664869538</v>
      </c>
      <c r="J10" s="4"/>
      <c r="K10" s="4"/>
    </row>
    <row r="11" spans="1:11" ht="12.9" customHeight="1" x14ac:dyDescent="0.25">
      <c r="A11" s="1"/>
      <c r="B11" s="8">
        <v>2010</v>
      </c>
      <c r="C11" s="4">
        <f>'AD ESFERA'!AQ7</f>
        <v>33.232448048211062</v>
      </c>
      <c r="J11" s="4"/>
      <c r="K11" s="4"/>
    </row>
    <row r="12" spans="1:11" ht="12.9" customHeight="1" thickBot="1" x14ac:dyDescent="0.3">
      <c r="A12" s="2"/>
      <c r="B12">
        <v>2011</v>
      </c>
      <c r="C12" s="4">
        <f>'AD ESFERA'!AU7</f>
        <v>34.08303799681736</v>
      </c>
    </row>
    <row r="13" spans="1:11" x14ac:dyDescent="0.25">
      <c r="B13">
        <v>2012</v>
      </c>
      <c r="C13" s="4">
        <f>'AD ESFERA'!AY7</f>
        <v>34.022695627383506</v>
      </c>
    </row>
    <row r="14" spans="1:11" x14ac:dyDescent="0.25">
      <c r="B14">
        <v>2013</v>
      </c>
      <c r="C14" s="4">
        <f>'AD ESFERA'!BC7</f>
        <v>33.61541913133474</v>
      </c>
    </row>
    <row r="15" spans="1:11" x14ac:dyDescent="0.25">
      <c r="B15">
        <v>2014</v>
      </c>
      <c r="C15" s="4">
        <f>'AD ESFERA'!BG7</f>
        <v>32.87414304000847</v>
      </c>
    </row>
    <row r="16" spans="1:11" x14ac:dyDescent="0.25">
      <c r="B16" s="7">
        <v>2015</v>
      </c>
      <c r="C16" s="4">
        <f>'AD ESFERA'!BK7</f>
        <v>32.840242584891008</v>
      </c>
      <c r="D16" s="106"/>
    </row>
    <row r="17" spans="2:10" x14ac:dyDescent="0.25">
      <c r="B17" s="7">
        <v>2016</v>
      </c>
      <c r="C17" s="3">
        <f>'AD ESFERA'!BO7</f>
        <v>33.286871761527955</v>
      </c>
    </row>
    <row r="18" spans="2:10" x14ac:dyDescent="0.25">
      <c r="B18" s="7">
        <v>2017</v>
      </c>
      <c r="C18" s="5">
        <f>byGOVDetalhado!BS7</f>
        <v>33.620038864061399</v>
      </c>
    </row>
    <row r="19" spans="2:10" x14ac:dyDescent="0.25">
      <c r="B19" s="7">
        <v>2018</v>
      </c>
      <c r="C19" s="5">
        <f>byGOVDetalhado!BW7</f>
        <v>34.442428194944114</v>
      </c>
      <c r="D19" s="5"/>
    </row>
    <row r="20" spans="2:10" x14ac:dyDescent="0.25">
      <c r="B20" s="7">
        <v>2019</v>
      </c>
      <c r="C20" s="3">
        <f>byGOVDetalhado!CA7</f>
        <v>33.791853051748255</v>
      </c>
    </row>
    <row r="21" spans="2:10" x14ac:dyDescent="0.25">
      <c r="B21">
        <v>2020</v>
      </c>
      <c r="C21" s="3">
        <f>byGOVDetalhado!CE7</f>
        <v>32.216651426953014</v>
      </c>
    </row>
    <row r="22" spans="2:10" x14ac:dyDescent="0.25">
      <c r="B22" s="7">
        <v>2021</v>
      </c>
      <c r="C22" s="3">
        <f>byGOVDetalhado!CI7</f>
        <v>34.397792094454971</v>
      </c>
      <c r="D22" s="3"/>
    </row>
    <row r="23" spans="2:10" x14ac:dyDescent="0.25">
      <c r="B23" s="7">
        <v>2022</v>
      </c>
      <c r="C23" s="5">
        <f>byGOVDetalhado!CM7</f>
        <v>34.906842604823694</v>
      </c>
      <c r="D23" s="3"/>
    </row>
    <row r="24" spans="2:10" x14ac:dyDescent="0.25">
      <c r="B24" s="7">
        <v>2023</v>
      </c>
      <c r="C24" s="5">
        <f>byGOVDetalhado!CQ7</f>
        <v>34.577981984922566</v>
      </c>
      <c r="D24" s="5">
        <f>C24-C23</f>
        <v>-0.32886061990112836</v>
      </c>
    </row>
    <row r="25" spans="2:10" x14ac:dyDescent="0.25">
      <c r="B25" s="7">
        <v>2024</v>
      </c>
      <c r="C25" s="109">
        <f>byGOVDetalhado!CU7</f>
        <v>35.949992374639557</v>
      </c>
    </row>
    <row r="26" spans="2:10" x14ac:dyDescent="0.25">
      <c r="C26" s="7"/>
    </row>
    <row r="30" spans="2:10" x14ac:dyDescent="0.25">
      <c r="F30" t="s">
        <v>111</v>
      </c>
      <c r="G30" t="s">
        <v>112</v>
      </c>
      <c r="H30" t="s">
        <v>113</v>
      </c>
    </row>
    <row r="31" spans="2:10" x14ac:dyDescent="0.25">
      <c r="E31">
        <v>2000</v>
      </c>
      <c r="F31" s="5">
        <f>C1</f>
        <v>30.559889269813521</v>
      </c>
      <c r="G31" s="4">
        <f>'AD ESFERA'!D9</f>
        <v>66.685338583693067</v>
      </c>
      <c r="H31" s="4">
        <f>'RD ESFERA'!D9</f>
        <v>55.861526945797948</v>
      </c>
    </row>
    <row r="32" spans="2:10" x14ac:dyDescent="0.25">
      <c r="D32" s="5"/>
      <c r="E32">
        <v>2001</v>
      </c>
      <c r="F32" s="5">
        <f t="shared" ref="F32:F55" si="0">C2</f>
        <v>32.045983828851256</v>
      </c>
      <c r="G32" s="4">
        <f>'AD ESFERA'!H9</f>
        <v>66.876788253295388</v>
      </c>
      <c r="H32" s="4">
        <f>'RD ESFERA'!H9</f>
        <v>56.020326197375361</v>
      </c>
      <c r="I32" s="3"/>
      <c r="J32" s="3"/>
    </row>
    <row r="33" spans="1:10" x14ac:dyDescent="0.25">
      <c r="D33" s="5"/>
      <c r="E33">
        <v>2002</v>
      </c>
      <c r="F33" s="5">
        <f t="shared" si="0"/>
        <v>33.277077935574638</v>
      </c>
      <c r="G33" s="4">
        <f>'AD ESFERA'!L9</f>
        <v>68.048054537314101</v>
      </c>
      <c r="H33" s="4">
        <f>'RD ESFERA'!L9</f>
        <v>56.783908428245155</v>
      </c>
      <c r="J33" s="3"/>
    </row>
    <row r="34" spans="1:10" x14ac:dyDescent="0.25">
      <c r="D34" s="5"/>
      <c r="E34">
        <v>2003</v>
      </c>
      <c r="F34" s="5">
        <f t="shared" si="0"/>
        <v>32.597856014490397</v>
      </c>
      <c r="G34" s="4">
        <f>'AD ESFERA'!P9</f>
        <v>67.319970522339503</v>
      </c>
      <c r="H34" s="4">
        <f>'RD ESFERA'!P9</f>
        <v>56.647703974161409</v>
      </c>
      <c r="J34" s="3"/>
    </row>
    <row r="35" spans="1:10" x14ac:dyDescent="0.25">
      <c r="B35" s="5"/>
      <c r="C35" s="3"/>
      <c r="D35" s="5"/>
      <c r="E35">
        <v>2004</v>
      </c>
      <c r="F35" s="5">
        <f t="shared" si="0"/>
        <v>33.622915121457012</v>
      </c>
      <c r="G35" s="4">
        <f>'AD ESFERA'!T9</f>
        <v>67.366786225040798</v>
      </c>
      <c r="H35" s="4">
        <f>'RD ESFERA'!T9</f>
        <v>57.110570364978727</v>
      </c>
      <c r="J35" s="3"/>
    </row>
    <row r="36" spans="1:10" x14ac:dyDescent="0.25">
      <c r="B36" s="5"/>
      <c r="C36" s="3"/>
      <c r="D36" s="5"/>
      <c r="E36">
        <v>2005</v>
      </c>
      <c r="F36" s="5">
        <f t="shared" si="0"/>
        <v>34.745669537215804</v>
      </c>
      <c r="G36" s="4">
        <f>'AD ESFERA'!X9</f>
        <v>68.389631401147824</v>
      </c>
      <c r="H36" s="4">
        <f>'RD ESFERA'!X9</f>
        <v>57.314121086590099</v>
      </c>
      <c r="J36" s="3"/>
    </row>
    <row r="37" spans="1:10" x14ac:dyDescent="0.25">
      <c r="B37" s="5"/>
      <c r="C37" s="3"/>
      <c r="D37" s="3"/>
      <c r="E37">
        <v>2006</v>
      </c>
      <c r="F37" s="5">
        <f t="shared" si="0"/>
        <v>34.428428340282451</v>
      </c>
      <c r="G37" s="4">
        <f>'AD ESFERA'!AB9</f>
        <v>68.061746893989337</v>
      </c>
      <c r="H37" s="4">
        <f>'RD ESFERA'!AB9</f>
        <v>56.906783447227184</v>
      </c>
      <c r="J37" s="3"/>
    </row>
    <row r="38" spans="1:10" x14ac:dyDescent="0.25">
      <c r="B38" s="3"/>
      <c r="C38" s="3"/>
      <c r="D38" s="3"/>
      <c r="E38">
        <v>2007</v>
      </c>
      <c r="F38" s="5">
        <f t="shared" si="0"/>
        <v>34.585607293237032</v>
      </c>
      <c r="G38" s="4">
        <f>'AD ESFERA'!AF9</f>
        <v>68.7268616542122</v>
      </c>
      <c r="H38" s="4">
        <f>'RD ESFERA'!AF9</f>
        <v>57.588313163199814</v>
      </c>
      <c r="J38" s="3"/>
    </row>
    <row r="39" spans="1:10" x14ac:dyDescent="0.25">
      <c r="A39" s="6"/>
      <c r="B39" s="5"/>
      <c r="C39" s="3"/>
      <c r="D39" s="3"/>
      <c r="E39">
        <v>2008</v>
      </c>
      <c r="F39" s="5">
        <f t="shared" si="0"/>
        <v>34.757374894383254</v>
      </c>
      <c r="G39" s="4">
        <f>'AD ESFERA'!AJ9</f>
        <v>68.345888926689781</v>
      </c>
      <c r="H39" s="4">
        <f>'RD ESFERA'!AJ9</f>
        <v>56.462587006245869</v>
      </c>
      <c r="J39" s="3"/>
    </row>
    <row r="40" spans="1:10" x14ac:dyDescent="0.25">
      <c r="E40">
        <v>2009</v>
      </c>
      <c r="F40" s="5">
        <f t="shared" si="0"/>
        <v>33.164150664869538</v>
      </c>
      <c r="G40" s="4">
        <f>'AD ESFERA'!AN9</f>
        <v>67.473690257645799</v>
      </c>
      <c r="H40" s="4">
        <f>'RD ESFERA'!AN9</f>
        <v>55.9839874742744</v>
      </c>
      <c r="J40" s="3"/>
    </row>
    <row r="41" spans="1:10" x14ac:dyDescent="0.25">
      <c r="E41">
        <v>2010</v>
      </c>
      <c r="F41" s="5">
        <f t="shared" si="0"/>
        <v>33.232448048211062</v>
      </c>
      <c r="G41" s="4">
        <f>'AD ESFERA'!AR9</f>
        <v>67.272904744994506</v>
      </c>
      <c r="H41" s="4">
        <f>'RD ESFERA'!AR9</f>
        <v>56.462840218249788</v>
      </c>
      <c r="J41" s="3"/>
    </row>
    <row r="42" spans="1:10" x14ac:dyDescent="0.25">
      <c r="E42">
        <v>2011</v>
      </c>
      <c r="F42" s="5">
        <f t="shared" si="0"/>
        <v>34.08303799681736</v>
      </c>
      <c r="G42" s="4">
        <f>'AD ESFERA'!AV9</f>
        <v>68.182113755689954</v>
      </c>
      <c r="H42" s="4">
        <f>'RD ESFERA'!AV9</f>
        <v>56.722578503408528</v>
      </c>
      <c r="J42" s="3"/>
    </row>
    <row r="43" spans="1:10" x14ac:dyDescent="0.25">
      <c r="E43">
        <v>2012</v>
      </c>
      <c r="F43" s="5">
        <f t="shared" si="0"/>
        <v>34.022695627383506</v>
      </c>
      <c r="G43" s="4">
        <f>'AD ESFERA'!AZ9</f>
        <v>67.83148798312638</v>
      </c>
      <c r="H43" s="4">
        <f>'RD ESFERA'!AZ9</f>
        <v>57.33063771179242</v>
      </c>
      <c r="J43" s="3"/>
    </row>
    <row r="44" spans="1:10" x14ac:dyDescent="0.25">
      <c r="E44">
        <v>2013</v>
      </c>
      <c r="F44" s="5">
        <f t="shared" si="0"/>
        <v>33.61541913133474</v>
      </c>
      <c r="G44" s="4">
        <f>'AD ESFERA'!BD9</f>
        <v>67.423076228574928</v>
      </c>
      <c r="H44" s="4">
        <f>'RD ESFERA'!BD9</f>
        <v>56.917231906223201</v>
      </c>
    </row>
    <row r="45" spans="1:10" x14ac:dyDescent="0.25">
      <c r="E45" s="7">
        <v>2014</v>
      </c>
      <c r="F45" s="5">
        <f t="shared" si="0"/>
        <v>32.87414304000847</v>
      </c>
      <c r="G45" s="4">
        <f>'AD ESFERA'!BH9</f>
        <v>66.649409189616733</v>
      </c>
      <c r="H45" s="4">
        <f>'RD ESFERA'!BH9</f>
        <v>55.685572290411734</v>
      </c>
    </row>
    <row r="46" spans="1:10" x14ac:dyDescent="0.25">
      <c r="E46">
        <v>2015</v>
      </c>
      <c r="F46" s="5">
        <f t="shared" si="0"/>
        <v>32.840242584891008</v>
      </c>
      <c r="G46" s="4">
        <f>'AD ESFERA'!BL9</f>
        <v>65.977824460458137</v>
      </c>
      <c r="H46" s="4">
        <f>'RD ESFERA'!BL9</f>
        <v>55.148591291582747</v>
      </c>
    </row>
    <row r="47" spans="1:10" x14ac:dyDescent="0.25">
      <c r="E47" s="7">
        <v>2016</v>
      </c>
      <c r="F47" s="5">
        <f t="shared" si="0"/>
        <v>33.286871761527955</v>
      </c>
      <c r="G47" s="4">
        <f>'AD ESFERA'!BP9</f>
        <v>65.888891895195783</v>
      </c>
      <c r="H47" s="4">
        <f>'RD ESFERA'!BP9</f>
        <v>54.599957783623978</v>
      </c>
    </row>
    <row r="48" spans="1:10" x14ac:dyDescent="0.25">
      <c r="E48" s="7">
        <v>2017</v>
      </c>
      <c r="F48" s="5">
        <f t="shared" si="0"/>
        <v>33.620038864061399</v>
      </c>
      <c r="G48" s="4">
        <f>byGOVDetalhado!BT9</f>
        <v>65.341941150978826</v>
      </c>
      <c r="H48" s="4">
        <f>'RD ESFERA'!BT9</f>
        <v>54.665625981301183</v>
      </c>
    </row>
    <row r="49" spans="5:8" x14ac:dyDescent="0.25">
      <c r="E49" s="7">
        <v>2018</v>
      </c>
      <c r="F49" s="5">
        <f t="shared" si="0"/>
        <v>34.442428194944114</v>
      </c>
      <c r="G49" s="4">
        <f>byGOVDetalhado!BX9</f>
        <v>65.344418060401154</v>
      </c>
      <c r="H49" s="4">
        <f>'RD ESFERA'!BX9</f>
        <v>54.333946222922044</v>
      </c>
    </row>
    <row r="50" spans="5:8" x14ac:dyDescent="0.25">
      <c r="E50">
        <v>2019</v>
      </c>
      <c r="F50" s="5">
        <f t="shared" si="0"/>
        <v>33.791853051748255</v>
      </c>
      <c r="G50" s="4">
        <f>byGOVDetalhado!CB9</f>
        <v>64.504258937981263</v>
      </c>
      <c r="H50" s="4">
        <f>'RD ESFERA'!CB9</f>
        <v>53.3680098034502</v>
      </c>
    </row>
    <row r="51" spans="5:8" x14ac:dyDescent="0.25">
      <c r="E51">
        <v>2020</v>
      </c>
      <c r="F51" s="5">
        <f t="shared" si="0"/>
        <v>32.216651426953014</v>
      </c>
      <c r="G51" s="4">
        <f>byGOVDetalhado!CF9</f>
        <v>62.886457279935421</v>
      </c>
      <c r="H51" s="4">
        <f>'RD ESFERA'!CF9</f>
        <v>49.309220633959214</v>
      </c>
    </row>
    <row r="52" spans="5:8" x14ac:dyDescent="0.25">
      <c r="E52" s="7">
        <v>2021</v>
      </c>
      <c r="F52" s="5">
        <f t="shared" si="0"/>
        <v>34.397792094454971</v>
      </c>
      <c r="G52" s="4">
        <f>byGOVDetalhado!CJ9</f>
        <v>64.105308858639546</v>
      </c>
      <c r="H52" s="4">
        <f>'RD ESFERA'!CJ9</f>
        <v>52.217695206652003</v>
      </c>
    </row>
    <row r="53" spans="5:8" x14ac:dyDescent="0.25">
      <c r="E53" s="7">
        <v>2022</v>
      </c>
      <c r="F53" s="5">
        <f t="shared" si="0"/>
        <v>34.906842604823694</v>
      </c>
      <c r="G53" s="4">
        <f>byGOVDetalhado!CN9</f>
        <v>65.162002476674417</v>
      </c>
      <c r="H53" s="4">
        <f>'RD ESFERA'!CN9</f>
        <v>51.91639991748972</v>
      </c>
    </row>
    <row r="54" spans="5:8" x14ac:dyDescent="0.25">
      <c r="E54" s="7">
        <v>2023</v>
      </c>
      <c r="F54" s="5">
        <f t="shared" si="0"/>
        <v>34.577981984922566</v>
      </c>
      <c r="G54" s="4">
        <f>byGOVDetalhado!CR9</f>
        <v>65.282527642806031</v>
      </c>
      <c r="H54" s="4">
        <f>'RD ESFERA'!CR9</f>
        <v>52.053345849798852</v>
      </c>
    </row>
    <row r="55" spans="5:8" x14ac:dyDescent="0.25">
      <c r="E55" s="7">
        <v>2024</v>
      </c>
      <c r="F55" s="5">
        <f t="shared" si="0"/>
        <v>35.949992374639557</v>
      </c>
      <c r="G55" s="4">
        <f>byGOVDetalhado!CV9</f>
        <v>64.781385785364847</v>
      </c>
      <c r="H55" s="4">
        <f>'RD ESFERA'!CV9</f>
        <v>51.55041486635843</v>
      </c>
    </row>
    <row r="58" spans="5:8" x14ac:dyDescent="0.25">
      <c r="E58" s="7"/>
      <c r="F58" s="5"/>
      <c r="G58" s="5"/>
      <c r="H58" s="5"/>
    </row>
    <row r="59" spans="5:8" x14ac:dyDescent="0.25">
      <c r="E59" s="7"/>
      <c r="F59" s="5"/>
      <c r="G59" s="5"/>
      <c r="H59" s="5"/>
    </row>
  </sheetData>
  <sortState xmlns:xlrd2="http://schemas.microsoft.com/office/spreadsheetml/2017/richdata2" ref="E31:H51">
    <sortCondition ref="E31:E51"/>
  </sortState>
  <phoneticPr fontId="0" type="noConversion"/>
  <pageMargins left="0.75" right="0.75" top="1" bottom="1" header="0.49212598499999999" footer="0.49212598499999999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5</vt:i4>
      </vt:variant>
    </vt:vector>
  </HeadingPairs>
  <TitlesOfParts>
    <vt:vector size="11" baseType="lpstr">
      <vt:lpstr>byGOVDetalhado</vt:lpstr>
      <vt:lpstr>AD ESFERA</vt:lpstr>
      <vt:lpstr>PRINCIPAIS TRIBUTOS</vt:lpstr>
      <vt:lpstr>Bases de Incidência</vt:lpstr>
      <vt:lpstr>RD ESFERA</vt:lpstr>
      <vt:lpstr>Gráficos</vt:lpstr>
      <vt:lpstr>'AD ESFERA'!Area_de_impressao</vt:lpstr>
      <vt:lpstr>'Bases de Incidência'!Area_de_impressao</vt:lpstr>
      <vt:lpstr>byGOVDetalhado!Area_de_impressao</vt:lpstr>
      <vt:lpstr>'PRINCIPAIS TRIBUTOS'!Area_de_impressao</vt:lpstr>
      <vt:lpstr>'RD ESFERA'!Area_de_impressao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Castro</dc:creator>
  <cp:lastModifiedBy>Kleber Castro</cp:lastModifiedBy>
  <cp:lastPrinted>2005-03-31T16:15:28Z</cp:lastPrinted>
  <dcterms:created xsi:type="dcterms:W3CDTF">2004-02-10T18:24:15Z</dcterms:created>
  <dcterms:modified xsi:type="dcterms:W3CDTF">2026-01-07T17:52:43Z</dcterms:modified>
</cp:coreProperties>
</file>